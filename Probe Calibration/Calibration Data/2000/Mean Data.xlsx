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0115037B-A630-4603-8898-478FD4D597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R1" sheetId="2" r:id="rId2"/>
    <sheet name="R2" sheetId="3" r:id="rId3"/>
    <sheet name="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L2" i="1"/>
  <c r="M2" i="1"/>
  <c r="N2" i="1"/>
  <c r="K2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2" i="1"/>
  <c r="E2" i="1"/>
  <c r="F2" i="1"/>
  <c r="G2" i="1"/>
  <c r="H2" i="1"/>
  <c r="C3" i="1"/>
  <c r="C4" i="1"/>
  <c r="I4" i="1" s="1"/>
  <c r="C5" i="1"/>
  <c r="C6" i="1"/>
  <c r="I6" i="1" s="1"/>
  <c r="C7" i="1"/>
  <c r="C8" i="1"/>
  <c r="I8" i="1" s="1"/>
  <c r="C9" i="1"/>
  <c r="C10" i="1"/>
  <c r="I10" i="1" s="1"/>
  <c r="C11" i="1"/>
  <c r="C12" i="1"/>
  <c r="I12" i="1" s="1"/>
  <c r="C13" i="1"/>
  <c r="C14" i="1"/>
  <c r="I14" i="1" s="1"/>
  <c r="C15" i="1"/>
  <c r="C16" i="1"/>
  <c r="I16" i="1" s="1"/>
  <c r="C17" i="1"/>
  <c r="I17" i="1" s="1"/>
  <c r="C18" i="1"/>
  <c r="I18" i="1" s="1"/>
  <c r="C19" i="1"/>
  <c r="I19" i="1" s="1"/>
  <c r="C20" i="1"/>
  <c r="I20" i="1" s="1"/>
  <c r="C21" i="1"/>
  <c r="C22" i="1"/>
  <c r="I22" i="1" s="1"/>
  <c r="C23" i="1"/>
  <c r="C24" i="1"/>
  <c r="I24" i="1" s="1"/>
  <c r="C25" i="1"/>
  <c r="C26" i="1"/>
  <c r="I26" i="1" s="1"/>
  <c r="C27" i="1"/>
  <c r="C28" i="1"/>
  <c r="I28" i="1" s="1"/>
  <c r="C29" i="1"/>
  <c r="C30" i="1"/>
  <c r="I30" i="1" s="1"/>
  <c r="C31" i="1"/>
  <c r="C32" i="1"/>
  <c r="I32" i="1" s="1"/>
  <c r="C33" i="1"/>
  <c r="C34" i="1"/>
  <c r="I34" i="1" s="1"/>
  <c r="C35" i="1"/>
  <c r="C36" i="1"/>
  <c r="I36" i="1" s="1"/>
  <c r="C37" i="1"/>
  <c r="I37" i="1" s="1"/>
  <c r="C38" i="1"/>
  <c r="I38" i="1" s="1"/>
  <c r="C39" i="1"/>
  <c r="I39" i="1" s="1"/>
  <c r="C40" i="1"/>
  <c r="I40" i="1" s="1"/>
  <c r="C41" i="1"/>
  <c r="C42" i="1"/>
  <c r="I42" i="1" s="1"/>
  <c r="C43" i="1"/>
  <c r="C44" i="1"/>
  <c r="I44" i="1" s="1"/>
  <c r="C45" i="1"/>
  <c r="C46" i="1"/>
  <c r="I46" i="1" s="1"/>
  <c r="C47" i="1"/>
  <c r="C48" i="1"/>
  <c r="I48" i="1" s="1"/>
  <c r="C49" i="1"/>
  <c r="C50" i="1"/>
  <c r="I50" i="1" s="1"/>
  <c r="C51" i="1"/>
  <c r="C52" i="1"/>
  <c r="I52" i="1" s="1"/>
  <c r="C53" i="1"/>
  <c r="C54" i="1"/>
  <c r="I54" i="1" s="1"/>
  <c r="C55" i="1"/>
  <c r="C56" i="1"/>
  <c r="I56" i="1" s="1"/>
  <c r="C57" i="1"/>
  <c r="I57" i="1" s="1"/>
  <c r="C58" i="1"/>
  <c r="I58" i="1" s="1"/>
  <c r="C59" i="1"/>
  <c r="I59" i="1" s="1"/>
  <c r="C60" i="1"/>
  <c r="I60" i="1" s="1"/>
  <c r="C61" i="1"/>
  <c r="C62" i="1"/>
  <c r="I62" i="1" s="1"/>
  <c r="C63" i="1"/>
  <c r="C64" i="1"/>
  <c r="I64" i="1" s="1"/>
  <c r="C65" i="1"/>
  <c r="C66" i="1"/>
  <c r="I66" i="1" s="1"/>
  <c r="C67" i="1"/>
  <c r="C68" i="1"/>
  <c r="I68" i="1" s="1"/>
  <c r="C69" i="1"/>
  <c r="C70" i="1"/>
  <c r="I70" i="1" s="1"/>
  <c r="C71" i="1"/>
  <c r="C72" i="1"/>
  <c r="I72" i="1" s="1"/>
  <c r="C73" i="1"/>
  <c r="C74" i="1"/>
  <c r="I74" i="1" s="1"/>
  <c r="C75" i="1"/>
  <c r="C76" i="1"/>
  <c r="I76" i="1" s="1"/>
  <c r="C77" i="1"/>
  <c r="I77" i="1" s="1"/>
  <c r="C78" i="1"/>
  <c r="I78" i="1" s="1"/>
  <c r="C79" i="1"/>
  <c r="I79" i="1" s="1"/>
  <c r="C80" i="1"/>
  <c r="I80" i="1" s="1"/>
  <c r="C81" i="1"/>
  <c r="C82" i="1"/>
  <c r="I82" i="1" s="1"/>
  <c r="C83" i="1"/>
  <c r="C84" i="1"/>
  <c r="I84" i="1" s="1"/>
  <c r="C85" i="1"/>
  <c r="C86" i="1"/>
  <c r="I86" i="1" s="1"/>
  <c r="C87" i="1"/>
  <c r="C88" i="1"/>
  <c r="I88" i="1" s="1"/>
  <c r="C89" i="1"/>
  <c r="C90" i="1"/>
  <c r="I90" i="1" s="1"/>
  <c r="C91" i="1"/>
  <c r="C92" i="1"/>
  <c r="I92" i="1" s="1"/>
  <c r="C93" i="1"/>
  <c r="C94" i="1"/>
  <c r="I94" i="1" s="1"/>
  <c r="C95" i="1"/>
  <c r="C96" i="1"/>
  <c r="I96" i="1" s="1"/>
  <c r="C97" i="1"/>
  <c r="I97" i="1" s="1"/>
  <c r="C98" i="1"/>
  <c r="I98" i="1" s="1"/>
  <c r="C99" i="1"/>
  <c r="I99" i="1" s="1"/>
  <c r="C100" i="1"/>
  <c r="I100" i="1" s="1"/>
  <c r="C101" i="1"/>
  <c r="C102" i="1"/>
  <c r="I102" i="1" s="1"/>
  <c r="C103" i="1"/>
  <c r="C104" i="1"/>
  <c r="I104" i="1" s="1"/>
  <c r="C105" i="1"/>
  <c r="C106" i="1"/>
  <c r="I106" i="1" s="1"/>
  <c r="C107" i="1"/>
  <c r="C108" i="1"/>
  <c r="I108" i="1" s="1"/>
  <c r="C109" i="1"/>
  <c r="C110" i="1"/>
  <c r="I110" i="1" s="1"/>
  <c r="C111" i="1"/>
  <c r="C112" i="1"/>
  <c r="I112" i="1" s="1"/>
  <c r="C113" i="1"/>
  <c r="C114" i="1"/>
  <c r="I114" i="1" s="1"/>
  <c r="C115" i="1"/>
  <c r="C116" i="1"/>
  <c r="I116" i="1" s="1"/>
  <c r="C117" i="1"/>
  <c r="I117" i="1" s="1"/>
  <c r="C118" i="1"/>
  <c r="I118" i="1" s="1"/>
  <c r="C119" i="1"/>
  <c r="I119" i="1" s="1"/>
  <c r="C120" i="1"/>
  <c r="I120" i="1" s="1"/>
  <c r="C121" i="1"/>
  <c r="C122" i="1"/>
  <c r="I122" i="1" s="1"/>
  <c r="C123" i="1"/>
  <c r="C124" i="1"/>
  <c r="I124" i="1" s="1"/>
  <c r="C125" i="1"/>
  <c r="C126" i="1"/>
  <c r="I126" i="1" s="1"/>
  <c r="C127" i="1"/>
  <c r="C128" i="1"/>
  <c r="I128" i="1" s="1"/>
  <c r="C129" i="1"/>
  <c r="C130" i="1"/>
  <c r="I130" i="1" s="1"/>
  <c r="C131" i="1"/>
  <c r="C132" i="1"/>
  <c r="I132" i="1" s="1"/>
  <c r="C133" i="1"/>
  <c r="C134" i="1"/>
  <c r="I134" i="1" s="1"/>
  <c r="C135" i="1"/>
  <c r="C136" i="1"/>
  <c r="I136" i="1" s="1"/>
  <c r="C137" i="1"/>
  <c r="I137" i="1" s="1"/>
  <c r="C138" i="1"/>
  <c r="I138" i="1" s="1"/>
  <c r="C139" i="1"/>
  <c r="I139" i="1" s="1"/>
  <c r="C140" i="1"/>
  <c r="I140" i="1" s="1"/>
  <c r="C141" i="1"/>
  <c r="C142" i="1"/>
  <c r="I142" i="1" s="1"/>
  <c r="C143" i="1"/>
  <c r="C144" i="1"/>
  <c r="I144" i="1" s="1"/>
  <c r="C145" i="1"/>
  <c r="C146" i="1"/>
  <c r="I146" i="1" s="1"/>
  <c r="C147" i="1"/>
  <c r="C148" i="1"/>
  <c r="I148" i="1" s="1"/>
  <c r="C149" i="1"/>
  <c r="C150" i="1"/>
  <c r="I150" i="1" s="1"/>
  <c r="C151" i="1"/>
  <c r="C152" i="1"/>
  <c r="I152" i="1" s="1"/>
  <c r="C153" i="1"/>
  <c r="C154" i="1"/>
  <c r="I154" i="1" s="1"/>
  <c r="C155" i="1"/>
  <c r="C156" i="1"/>
  <c r="I156" i="1" s="1"/>
  <c r="C157" i="1"/>
  <c r="I157" i="1" s="1"/>
  <c r="C158" i="1"/>
  <c r="I158" i="1" s="1"/>
  <c r="C159" i="1"/>
  <c r="I159" i="1" s="1"/>
  <c r="C160" i="1"/>
  <c r="I160" i="1" s="1"/>
  <c r="C161" i="1"/>
  <c r="C162" i="1"/>
  <c r="I162" i="1" s="1"/>
  <c r="C163" i="1"/>
  <c r="C164" i="1"/>
  <c r="I164" i="1" s="1"/>
  <c r="C165" i="1"/>
  <c r="C166" i="1"/>
  <c r="I166" i="1" s="1"/>
  <c r="C167" i="1"/>
  <c r="C168" i="1"/>
  <c r="I168" i="1" s="1"/>
  <c r="C169" i="1"/>
  <c r="C170" i="1"/>
  <c r="I170" i="1" s="1"/>
  <c r="C171" i="1"/>
  <c r="C172" i="1"/>
  <c r="I172" i="1" s="1"/>
  <c r="C173" i="1"/>
  <c r="C174" i="1"/>
  <c r="I174" i="1" s="1"/>
  <c r="C175" i="1"/>
  <c r="C176" i="1"/>
  <c r="I176" i="1" s="1"/>
  <c r="C177" i="1"/>
  <c r="I177" i="1" s="1"/>
  <c r="C178" i="1"/>
  <c r="I178" i="1" s="1"/>
  <c r="C179" i="1"/>
  <c r="I179" i="1" s="1"/>
  <c r="C180" i="1"/>
  <c r="I180" i="1" s="1"/>
  <c r="C181" i="1"/>
  <c r="C182" i="1"/>
  <c r="I182" i="1" s="1"/>
  <c r="C183" i="1"/>
  <c r="C184" i="1"/>
  <c r="I184" i="1" s="1"/>
  <c r="C185" i="1"/>
  <c r="C186" i="1"/>
  <c r="I186" i="1" s="1"/>
  <c r="C187" i="1"/>
  <c r="C188" i="1"/>
  <c r="I188" i="1" s="1"/>
  <c r="C189" i="1"/>
  <c r="C190" i="1"/>
  <c r="I190" i="1" s="1"/>
  <c r="C191" i="1"/>
  <c r="C192" i="1"/>
  <c r="I192" i="1" s="1"/>
  <c r="C193" i="1"/>
  <c r="C194" i="1"/>
  <c r="I194" i="1" s="1"/>
  <c r="C195" i="1"/>
  <c r="C196" i="1"/>
  <c r="I196" i="1" s="1"/>
  <c r="C197" i="1"/>
  <c r="I197" i="1" s="1"/>
  <c r="C198" i="1"/>
  <c r="I198" i="1" s="1"/>
  <c r="C199" i="1"/>
  <c r="I199" i="1" s="1"/>
  <c r="C200" i="1"/>
  <c r="I200" i="1" s="1"/>
  <c r="C201" i="1"/>
  <c r="C202" i="1"/>
  <c r="I202" i="1" s="1"/>
  <c r="C203" i="1"/>
  <c r="C204" i="1"/>
  <c r="I204" i="1" s="1"/>
  <c r="C205" i="1"/>
  <c r="C206" i="1"/>
  <c r="I206" i="1" s="1"/>
  <c r="C207" i="1"/>
  <c r="C208" i="1"/>
  <c r="I208" i="1" s="1"/>
  <c r="C209" i="1"/>
  <c r="C210" i="1"/>
  <c r="I210" i="1" s="1"/>
  <c r="C211" i="1"/>
  <c r="C212" i="1"/>
  <c r="I212" i="1" s="1"/>
  <c r="C213" i="1"/>
  <c r="C214" i="1"/>
  <c r="I214" i="1" s="1"/>
  <c r="C215" i="1"/>
  <c r="C216" i="1"/>
  <c r="I216" i="1" s="1"/>
  <c r="C217" i="1"/>
  <c r="I217" i="1" s="1"/>
  <c r="C218" i="1"/>
  <c r="I218" i="1" s="1"/>
  <c r="C219" i="1"/>
  <c r="I219" i="1" s="1"/>
  <c r="C220" i="1"/>
  <c r="I220" i="1" s="1"/>
  <c r="C221" i="1"/>
  <c r="C222" i="1"/>
  <c r="I222" i="1" s="1"/>
  <c r="C223" i="1"/>
  <c r="C224" i="1"/>
  <c r="I224" i="1" s="1"/>
  <c r="C225" i="1"/>
  <c r="C226" i="1"/>
  <c r="I226" i="1" s="1"/>
  <c r="C227" i="1"/>
  <c r="C228" i="1"/>
  <c r="I228" i="1" s="1"/>
  <c r="C229" i="1"/>
  <c r="C230" i="1"/>
  <c r="I230" i="1" s="1"/>
  <c r="C231" i="1"/>
  <c r="C232" i="1"/>
  <c r="I232" i="1" s="1"/>
  <c r="C233" i="1"/>
  <c r="C234" i="1"/>
  <c r="I234" i="1" s="1"/>
  <c r="C235" i="1"/>
  <c r="C236" i="1"/>
  <c r="I236" i="1" s="1"/>
  <c r="C237" i="1"/>
  <c r="I237" i="1" s="1"/>
  <c r="C238" i="1"/>
  <c r="I238" i="1" s="1"/>
  <c r="C239" i="1"/>
  <c r="I239" i="1" s="1"/>
  <c r="C240" i="1"/>
  <c r="I240" i="1" s="1"/>
  <c r="C241" i="1"/>
  <c r="C242" i="1"/>
  <c r="I242" i="1" s="1"/>
  <c r="C243" i="1"/>
  <c r="C244" i="1"/>
  <c r="I244" i="1" s="1"/>
  <c r="C245" i="1"/>
  <c r="C246" i="1"/>
  <c r="I246" i="1" s="1"/>
  <c r="C247" i="1"/>
  <c r="C248" i="1"/>
  <c r="I248" i="1" s="1"/>
  <c r="C249" i="1"/>
  <c r="C250" i="1"/>
  <c r="I250" i="1" s="1"/>
  <c r="C251" i="1"/>
  <c r="C252" i="1"/>
  <c r="I252" i="1" s="1"/>
  <c r="C253" i="1"/>
  <c r="C254" i="1"/>
  <c r="I254" i="1" s="1"/>
  <c r="C255" i="1"/>
  <c r="C256" i="1"/>
  <c r="I256" i="1" s="1"/>
  <c r="C257" i="1"/>
  <c r="I257" i="1" s="1"/>
  <c r="C258" i="1"/>
  <c r="I258" i="1" s="1"/>
  <c r="C259" i="1"/>
  <c r="I259" i="1" s="1"/>
  <c r="C260" i="1"/>
  <c r="I260" i="1" s="1"/>
  <c r="C261" i="1"/>
  <c r="C262" i="1"/>
  <c r="I262" i="1" s="1"/>
  <c r="C263" i="1"/>
  <c r="C264" i="1"/>
  <c r="I264" i="1" s="1"/>
  <c r="C265" i="1"/>
  <c r="C266" i="1"/>
  <c r="I266" i="1" s="1"/>
  <c r="C267" i="1"/>
  <c r="C268" i="1"/>
  <c r="I268" i="1" s="1"/>
  <c r="C269" i="1"/>
  <c r="C270" i="1"/>
  <c r="I270" i="1" s="1"/>
  <c r="C271" i="1"/>
  <c r="C272" i="1"/>
  <c r="I272" i="1" s="1"/>
  <c r="C273" i="1"/>
  <c r="C274" i="1"/>
  <c r="I274" i="1" s="1"/>
  <c r="C275" i="1"/>
  <c r="C276" i="1"/>
  <c r="I276" i="1" s="1"/>
  <c r="C277" i="1"/>
  <c r="I277" i="1" s="1"/>
  <c r="C278" i="1"/>
  <c r="I278" i="1" s="1"/>
  <c r="C279" i="1"/>
  <c r="I279" i="1" s="1"/>
  <c r="C280" i="1"/>
  <c r="I280" i="1" s="1"/>
  <c r="C281" i="1"/>
  <c r="C282" i="1"/>
  <c r="I282" i="1" s="1"/>
  <c r="C283" i="1"/>
  <c r="C284" i="1"/>
  <c r="I284" i="1" s="1"/>
  <c r="C285" i="1"/>
  <c r="C286" i="1"/>
  <c r="I286" i="1" s="1"/>
  <c r="C287" i="1"/>
  <c r="C288" i="1"/>
  <c r="I288" i="1" s="1"/>
  <c r="C289" i="1"/>
  <c r="C290" i="1"/>
  <c r="I290" i="1" s="1"/>
  <c r="C291" i="1"/>
  <c r="C292" i="1"/>
  <c r="I292" i="1" s="1"/>
  <c r="C293" i="1"/>
  <c r="C294" i="1"/>
  <c r="I294" i="1" s="1"/>
  <c r="C295" i="1"/>
  <c r="C296" i="1"/>
  <c r="I296" i="1" s="1"/>
  <c r="C297" i="1"/>
  <c r="I297" i="1" s="1"/>
  <c r="C298" i="1"/>
  <c r="I298" i="1" s="1"/>
  <c r="C299" i="1"/>
  <c r="I299" i="1" s="1"/>
  <c r="C300" i="1"/>
  <c r="I300" i="1" s="1"/>
  <c r="C301" i="1"/>
  <c r="C302" i="1"/>
  <c r="I302" i="1" s="1"/>
  <c r="C303" i="1"/>
  <c r="C304" i="1"/>
  <c r="I304" i="1" s="1"/>
  <c r="C305" i="1"/>
  <c r="C306" i="1"/>
  <c r="I306" i="1" s="1"/>
  <c r="C307" i="1"/>
  <c r="C308" i="1"/>
  <c r="I308" i="1" s="1"/>
  <c r="C309" i="1"/>
  <c r="C310" i="1"/>
  <c r="I310" i="1" s="1"/>
  <c r="C311" i="1"/>
  <c r="C312" i="1"/>
  <c r="I312" i="1" s="1"/>
  <c r="C313" i="1"/>
  <c r="C314" i="1"/>
  <c r="I314" i="1" s="1"/>
  <c r="C315" i="1"/>
  <c r="C316" i="1"/>
  <c r="I316" i="1" s="1"/>
  <c r="C317" i="1"/>
  <c r="C318" i="1"/>
  <c r="I318" i="1" s="1"/>
  <c r="C319" i="1"/>
  <c r="I319" i="1" s="1"/>
  <c r="C320" i="1"/>
  <c r="I320" i="1" s="1"/>
  <c r="C321" i="1"/>
  <c r="C322" i="1"/>
  <c r="I322" i="1" s="1"/>
  <c r="C323" i="1"/>
  <c r="C324" i="1"/>
  <c r="I324" i="1" s="1"/>
  <c r="C325" i="1"/>
  <c r="C326" i="1"/>
  <c r="I326" i="1" s="1"/>
  <c r="C327" i="1"/>
  <c r="C328" i="1"/>
  <c r="I328" i="1" s="1"/>
  <c r="C329" i="1"/>
  <c r="C330" i="1"/>
  <c r="I330" i="1" s="1"/>
  <c r="C331" i="1"/>
  <c r="C332" i="1"/>
  <c r="I332" i="1" s="1"/>
  <c r="C333" i="1"/>
  <c r="C334" i="1"/>
  <c r="I334" i="1" s="1"/>
  <c r="C335" i="1"/>
  <c r="C336" i="1"/>
  <c r="I336" i="1" s="1"/>
  <c r="C337" i="1"/>
  <c r="I337" i="1" s="1"/>
  <c r="C338" i="1"/>
  <c r="I338" i="1" s="1"/>
  <c r="C339" i="1"/>
  <c r="I339" i="1" s="1"/>
  <c r="C340" i="1"/>
  <c r="I340" i="1" s="1"/>
  <c r="C341" i="1"/>
  <c r="C342" i="1"/>
  <c r="I342" i="1" s="1"/>
  <c r="C343" i="1"/>
  <c r="C344" i="1"/>
  <c r="I344" i="1" s="1"/>
  <c r="C345" i="1"/>
  <c r="C346" i="1"/>
  <c r="I346" i="1" s="1"/>
  <c r="C347" i="1"/>
  <c r="C348" i="1"/>
  <c r="I348" i="1" s="1"/>
  <c r="C349" i="1"/>
  <c r="C350" i="1"/>
  <c r="I350" i="1" s="1"/>
  <c r="C351" i="1"/>
  <c r="C352" i="1"/>
  <c r="I352" i="1" s="1"/>
  <c r="C353" i="1"/>
  <c r="C354" i="1"/>
  <c r="I354" i="1" s="1"/>
  <c r="C355" i="1"/>
  <c r="C356" i="1"/>
  <c r="I356" i="1" s="1"/>
  <c r="C357" i="1"/>
  <c r="I357" i="1" s="1"/>
  <c r="C358" i="1"/>
  <c r="I358" i="1" s="1"/>
  <c r="C359" i="1"/>
  <c r="I359" i="1" s="1"/>
  <c r="C360" i="1"/>
  <c r="I360" i="1" s="1"/>
  <c r="C361" i="1"/>
  <c r="C362" i="1"/>
  <c r="I362" i="1" s="1"/>
  <c r="C363" i="1"/>
  <c r="C364" i="1"/>
  <c r="I364" i="1" s="1"/>
  <c r="C365" i="1"/>
  <c r="C366" i="1"/>
  <c r="I366" i="1" s="1"/>
  <c r="C367" i="1"/>
  <c r="C368" i="1"/>
  <c r="I368" i="1" s="1"/>
  <c r="C369" i="1"/>
  <c r="C370" i="1"/>
  <c r="I370" i="1" s="1"/>
  <c r="C371" i="1"/>
  <c r="C372" i="1"/>
  <c r="I372" i="1" s="1"/>
  <c r="C373" i="1"/>
  <c r="C374" i="1"/>
  <c r="I374" i="1" s="1"/>
  <c r="C375" i="1"/>
  <c r="C376" i="1"/>
  <c r="I376" i="1" s="1"/>
  <c r="C377" i="1"/>
  <c r="I377" i="1" s="1"/>
  <c r="C378" i="1"/>
  <c r="I378" i="1" s="1"/>
  <c r="C379" i="1"/>
  <c r="I379" i="1" s="1"/>
  <c r="C380" i="1"/>
  <c r="I380" i="1" s="1"/>
  <c r="C381" i="1"/>
  <c r="C382" i="1"/>
  <c r="I382" i="1" s="1"/>
  <c r="C383" i="1"/>
  <c r="C384" i="1"/>
  <c r="I384" i="1" s="1"/>
  <c r="C385" i="1"/>
  <c r="C386" i="1"/>
  <c r="I386" i="1" s="1"/>
  <c r="C387" i="1"/>
  <c r="C388" i="1"/>
  <c r="I388" i="1" s="1"/>
  <c r="C389" i="1"/>
  <c r="C390" i="1"/>
  <c r="I390" i="1" s="1"/>
  <c r="C391" i="1"/>
  <c r="C392" i="1"/>
  <c r="I392" i="1" s="1"/>
  <c r="C393" i="1"/>
  <c r="C394" i="1"/>
  <c r="I394" i="1" s="1"/>
  <c r="C395" i="1"/>
  <c r="C396" i="1"/>
  <c r="I396" i="1" s="1"/>
  <c r="C397" i="1"/>
  <c r="I397" i="1" s="1"/>
  <c r="C398" i="1"/>
  <c r="I398" i="1" s="1"/>
  <c r="C399" i="1"/>
  <c r="I399" i="1" s="1"/>
  <c r="C400" i="1"/>
  <c r="I400" i="1" s="1"/>
  <c r="C401" i="1"/>
  <c r="C402" i="1"/>
  <c r="I402" i="1" s="1"/>
  <c r="C403" i="1"/>
  <c r="C404" i="1"/>
  <c r="I404" i="1" s="1"/>
  <c r="C405" i="1"/>
  <c r="C406" i="1"/>
  <c r="I406" i="1" s="1"/>
  <c r="C407" i="1"/>
  <c r="C408" i="1"/>
  <c r="I408" i="1" s="1"/>
  <c r="C409" i="1"/>
  <c r="C410" i="1"/>
  <c r="I410" i="1" s="1"/>
  <c r="C411" i="1"/>
  <c r="C412" i="1"/>
  <c r="I412" i="1" s="1"/>
  <c r="C413" i="1"/>
  <c r="C414" i="1"/>
  <c r="I414" i="1" s="1"/>
  <c r="C415" i="1"/>
  <c r="C416" i="1"/>
  <c r="I416" i="1" s="1"/>
  <c r="C417" i="1"/>
  <c r="I417" i="1" s="1"/>
  <c r="C418" i="1"/>
  <c r="I418" i="1" s="1"/>
  <c r="C419" i="1"/>
  <c r="I419" i="1" s="1"/>
  <c r="C420" i="1"/>
  <c r="I420" i="1" s="1"/>
  <c r="C421" i="1"/>
  <c r="C422" i="1"/>
  <c r="I422" i="1" s="1"/>
  <c r="C423" i="1"/>
  <c r="C424" i="1"/>
  <c r="I424" i="1" s="1"/>
  <c r="C425" i="1"/>
  <c r="C426" i="1"/>
  <c r="I426" i="1" s="1"/>
  <c r="C427" i="1"/>
  <c r="C428" i="1"/>
  <c r="I428" i="1" s="1"/>
  <c r="C429" i="1"/>
  <c r="C430" i="1"/>
  <c r="I430" i="1" s="1"/>
  <c r="C431" i="1"/>
  <c r="C432" i="1"/>
  <c r="I432" i="1" s="1"/>
  <c r="C433" i="1"/>
  <c r="C434" i="1"/>
  <c r="I434" i="1" s="1"/>
  <c r="C435" i="1"/>
  <c r="C436" i="1"/>
  <c r="I436" i="1" s="1"/>
  <c r="C437" i="1"/>
  <c r="C438" i="1"/>
  <c r="I438" i="1" s="1"/>
  <c r="C439" i="1"/>
  <c r="I439" i="1" s="1"/>
  <c r="C440" i="1"/>
  <c r="I440" i="1" s="1"/>
  <c r="C441" i="1"/>
  <c r="C442" i="1"/>
  <c r="I442" i="1" s="1"/>
  <c r="C443" i="1"/>
  <c r="C444" i="1"/>
  <c r="I444" i="1" s="1"/>
  <c r="C445" i="1"/>
  <c r="C446" i="1"/>
  <c r="I446" i="1" s="1"/>
  <c r="C447" i="1"/>
  <c r="C448" i="1"/>
  <c r="I448" i="1" s="1"/>
  <c r="C449" i="1"/>
  <c r="C450" i="1"/>
  <c r="I450" i="1" s="1"/>
  <c r="C451" i="1"/>
  <c r="C452" i="1"/>
  <c r="I452" i="1" s="1"/>
  <c r="C453" i="1"/>
  <c r="C454" i="1"/>
  <c r="I454" i="1" s="1"/>
  <c r="C455" i="1"/>
  <c r="C456" i="1"/>
  <c r="I456" i="1" s="1"/>
  <c r="C457" i="1"/>
  <c r="C458" i="1"/>
  <c r="I458" i="1" s="1"/>
  <c r="C459" i="1"/>
  <c r="I459" i="1" s="1"/>
  <c r="C460" i="1"/>
  <c r="I460" i="1" s="1"/>
  <c r="C461" i="1"/>
  <c r="C462" i="1"/>
  <c r="I462" i="1" s="1"/>
  <c r="C463" i="1"/>
  <c r="C464" i="1"/>
  <c r="I464" i="1" s="1"/>
  <c r="C465" i="1"/>
  <c r="C466" i="1"/>
  <c r="I466" i="1" s="1"/>
  <c r="C467" i="1"/>
  <c r="C468" i="1"/>
  <c r="I468" i="1" s="1"/>
  <c r="C469" i="1"/>
  <c r="C470" i="1"/>
  <c r="I470" i="1" s="1"/>
  <c r="C471" i="1"/>
  <c r="C472" i="1"/>
  <c r="I472" i="1" s="1"/>
  <c r="C473" i="1"/>
  <c r="C474" i="1"/>
  <c r="I474" i="1" s="1"/>
  <c r="C475" i="1"/>
  <c r="C476" i="1"/>
  <c r="I476" i="1" s="1"/>
  <c r="C477" i="1"/>
  <c r="C478" i="1"/>
  <c r="I478" i="1" s="1"/>
  <c r="C479" i="1"/>
  <c r="I479" i="1" s="1"/>
  <c r="C480" i="1"/>
  <c r="I480" i="1" s="1"/>
  <c r="C481" i="1"/>
  <c r="C482" i="1"/>
  <c r="I482" i="1" s="1"/>
  <c r="C483" i="1"/>
  <c r="C484" i="1"/>
  <c r="I484" i="1" s="1"/>
  <c r="C485" i="1"/>
  <c r="C486" i="1"/>
  <c r="I486" i="1" s="1"/>
  <c r="C487" i="1"/>
  <c r="C488" i="1"/>
  <c r="I488" i="1" s="1"/>
  <c r="C489" i="1"/>
  <c r="C490" i="1"/>
  <c r="I490" i="1" s="1"/>
  <c r="C491" i="1"/>
  <c r="C492" i="1"/>
  <c r="I492" i="1" s="1"/>
  <c r="C493" i="1"/>
  <c r="C494" i="1"/>
  <c r="I494" i="1" s="1"/>
  <c r="C495" i="1"/>
  <c r="C496" i="1"/>
  <c r="I496" i="1" s="1"/>
  <c r="C497" i="1"/>
  <c r="C498" i="1"/>
  <c r="I498" i="1" s="1"/>
  <c r="C499" i="1"/>
  <c r="I499" i="1" s="1"/>
  <c r="C500" i="1"/>
  <c r="I500" i="1" s="1"/>
  <c r="C501" i="1"/>
  <c r="C502" i="1"/>
  <c r="I502" i="1" s="1"/>
  <c r="C503" i="1"/>
  <c r="C504" i="1"/>
  <c r="I504" i="1" s="1"/>
  <c r="C505" i="1"/>
  <c r="C506" i="1"/>
  <c r="I506" i="1" s="1"/>
  <c r="C507" i="1"/>
  <c r="C508" i="1"/>
  <c r="I508" i="1" s="1"/>
  <c r="C509" i="1"/>
  <c r="C510" i="1"/>
  <c r="I510" i="1" s="1"/>
  <c r="C511" i="1"/>
  <c r="C512" i="1"/>
  <c r="I512" i="1" s="1"/>
  <c r="C513" i="1"/>
  <c r="C514" i="1"/>
  <c r="I514" i="1" s="1"/>
  <c r="C515" i="1"/>
  <c r="C516" i="1"/>
  <c r="I516" i="1" s="1"/>
  <c r="C517" i="1"/>
  <c r="C518" i="1"/>
  <c r="I518" i="1" s="1"/>
  <c r="C519" i="1"/>
  <c r="I519" i="1" s="1"/>
  <c r="C520" i="1"/>
  <c r="I520" i="1" s="1"/>
  <c r="C521" i="1"/>
  <c r="C522" i="1"/>
  <c r="I522" i="1" s="1"/>
  <c r="C523" i="1"/>
  <c r="C524" i="1"/>
  <c r="I524" i="1" s="1"/>
  <c r="C525" i="1"/>
  <c r="C526" i="1"/>
  <c r="I526" i="1" s="1"/>
  <c r="C527" i="1"/>
  <c r="C528" i="1"/>
  <c r="I528" i="1" s="1"/>
  <c r="C529" i="1"/>
  <c r="C530" i="1"/>
  <c r="I530" i="1" s="1"/>
  <c r="C2" i="1"/>
  <c r="B29" i="1"/>
  <c r="B89" i="1"/>
  <c r="B91" i="1"/>
  <c r="B369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A90" i="1"/>
  <c r="B90" i="1" s="1"/>
  <c r="A91" i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B429" i="1" s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B489" i="1" s="1"/>
  <c r="A490" i="1"/>
  <c r="B490" i="1" s="1"/>
  <c r="A491" i="1"/>
  <c r="B491" i="1" s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A508" i="1"/>
  <c r="B508" i="1" s="1"/>
  <c r="A509" i="1"/>
  <c r="B509" i="1" s="1"/>
  <c r="A510" i="1"/>
  <c r="B510" i="1" s="1"/>
  <c r="A511" i="1"/>
  <c r="B511" i="1" s="1"/>
  <c r="A512" i="1"/>
  <c r="B512" i="1" s="1"/>
  <c r="A513" i="1"/>
  <c r="B513" i="1" s="1"/>
  <c r="A514" i="1"/>
  <c r="B514" i="1" s="1"/>
  <c r="A515" i="1"/>
  <c r="B515" i="1" s="1"/>
  <c r="A516" i="1"/>
  <c r="B516" i="1" s="1"/>
  <c r="A517" i="1"/>
  <c r="B517" i="1" s="1"/>
  <c r="A518" i="1"/>
  <c r="B518" i="1" s="1"/>
  <c r="A519" i="1"/>
  <c r="B519" i="1" s="1"/>
  <c r="A520" i="1"/>
  <c r="B520" i="1" s="1"/>
  <c r="A521" i="1"/>
  <c r="B521" i="1" s="1"/>
  <c r="A522" i="1"/>
  <c r="B522" i="1" s="1"/>
  <c r="A523" i="1"/>
  <c r="B523" i="1" s="1"/>
  <c r="A524" i="1"/>
  <c r="B524" i="1" s="1"/>
  <c r="A525" i="1"/>
  <c r="B525" i="1" s="1"/>
  <c r="A526" i="1"/>
  <c r="B526" i="1" s="1"/>
  <c r="A527" i="1"/>
  <c r="B527" i="1" s="1"/>
  <c r="A528" i="1"/>
  <c r="B528" i="1" s="1"/>
  <c r="A529" i="1"/>
  <c r="B529" i="1" s="1"/>
  <c r="A530" i="1"/>
  <c r="B530" i="1" s="1"/>
  <c r="A2" i="1"/>
  <c r="B2" i="1" s="1"/>
  <c r="I527" i="1" l="1"/>
  <c r="I427" i="1"/>
  <c r="I127" i="1"/>
  <c r="I477" i="1"/>
  <c r="I515" i="1"/>
  <c r="I495" i="1"/>
  <c r="I475" i="1"/>
  <c r="I455" i="1"/>
  <c r="I435" i="1"/>
  <c r="I415" i="1"/>
  <c r="I395" i="1"/>
  <c r="I375" i="1"/>
  <c r="I355" i="1"/>
  <c r="I335" i="1"/>
  <c r="I315" i="1"/>
  <c r="I295" i="1"/>
  <c r="I275" i="1"/>
  <c r="I255" i="1"/>
  <c r="I235" i="1"/>
  <c r="I215" i="1"/>
  <c r="I195" i="1"/>
  <c r="I175" i="1"/>
  <c r="I155" i="1"/>
  <c r="I135" i="1"/>
  <c r="I115" i="1"/>
  <c r="I95" i="1"/>
  <c r="I75" i="1"/>
  <c r="I55" i="1"/>
  <c r="I35" i="1"/>
  <c r="I15" i="1"/>
  <c r="I497" i="1"/>
  <c r="I513" i="1"/>
  <c r="I493" i="1"/>
  <c r="I473" i="1"/>
  <c r="I453" i="1"/>
  <c r="I433" i="1"/>
  <c r="I413" i="1"/>
  <c r="I393" i="1"/>
  <c r="I373" i="1"/>
  <c r="I353" i="1"/>
  <c r="I333" i="1"/>
  <c r="I313" i="1"/>
  <c r="I293" i="1"/>
  <c r="I273" i="1"/>
  <c r="I253" i="1"/>
  <c r="I233" i="1"/>
  <c r="I213" i="1"/>
  <c r="I193" i="1"/>
  <c r="I173" i="1"/>
  <c r="I153" i="1"/>
  <c r="I133" i="1"/>
  <c r="I113" i="1"/>
  <c r="I93" i="1"/>
  <c r="I73" i="1"/>
  <c r="I53" i="1"/>
  <c r="I33" i="1"/>
  <c r="I13" i="1"/>
  <c r="I517" i="1"/>
  <c r="I317" i="1"/>
  <c r="I2" i="1"/>
  <c r="P8" i="1" s="1"/>
  <c r="I511" i="1"/>
  <c r="I491" i="1"/>
  <c r="I471" i="1"/>
  <c r="I451" i="1"/>
  <c r="I431" i="1"/>
  <c r="I411" i="1"/>
  <c r="I391" i="1"/>
  <c r="I371" i="1"/>
  <c r="I351" i="1"/>
  <c r="I331" i="1"/>
  <c r="I311" i="1"/>
  <c r="I291" i="1"/>
  <c r="I271" i="1"/>
  <c r="I251" i="1"/>
  <c r="I231" i="1"/>
  <c r="I211" i="1"/>
  <c r="I191" i="1"/>
  <c r="I171" i="1"/>
  <c r="I151" i="1"/>
  <c r="I131" i="1"/>
  <c r="I111" i="1"/>
  <c r="I91" i="1"/>
  <c r="I71" i="1"/>
  <c r="I51" i="1"/>
  <c r="I31" i="1"/>
  <c r="I11" i="1"/>
  <c r="I457" i="1"/>
  <c r="I437" i="1"/>
  <c r="P4" i="1"/>
  <c r="I529" i="1"/>
  <c r="I509" i="1"/>
  <c r="I489" i="1"/>
  <c r="I469" i="1"/>
  <c r="I449" i="1"/>
  <c r="I429" i="1"/>
  <c r="I409" i="1"/>
  <c r="I389" i="1"/>
  <c r="I369" i="1"/>
  <c r="I349" i="1"/>
  <c r="I329" i="1"/>
  <c r="I309" i="1"/>
  <c r="I289" i="1"/>
  <c r="I269" i="1"/>
  <c r="I249" i="1"/>
  <c r="I229" i="1"/>
  <c r="I209" i="1"/>
  <c r="I189" i="1"/>
  <c r="I169" i="1"/>
  <c r="I149" i="1"/>
  <c r="I129" i="1"/>
  <c r="I109" i="1"/>
  <c r="I89" i="1"/>
  <c r="I69" i="1"/>
  <c r="I49" i="1"/>
  <c r="I29" i="1"/>
  <c r="I9" i="1"/>
  <c r="I447" i="1"/>
  <c r="I267" i="1"/>
  <c r="I67" i="1"/>
  <c r="I467" i="1"/>
  <c r="I387" i="1"/>
  <c r="I207" i="1"/>
  <c r="I107" i="1"/>
  <c r="I525" i="1"/>
  <c r="I505" i="1"/>
  <c r="I485" i="1"/>
  <c r="I465" i="1"/>
  <c r="I445" i="1"/>
  <c r="I425" i="1"/>
  <c r="I405" i="1"/>
  <c r="I385" i="1"/>
  <c r="I365" i="1"/>
  <c r="I345" i="1"/>
  <c r="I325" i="1"/>
  <c r="I305" i="1"/>
  <c r="I285" i="1"/>
  <c r="I265" i="1"/>
  <c r="I245" i="1"/>
  <c r="I225" i="1"/>
  <c r="I205" i="1"/>
  <c r="I185" i="1"/>
  <c r="I165" i="1"/>
  <c r="I145" i="1"/>
  <c r="I125" i="1"/>
  <c r="I105" i="1"/>
  <c r="I85" i="1"/>
  <c r="I65" i="1"/>
  <c r="I45" i="1"/>
  <c r="I25" i="1"/>
  <c r="I5" i="1"/>
  <c r="I487" i="1"/>
  <c r="I347" i="1"/>
  <c r="I187" i="1"/>
  <c r="I47" i="1"/>
  <c r="I507" i="1"/>
  <c r="I407" i="1"/>
  <c r="I367" i="1"/>
  <c r="I307" i="1"/>
  <c r="I247" i="1"/>
  <c r="I227" i="1"/>
  <c r="I167" i="1"/>
  <c r="I7" i="1"/>
  <c r="I523" i="1"/>
  <c r="I503" i="1"/>
  <c r="I483" i="1"/>
  <c r="I463" i="1"/>
  <c r="I443" i="1"/>
  <c r="I423" i="1"/>
  <c r="I403" i="1"/>
  <c r="I383" i="1"/>
  <c r="I363" i="1"/>
  <c r="I343" i="1"/>
  <c r="I323" i="1"/>
  <c r="I303" i="1"/>
  <c r="I283" i="1"/>
  <c r="I263" i="1"/>
  <c r="I243" i="1"/>
  <c r="I223" i="1"/>
  <c r="I203" i="1"/>
  <c r="I183" i="1"/>
  <c r="I163" i="1"/>
  <c r="I143" i="1"/>
  <c r="I123" i="1"/>
  <c r="I103" i="1"/>
  <c r="I83" i="1"/>
  <c r="I63" i="1"/>
  <c r="I43" i="1"/>
  <c r="I23" i="1"/>
  <c r="I3" i="1"/>
  <c r="I287" i="1"/>
  <c r="I27" i="1"/>
  <c r="I327" i="1"/>
  <c r="I147" i="1"/>
  <c r="I87" i="1"/>
  <c r="I521" i="1"/>
  <c r="I501" i="1"/>
  <c r="I481" i="1"/>
  <c r="I461" i="1"/>
  <c r="I441" i="1"/>
  <c r="I421" i="1"/>
  <c r="I401" i="1"/>
  <c r="I381" i="1"/>
  <c r="I361" i="1"/>
  <c r="I341" i="1"/>
  <c r="I321" i="1"/>
  <c r="I301" i="1"/>
  <c r="I281" i="1"/>
  <c r="I261" i="1"/>
  <c r="I241" i="1"/>
  <c r="I221" i="1"/>
  <c r="I201" i="1"/>
  <c r="I181" i="1"/>
  <c r="I161" i="1"/>
  <c r="I141" i="1"/>
  <c r="I121" i="1"/>
  <c r="I101" i="1"/>
  <c r="I81" i="1"/>
  <c r="I61" i="1"/>
  <c r="I41" i="1"/>
  <c r="I21" i="1"/>
  <c r="Q4" i="1"/>
  <c r="S4" i="1"/>
  <c r="R4" i="1"/>
  <c r="Q2" i="1"/>
  <c r="P2" i="1"/>
  <c r="S2" i="1"/>
  <c r="R2" i="1"/>
  <c r="P3" i="1"/>
  <c r="S3" i="1"/>
  <c r="R3" i="1"/>
  <c r="Q3" i="1"/>
  <c r="P6" i="1" l="1"/>
  <c r="Q6" i="1"/>
  <c r="R6" i="1"/>
  <c r="S6" i="1"/>
</calcChain>
</file>

<file path=xl/sharedStrings.xml><?xml version="1.0" encoding="utf-8"?>
<sst xmlns="http://schemas.openxmlformats.org/spreadsheetml/2006/main" count="58" uniqueCount="17">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</sst>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tabSelected="1" workbookViewId="0">
      <selection activeCell="R26" sqref="R26"/>
    </sheetView>
  </sheetViews>
  <sheetFormatPr defaultRowHeight="15" x14ac:dyDescent="0.25"/>
  <cols>
    <col min="4" max="4" width="13.140625" bestFit="1" customWidth="1"/>
    <col min="16" max="16" width="12" bestFit="1" customWidth="1"/>
  </cols>
  <sheetData>
    <row r="1" spans="1:1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9" x14ac:dyDescent="0.25">
      <c r="A2">
        <f>-'R1'!H2</f>
        <v>44</v>
      </c>
      <c r="B2">
        <f>DEGREES(ATAN(-SIN(RADIANS(('R1'!I2)))/(COS(RADIANS(Sheet1!A2))*COS(RADIANS('R1'!I2)))))</f>
        <v>53.317641506405714</v>
      </c>
      <c r="C2">
        <f>AVERAGE('R1'!J2,'R2'!J2,'R3'!J2)</f>
        <v>1.1758333333333333</v>
      </c>
      <c r="D2">
        <f>AVERAGE('R1'!K2,'R2'!K2,'R3'!K2)</f>
        <v>21.098400333333334</v>
      </c>
      <c r="E2">
        <f>AVERAGE('R1'!L2,'R2'!L2,'R3'!L2)</f>
        <v>2.2672082677721361</v>
      </c>
      <c r="F2">
        <f>AVERAGE('R1'!M2,'R2'!M2,'R3'!M2)</f>
        <v>-2.6578388266042721</v>
      </c>
      <c r="G2">
        <f>AVERAGE('R1'!N2,'R2'!N2,'R3'!N2)</f>
        <v>-2.2623628819301569</v>
      </c>
      <c r="H2">
        <f>AVERAGE('R1'!O2,'R2'!O2,'R3'!O2)</f>
        <v>-1.9384553744067035</v>
      </c>
      <c r="I2">
        <f>C2*D2*0.003/(1.8*10^-5)</f>
        <v>4134.7003986574073</v>
      </c>
      <c r="K2">
        <f>_xlfn.STDEV.S('R1'!L2,'R2'!L2,'R3'!L2)</f>
        <v>2.7781404819067837E-2</v>
      </c>
      <c r="L2">
        <f>_xlfn.STDEV.S('R1'!M2,'R2'!M2,'R3'!M2)</f>
        <v>3.4822138533202034E-2</v>
      </c>
      <c r="M2">
        <f>_xlfn.STDEV.S('R1'!N2,'R2'!N2,'R3'!N2)</f>
        <v>5.0436481055472694E-2</v>
      </c>
      <c r="N2">
        <f>_xlfn.STDEV.S('R1'!O2,'R2'!O2,'R3'!O2)</f>
        <v>2.1996887811602039E-2</v>
      </c>
      <c r="P2">
        <f>MAX(K:K)</f>
        <v>6.3914294509537492E-2</v>
      </c>
      <c r="Q2">
        <f t="shared" ref="Q2:S2" si="0">MAX(L:L)</f>
        <v>6.9862261641269088E-2</v>
      </c>
      <c r="R2">
        <f t="shared" si="0"/>
        <v>6.2264368313235986E-2</v>
      </c>
      <c r="S2">
        <f t="shared" si="0"/>
        <v>2.2020439986407462E-2</v>
      </c>
    </row>
    <row r="3" spans="1:19" x14ac:dyDescent="0.25">
      <c r="A3">
        <f>-'R1'!H3</f>
        <v>44</v>
      </c>
      <c r="B3">
        <f>DEGREES(ATAN(-SIN(RADIANS(('R1'!I3)))/(COS(RADIANS(Sheet1!A3))*COS(RADIANS('R1'!I3)))))</f>
        <v>49.394314915379752</v>
      </c>
      <c r="C3">
        <f>AVERAGE('R1'!J3,'R2'!J3,'R3'!J3)</f>
        <v>1.1749999999999998</v>
      </c>
      <c r="D3">
        <f>AVERAGE('R1'!K3,'R2'!K3,'R3'!K3)</f>
        <v>20.935018416666669</v>
      </c>
      <c r="E3">
        <f>AVERAGE('R1'!L3,'R2'!L3,'R3'!L3)</f>
        <v>2.1457171534304096</v>
      </c>
      <c r="F3">
        <f>AVERAGE('R1'!M3,'R2'!M3,'R3'!M3)</f>
        <v>-2.5917271365724317</v>
      </c>
      <c r="G3">
        <f>AVERAGE('R1'!N3,'R2'!N3,'R3'!N3)</f>
        <v>-2.0992283635085216</v>
      </c>
      <c r="H3">
        <f>AVERAGE('R1'!O3,'R2'!O3,'R3'!O3)</f>
        <v>-1.7993701162223452</v>
      </c>
      <c r="I3">
        <f t="shared" ref="I3:I66" si="1">C3*D3*0.003/(1.8*10^-5)</f>
        <v>4099.7744399305557</v>
      </c>
      <c r="K3">
        <f>_xlfn.STDEV.S('R1'!L3,'R2'!L3,'R3'!L3)</f>
        <v>2.0548100269171199E-2</v>
      </c>
      <c r="L3">
        <f>_xlfn.STDEV.S('R1'!M3,'R2'!M3,'R3'!M3)</f>
        <v>1.6828703111443865E-2</v>
      </c>
      <c r="M3">
        <f>_xlfn.STDEV.S('R1'!N3,'R2'!N3,'R3'!N3)</f>
        <v>2.7576304611211699E-2</v>
      </c>
      <c r="N3">
        <f>_xlfn.STDEV.S('R1'!O3,'R2'!O3,'R3'!O3)</f>
        <v>1.1074163887181467E-2</v>
      </c>
      <c r="P3">
        <f>MIN(K:K)</f>
        <v>3.4055936060637792E-4</v>
      </c>
      <c r="Q3">
        <f t="shared" ref="Q3:S3" si="2">MIN(L:L)</f>
        <v>2.8869611647991861E-4</v>
      </c>
      <c r="R3">
        <f t="shared" si="2"/>
        <v>2.6701879621169651E-4</v>
      </c>
      <c r="S3">
        <f t="shared" si="2"/>
        <v>1.2801021194741965E-4</v>
      </c>
    </row>
    <row r="4" spans="1:19" x14ac:dyDescent="0.25">
      <c r="A4">
        <f>-'R1'!H4</f>
        <v>44</v>
      </c>
      <c r="B4">
        <f>DEGREES(ATAN(-SIN(RADIANS(('R1'!I4)))/(COS(RADIANS(Sheet1!A4))*COS(RADIANS('R1'!I4)))))</f>
        <v>45.285419134418312</v>
      </c>
      <c r="C4">
        <f>AVERAGE('R1'!J4,'R2'!J4,'R3'!J4)</f>
        <v>1.1766666666666665</v>
      </c>
      <c r="D4">
        <f>AVERAGE('R1'!K4,'R2'!K4,'R3'!K4)</f>
        <v>20.738768333333329</v>
      </c>
      <c r="E4">
        <f>AVERAGE('R1'!L4,'R2'!L4,'R3'!L4)</f>
        <v>2.0348849486712126</v>
      </c>
      <c r="F4">
        <f>AVERAGE('R1'!M4,'R2'!M4,'R3'!M4)</f>
        <v>-2.5683921196222492</v>
      </c>
      <c r="G4">
        <f>AVERAGE('R1'!N4,'R2'!N4,'R3'!N4)</f>
        <v>-1.9846692686110927</v>
      </c>
      <c r="H4">
        <f>AVERAGE('R1'!O4,'R2'!O4,'R3'!O4)</f>
        <v>-1.6901336661292146</v>
      </c>
      <c r="I4">
        <f t="shared" si="1"/>
        <v>4067.1029009259246</v>
      </c>
      <c r="K4">
        <f>_xlfn.STDEV.S('R1'!L4,'R2'!L4,'R3'!L4)</f>
        <v>1.437589917154691E-2</v>
      </c>
      <c r="L4">
        <f>_xlfn.STDEV.S('R1'!M4,'R2'!M4,'R3'!M4)</f>
        <v>1.390620907282044E-2</v>
      </c>
      <c r="M4">
        <f>_xlfn.STDEV.S('R1'!N4,'R2'!N4,'R3'!N4)</f>
        <v>2.3629932422740384E-2</v>
      </c>
      <c r="N4">
        <f>_xlfn.STDEV.S('R1'!O4,'R2'!O4,'R3'!O4)</f>
        <v>1.1122001499919454E-2</v>
      </c>
      <c r="P4">
        <f>AVERAGE(K:K)</f>
        <v>8.7674228726876587E-3</v>
      </c>
      <c r="Q4">
        <f t="shared" ref="Q4:S4" si="3">AVERAGE(L:L)</f>
        <v>1.0243231178386894E-2</v>
      </c>
      <c r="R4">
        <f t="shared" si="3"/>
        <v>9.5726965295731825E-3</v>
      </c>
      <c r="S4">
        <f t="shared" si="3"/>
        <v>6.4968900822546865E-3</v>
      </c>
    </row>
    <row r="5" spans="1:19" x14ac:dyDescent="0.25">
      <c r="A5">
        <f>-'R1'!H5</f>
        <v>44</v>
      </c>
      <c r="B5">
        <f>DEGREES(ATAN(-SIN(RADIANS(('R1'!I5)))/(COS(RADIANS(Sheet1!A5))*COS(RADIANS('R1'!I5)))))</f>
        <v>40.979886989205063</v>
      </c>
      <c r="C5">
        <f>AVERAGE('R1'!J5,'R2'!J5,'R3'!J5)</f>
        <v>1.1766666666666665</v>
      </c>
      <c r="D5">
        <f>AVERAGE('R1'!K5,'R2'!K5,'R3'!K5)</f>
        <v>20.897053333333332</v>
      </c>
      <c r="E5">
        <f>AVERAGE('R1'!L5,'R2'!L5,'R3'!L5)</f>
        <v>1.9221407678899796</v>
      </c>
      <c r="F5">
        <f>AVERAGE('R1'!M5,'R2'!M5,'R3'!M5)</f>
        <v>-2.5925327121932136</v>
      </c>
      <c r="G5">
        <f>AVERAGE('R1'!N5,'R2'!N5,'R3'!N5)</f>
        <v>-1.9098800099650985</v>
      </c>
      <c r="H5">
        <f>AVERAGE('R1'!O5,'R2'!O5,'R3'!O5)</f>
        <v>-1.6018424472962149</v>
      </c>
      <c r="I5">
        <f t="shared" si="1"/>
        <v>4098.1443481481474</v>
      </c>
      <c r="K5">
        <f>_xlfn.STDEV.S('R1'!L5,'R2'!L5,'R3'!L5)</f>
        <v>1.4276946835152843E-2</v>
      </c>
      <c r="L5">
        <f>_xlfn.STDEV.S('R1'!M5,'R2'!M5,'R3'!M5)</f>
        <v>2.8395420746459534E-2</v>
      </c>
      <c r="M5">
        <f>_xlfn.STDEV.S('R1'!N5,'R2'!N5,'R3'!N5)</f>
        <v>3.3696315409284305E-2</v>
      </c>
      <c r="N5">
        <f>_xlfn.STDEV.S('R1'!O5,'R2'!O5,'R3'!O5)</f>
        <v>1.4242649166074484E-2</v>
      </c>
    </row>
    <row r="6" spans="1:19" x14ac:dyDescent="0.25">
      <c r="A6">
        <f>-'R1'!H6</f>
        <v>44</v>
      </c>
      <c r="B6">
        <f>DEGREES(ATAN(-SIN(RADIANS(('R1'!I6)))/(COS(RADIANS(Sheet1!A6))*COS(RADIANS('R1'!I6)))))</f>
        <v>36.470444456761925</v>
      </c>
      <c r="C6">
        <f>AVERAGE('R1'!J6,'R2'!J6,'R3'!J6)</f>
        <v>1.1741666666666666</v>
      </c>
      <c r="D6">
        <f>AVERAGE('R1'!K6,'R2'!K6,'R3'!K6)</f>
        <v>21.157700833333333</v>
      </c>
      <c r="E6">
        <f>AVERAGE('R1'!L6,'R2'!L6,'R3'!L6)</f>
        <v>1.8049478931481167</v>
      </c>
      <c r="F6">
        <f>AVERAGE('R1'!M6,'R2'!M6,'R3'!M6)</f>
        <v>-2.6744531298180179</v>
      </c>
      <c r="G6">
        <f>AVERAGE('R1'!N6,'R2'!N6,'R3'!N6)</f>
        <v>-1.8897142569975933</v>
      </c>
      <c r="H6">
        <f>AVERAGE('R1'!O6,'R2'!O6,'R3'!O6)</f>
        <v>-1.5366281641824155</v>
      </c>
      <c r="I6">
        <f t="shared" si="1"/>
        <v>4140.4445103009257</v>
      </c>
      <c r="K6">
        <f>_xlfn.STDEV.S('R1'!L6,'R2'!L6,'R3'!L6)</f>
        <v>1.6341105491700449E-2</v>
      </c>
      <c r="L6">
        <f>_xlfn.STDEV.S('R1'!M6,'R2'!M6,'R3'!M6)</f>
        <v>3.4554624075993884E-2</v>
      </c>
      <c r="M6">
        <f>_xlfn.STDEV.S('R1'!N6,'R2'!N6,'R3'!N6)</f>
        <v>4.0097880860694948E-2</v>
      </c>
      <c r="N6">
        <f>_xlfn.STDEV.S('R1'!O6,'R2'!O6,'R3'!O6)</f>
        <v>1.4776050448368105E-2</v>
      </c>
      <c r="P6">
        <f>AVERAGE(P2:P4)</f>
        <v>2.4340758914277175E-2</v>
      </c>
      <c r="Q6">
        <f t="shared" ref="Q6:S6" si="4">AVERAGE(Q2:Q4)</f>
        <v>2.6798062978711967E-2</v>
      </c>
      <c r="R6">
        <f t="shared" si="4"/>
        <v>2.4034694546340288E-2</v>
      </c>
      <c r="S6">
        <f t="shared" si="4"/>
        <v>9.548446760203189E-3</v>
      </c>
    </row>
    <row r="7" spans="1:19" x14ac:dyDescent="0.25">
      <c r="A7">
        <f>-'R1'!H7</f>
        <v>44</v>
      </c>
      <c r="B7">
        <f>DEGREES(ATAN(-SIN(RADIANS(('R1'!I7)))/(COS(RADIANS(Sheet1!A7))*COS(RADIANS('R1'!I7)))))</f>
        <v>31.755051399893443</v>
      </c>
      <c r="C7">
        <f>AVERAGE('R1'!J7,'R2'!J7,'R3'!J7)</f>
        <v>1.1758333333333333</v>
      </c>
      <c r="D7">
        <f>AVERAGE('R1'!K7,'R2'!K7,'R3'!K7)</f>
        <v>21.052773999999999</v>
      </c>
      <c r="E7">
        <f>AVERAGE('R1'!L7,'R2'!L7,'R3'!L7)</f>
        <v>1.659821744431393</v>
      </c>
      <c r="F7">
        <f>AVERAGE('R1'!M7,'R2'!M7,'R3'!M7)</f>
        <v>-2.8119886623024235</v>
      </c>
      <c r="G7">
        <f>AVERAGE('R1'!N7,'R2'!N7,'R3'!N7)</f>
        <v>-1.9086349889101129</v>
      </c>
      <c r="H7">
        <f>AVERAGE('R1'!O7,'R2'!O7,'R3'!O7)</f>
        <v>-1.4887494801870556</v>
      </c>
      <c r="I7">
        <f t="shared" si="1"/>
        <v>4125.7589047222218</v>
      </c>
      <c r="K7">
        <f>_xlfn.STDEV.S('R1'!L7,'R2'!L7,'R3'!L7)</f>
        <v>7.7628270525937296E-3</v>
      </c>
      <c r="L7">
        <f>_xlfn.STDEV.S('R1'!M7,'R2'!M7,'R3'!M7)</f>
        <v>3.5995736361395525E-2</v>
      </c>
      <c r="M7">
        <f>_xlfn.STDEV.S('R1'!N7,'R2'!N7,'R3'!N7)</f>
        <v>3.6916816995166427E-2</v>
      </c>
      <c r="N7">
        <f>_xlfn.STDEV.S('R1'!O7,'R2'!O7,'R3'!O7)</f>
        <v>1.1581326529792633E-2</v>
      </c>
    </row>
    <row r="8" spans="1:19" x14ac:dyDescent="0.25">
      <c r="A8">
        <f>-'R1'!H8</f>
        <v>44</v>
      </c>
      <c r="B8">
        <f>DEGREES(ATAN(-SIN(RADIANS(('R1'!I8)))/(COS(RADIANS(Sheet1!A8))*COS(RADIANS('R1'!I8)))))</f>
        <v>26.838414444764965</v>
      </c>
      <c r="C8">
        <f>AVERAGE('R1'!J8,'R2'!J8,'R3'!J8)</f>
        <v>1.1766666666666665</v>
      </c>
      <c r="D8">
        <f>AVERAGE('R1'!K8,'R2'!K8,'R3'!K8)</f>
        <v>20.831251583333334</v>
      </c>
      <c r="E8">
        <f>AVERAGE('R1'!L8,'R2'!L8,'R3'!L8)</f>
        <v>1.5054804731154838</v>
      </c>
      <c r="F8">
        <f>AVERAGE('R1'!M8,'R2'!M8,'R3'!M8)</f>
        <v>-3.0359215729399636</v>
      </c>
      <c r="G8">
        <f>AVERAGE('R1'!N8,'R2'!N8,'R3'!N8)</f>
        <v>-2.0072965582566105</v>
      </c>
      <c r="H8">
        <f>AVERAGE('R1'!O8,'R2'!O8,'R3'!O8)</f>
        <v>-1.4722377230462869</v>
      </c>
      <c r="I8">
        <f t="shared" si="1"/>
        <v>4085.2398938425922</v>
      </c>
      <c r="K8">
        <f>_xlfn.STDEV.S('R1'!L8,'R2'!L8,'R3'!L8)</f>
        <v>1.6516808571735847E-3</v>
      </c>
      <c r="L8">
        <f>_xlfn.STDEV.S('R1'!M8,'R2'!M8,'R3'!M8)</f>
        <v>3.7126643539559169E-2</v>
      </c>
      <c r="M8">
        <f>_xlfn.STDEV.S('R1'!N8,'R2'!N8,'R3'!N8)</f>
        <v>3.3219059017143171E-2</v>
      </c>
      <c r="N8">
        <f>_xlfn.STDEV.S('R1'!O8,'R2'!O8,'R3'!O8)</f>
        <v>1.0364272071524459E-2</v>
      </c>
      <c r="P8">
        <f>AVERAGE(I:I)</f>
        <v>4052.2414984625584</v>
      </c>
    </row>
    <row r="9" spans="1:19" x14ac:dyDescent="0.25">
      <c r="A9">
        <f>-'R1'!H9</f>
        <v>44</v>
      </c>
      <c r="B9">
        <f>DEGREES(ATAN(-SIN(RADIANS(('R1'!I9)))/(COS(RADIANS(Sheet1!A9))*COS(RADIANS('R1'!I9)))))</f>
        <v>21.733362927744114</v>
      </c>
      <c r="C9">
        <f>AVERAGE('R1'!J9,'R2'!J9,'R3'!J9)</f>
        <v>1.1766666666666665</v>
      </c>
      <c r="D9">
        <f>AVERAGE('R1'!K9,'R2'!K9,'R3'!K9)</f>
        <v>20.660429499999999</v>
      </c>
      <c r="E9">
        <f>AVERAGE('R1'!L9,'R2'!L9,'R3'!L9)</f>
        <v>1.2907710135340749</v>
      </c>
      <c r="F9">
        <f>AVERAGE('R1'!M9,'R2'!M9,'R3'!M9)</f>
        <v>-3.2492636849523122</v>
      </c>
      <c r="G9">
        <f>AVERAGE('R1'!N9,'R2'!N9,'R3'!N9)</f>
        <v>-2.0799352111246794</v>
      </c>
      <c r="H9">
        <f>AVERAGE('R1'!O9,'R2'!O9,'R3'!O9)</f>
        <v>-1.4315398874285663</v>
      </c>
      <c r="I9">
        <f t="shared" si="1"/>
        <v>4051.7397852777772</v>
      </c>
      <c r="K9">
        <f>_xlfn.STDEV.S('R1'!L9,'R2'!L9,'R3'!L9)</f>
        <v>3.8701861161409626E-3</v>
      </c>
      <c r="L9">
        <f>_xlfn.STDEV.S('R1'!M9,'R2'!M9,'R3'!M9)</f>
        <v>4.7009187598747504E-2</v>
      </c>
      <c r="M9">
        <f>_xlfn.STDEV.S('R1'!N9,'R2'!N9,'R3'!N9)</f>
        <v>4.0675879285804788E-2</v>
      </c>
      <c r="N9">
        <f>_xlfn.STDEV.S('R1'!O9,'R2'!O9,'R3'!O9)</f>
        <v>1.6135038705036502E-2</v>
      </c>
    </row>
    <row r="10" spans="1:19" x14ac:dyDescent="0.25">
      <c r="A10">
        <f>-'R1'!H10</f>
        <v>44</v>
      </c>
      <c r="B10">
        <f>DEGREES(ATAN(-SIN(RADIANS(('R1'!I10)))/(COS(RADIANS(Sheet1!A10))*COS(RADIANS('R1'!I10)))))</f>
        <v>16.461798422084197</v>
      </c>
      <c r="C10">
        <f>AVERAGE('R1'!J10,'R2'!J10,'R3'!J10)</f>
        <v>1.1766666666666665</v>
      </c>
      <c r="D10">
        <f>AVERAGE('R1'!K10,'R2'!K10,'R3'!K10)</f>
        <v>20.500677999999997</v>
      </c>
      <c r="E10">
        <f>AVERAGE('R1'!L10,'R2'!L10,'R3'!L10)</f>
        <v>1.0194479105632344</v>
      </c>
      <c r="F10">
        <f>AVERAGE('R1'!M10,'R2'!M10,'R3'!M10)</f>
        <v>-3.572666348415515</v>
      </c>
      <c r="G10">
        <f>AVERAGE('R1'!N10,'R2'!N10,'R3'!N10)</f>
        <v>-2.2346481078569003</v>
      </c>
      <c r="H10">
        <f>AVERAGE('R1'!O10,'R2'!O10,'R3'!O10)</f>
        <v>-1.4218667388303114</v>
      </c>
      <c r="I10">
        <f t="shared" si="1"/>
        <v>4020.4107411111104</v>
      </c>
      <c r="K10">
        <f>_xlfn.STDEV.S('R1'!L10,'R2'!L10,'R3'!L10)</f>
        <v>8.0402026488018072E-3</v>
      </c>
      <c r="L10">
        <f>_xlfn.STDEV.S('R1'!M10,'R2'!M10,'R3'!M10)</f>
        <v>6.9862261641269088E-2</v>
      </c>
      <c r="M10">
        <f>_xlfn.STDEV.S('R1'!N10,'R2'!N10,'R3'!N10)</f>
        <v>6.2264368313235986E-2</v>
      </c>
      <c r="N10">
        <f>_xlfn.STDEV.S('R1'!O10,'R2'!O10,'R3'!O10)</f>
        <v>2.2020439986407462E-2</v>
      </c>
    </row>
    <row r="11" spans="1:19" x14ac:dyDescent="0.25">
      <c r="A11">
        <f>-'R1'!H11</f>
        <v>44</v>
      </c>
      <c r="B11">
        <f>DEGREES(ATAN(-SIN(RADIANS(('R1'!I11)))/(COS(RADIANS(Sheet1!A11))*COS(RADIANS('R1'!I11)))))</f>
        <v>11.054892671059431</v>
      </c>
      <c r="C11">
        <f>AVERAGE('R1'!J11,'R2'!J11,'R3'!J11)</f>
        <v>1.1766666666666665</v>
      </c>
      <c r="D11">
        <f>AVERAGE('R1'!K11,'R2'!K11,'R3'!K11)</f>
        <v>20.40189775</v>
      </c>
      <c r="E11">
        <f>AVERAGE('R1'!L11,'R2'!L11,'R3'!L11)</f>
        <v>0.68860292503452014</v>
      </c>
      <c r="F11">
        <f>AVERAGE('R1'!M11,'R2'!M11,'R3'!M11)</f>
        <v>-3.9585046201661385</v>
      </c>
      <c r="G11">
        <f>AVERAGE('R1'!N11,'R2'!N11,'R3'!N11)</f>
        <v>-2.4339324934903459</v>
      </c>
      <c r="H11">
        <f>AVERAGE('R1'!O11,'R2'!O11,'R3'!O11)</f>
        <v>-1.4231581317849793</v>
      </c>
      <c r="I11">
        <f t="shared" si="1"/>
        <v>4001.0388365277777</v>
      </c>
      <c r="K11">
        <f>_xlfn.STDEV.S('R1'!L11,'R2'!L11,'R3'!L11)</f>
        <v>9.8160029142378355E-3</v>
      </c>
      <c r="L11">
        <f>_xlfn.STDEV.S('R1'!M11,'R2'!M11,'R3'!M11)</f>
        <v>5.6854376224563762E-2</v>
      </c>
      <c r="M11">
        <f>_xlfn.STDEV.S('R1'!N11,'R2'!N11,'R3'!N11)</f>
        <v>4.2532316797071416E-2</v>
      </c>
      <c r="N11">
        <f>_xlfn.STDEV.S('R1'!O11,'R2'!O11,'R3'!O11)</f>
        <v>1.2437278227699307E-2</v>
      </c>
    </row>
    <row r="12" spans="1:19" x14ac:dyDescent="0.25">
      <c r="A12">
        <f>-'R1'!H12</f>
        <v>44</v>
      </c>
      <c r="B12">
        <f>DEGREES(ATAN(-SIN(RADIANS(('R1'!I12)))/(COS(RADIANS(Sheet1!A12))*COS(RADIANS('R1'!I12)))))</f>
        <v>5.5522607339018597</v>
      </c>
      <c r="C12">
        <f>AVERAGE('R1'!J12,'R2'!J12,'R3'!J12)</f>
        <v>1.1766666666666665</v>
      </c>
      <c r="D12">
        <f>AVERAGE('R1'!K12,'R2'!K12,'R3'!K12)</f>
        <v>20.682919250000001</v>
      </c>
      <c r="E12">
        <f>AVERAGE('R1'!L12,'R2'!L12,'R3'!L12)</f>
        <v>0.26267466340449658</v>
      </c>
      <c r="F12">
        <f>AVERAGE('R1'!M12,'R2'!M12,'R3'!M12)</f>
        <v>-4.4027880777558073</v>
      </c>
      <c r="G12">
        <f>AVERAGE('R1'!N12,'R2'!N12,'R3'!N12)</f>
        <v>-2.6711336672466817</v>
      </c>
      <c r="H12">
        <f>AVERAGE('R1'!O12,'R2'!O12,'R3'!O12)</f>
        <v>-1.4338995221433333</v>
      </c>
      <c r="I12">
        <f t="shared" si="1"/>
        <v>4056.1502751388889</v>
      </c>
      <c r="K12">
        <f>_xlfn.STDEV.S('R1'!L12,'R2'!L12,'R3'!L12)</f>
        <v>2.8030977344962123E-2</v>
      </c>
      <c r="L12">
        <f>_xlfn.STDEV.S('R1'!M12,'R2'!M12,'R3'!M12)</f>
        <v>6.2119676367113054E-2</v>
      </c>
      <c r="M12">
        <f>_xlfn.STDEV.S('R1'!N12,'R2'!N12,'R3'!N12)</f>
        <v>4.64811976755376E-2</v>
      </c>
      <c r="N12">
        <f>_xlfn.STDEV.S('R1'!O12,'R2'!O12,'R3'!O12)</f>
        <v>1.5531573764560836E-2</v>
      </c>
    </row>
    <row r="13" spans="1:19" x14ac:dyDescent="0.25">
      <c r="A13">
        <f>-'R1'!H13</f>
        <v>44</v>
      </c>
      <c r="B13">
        <f>DEGREES(ATAN(-SIN(RADIANS(('R1'!I13)))/(COS(RADIANS(Sheet1!A13))*COS(RADIANS('R1'!I13)))))</f>
        <v>0</v>
      </c>
      <c r="C13">
        <f>AVERAGE('R1'!J13,'R2'!J13,'R3'!J13)</f>
        <v>1.1766666666666665</v>
      </c>
      <c r="D13">
        <f>AVERAGE('R1'!K13,'R2'!K13,'R3'!K13)</f>
        <v>21.016266083333335</v>
      </c>
      <c r="E13">
        <f>AVERAGE('R1'!L13,'R2'!L13,'R3'!L13)</f>
        <v>-0.24795699050134121</v>
      </c>
      <c r="F13">
        <f>AVERAGE('R1'!M13,'R2'!M13,'R3'!M13)</f>
        <v>-4.3078976358042302</v>
      </c>
      <c r="G13">
        <f>AVERAGE('R1'!N13,'R2'!N13,'R3'!N13)</f>
        <v>-2.5771009652893238</v>
      </c>
      <c r="H13">
        <f>AVERAGE('R1'!O13,'R2'!O13,'R3'!O13)</f>
        <v>-1.3947783640560194</v>
      </c>
      <c r="I13">
        <f t="shared" si="1"/>
        <v>4121.5232930092589</v>
      </c>
      <c r="K13">
        <f>_xlfn.STDEV.S('R1'!L13,'R2'!L13,'R3'!L13)</f>
        <v>1.6047320137911211E-2</v>
      </c>
      <c r="L13">
        <f>_xlfn.STDEV.S('R1'!M13,'R2'!M13,'R3'!M13)</f>
        <v>2.7796624585925599E-2</v>
      </c>
      <c r="M13">
        <f>_xlfn.STDEV.S('R1'!N13,'R2'!N13,'R3'!N13)</f>
        <v>2.1345714443308711E-2</v>
      </c>
      <c r="N13">
        <f>_xlfn.STDEV.S('R1'!O13,'R2'!O13,'R3'!O13)</f>
        <v>5.0198555219604256E-3</v>
      </c>
    </row>
    <row r="14" spans="1:19" x14ac:dyDescent="0.25">
      <c r="A14">
        <f>-'R1'!H14</f>
        <v>44</v>
      </c>
      <c r="B14">
        <f>DEGREES(ATAN(-SIN(RADIANS(('R1'!I14)))/(COS(RADIANS(Sheet1!A14))*COS(RADIANS('R1'!I14)))))</f>
        <v>-5.5522607339018597</v>
      </c>
      <c r="C14">
        <f>AVERAGE('R1'!J14,'R2'!J14,'R3'!J14)</f>
        <v>1.1766666666666665</v>
      </c>
      <c r="D14">
        <f>AVERAGE('R1'!K14,'R2'!K14,'R3'!K14)</f>
        <v>21.300537916666666</v>
      </c>
      <c r="E14">
        <f>AVERAGE('R1'!L14,'R2'!L14,'R3'!L14)</f>
        <v>-0.64456269248296649</v>
      </c>
      <c r="F14">
        <f>AVERAGE('R1'!M14,'R2'!M14,'R3'!M14)</f>
        <v>-3.7428110017093132</v>
      </c>
      <c r="G14">
        <f>AVERAGE('R1'!N14,'R2'!N14,'R3'!N14)</f>
        <v>-2.2156344208307566</v>
      </c>
      <c r="H14">
        <f>AVERAGE('R1'!O14,'R2'!O14,'R3'!O14)</f>
        <v>-1.32868612342971</v>
      </c>
      <c r="I14">
        <f t="shared" si="1"/>
        <v>4177.2721581018513</v>
      </c>
      <c r="K14">
        <f>_xlfn.STDEV.S('R1'!L14,'R2'!L14,'R3'!L14)</f>
        <v>7.3191575866218264E-3</v>
      </c>
      <c r="L14">
        <f>_xlfn.STDEV.S('R1'!M14,'R2'!M14,'R3'!M14)</f>
        <v>2.6891198945064289E-2</v>
      </c>
      <c r="M14">
        <f>_xlfn.STDEV.S('R1'!N14,'R2'!N14,'R3'!N14)</f>
        <v>2.1948691557114951E-2</v>
      </c>
      <c r="N14">
        <f>_xlfn.STDEV.S('R1'!O14,'R2'!O14,'R3'!O14)</f>
        <v>8.5115223082649644E-3</v>
      </c>
    </row>
    <row r="15" spans="1:19" x14ac:dyDescent="0.25">
      <c r="A15">
        <f>-'R1'!H15</f>
        <v>44</v>
      </c>
      <c r="B15">
        <f>DEGREES(ATAN(-SIN(RADIANS(('R1'!I15)))/(COS(RADIANS(Sheet1!A15))*COS(RADIANS('R1'!I15)))))</f>
        <v>-11.054892671059431</v>
      </c>
      <c r="C15">
        <f>AVERAGE('R1'!J15,'R2'!J15,'R3'!J15)</f>
        <v>1.1766666666666665</v>
      </c>
      <c r="D15">
        <f>AVERAGE('R1'!K15,'R2'!K15,'R3'!K15)</f>
        <v>21.365114583333334</v>
      </c>
      <c r="E15">
        <f>AVERAGE('R1'!L15,'R2'!L15,'R3'!L15)</f>
        <v>-0.94390176471687692</v>
      </c>
      <c r="F15">
        <f>AVERAGE('R1'!M15,'R2'!M15,'R3'!M15)</f>
        <v>-3.3294708966845872</v>
      </c>
      <c r="G15">
        <f>AVERAGE('R1'!N15,'R2'!N15,'R3'!N15)</f>
        <v>-1.9672034849923954</v>
      </c>
      <c r="H15">
        <f>AVERAGE('R1'!O15,'R2'!O15,'R3'!O15)</f>
        <v>-1.2965130431422143</v>
      </c>
      <c r="I15">
        <f t="shared" si="1"/>
        <v>4189.9363599537028</v>
      </c>
      <c r="K15">
        <f>_xlfn.STDEV.S('R1'!L15,'R2'!L15,'R3'!L15)</f>
        <v>4.3102764928160302E-3</v>
      </c>
      <c r="L15">
        <f>_xlfn.STDEV.S('R1'!M15,'R2'!M15,'R3'!M15)</f>
        <v>1.4390589625546717E-2</v>
      </c>
      <c r="M15">
        <f>_xlfn.STDEV.S('R1'!N15,'R2'!N15,'R3'!N15)</f>
        <v>1.19170416852867E-2</v>
      </c>
      <c r="N15">
        <f>_xlfn.STDEV.S('R1'!O15,'R2'!O15,'R3'!O15)</f>
        <v>1.5639154699045969E-3</v>
      </c>
    </row>
    <row r="16" spans="1:19" x14ac:dyDescent="0.25">
      <c r="A16">
        <f>-'R1'!H16</f>
        <v>44</v>
      </c>
      <c r="B16">
        <f>DEGREES(ATAN(-SIN(RADIANS(('R1'!I16)))/(COS(RADIANS(Sheet1!A16))*COS(RADIANS('R1'!I16)))))</f>
        <v>-16.461798422084197</v>
      </c>
      <c r="C16">
        <f>AVERAGE('R1'!J16,'R2'!J16,'R3'!J16)</f>
        <v>1.1766666666666665</v>
      </c>
      <c r="D16">
        <f>AVERAGE('R1'!K16,'R2'!K16,'R3'!K16)</f>
        <v>21.098969583333332</v>
      </c>
      <c r="E16">
        <f>AVERAGE('R1'!L16,'R2'!L16,'R3'!L16)</f>
        <v>-1.1751172655124262</v>
      </c>
      <c r="F16">
        <f>AVERAGE('R1'!M16,'R2'!M16,'R3'!M16)</f>
        <v>-3.03062775066789</v>
      </c>
      <c r="G16">
        <f>AVERAGE('R1'!N16,'R2'!N16,'R3'!N16)</f>
        <v>-1.807342925360927</v>
      </c>
      <c r="H16">
        <f>AVERAGE('R1'!O16,'R2'!O16,'R3'!O16)</f>
        <v>-1.2883670200418407</v>
      </c>
      <c r="I16">
        <f t="shared" si="1"/>
        <v>4137.7423682870367</v>
      </c>
      <c r="K16">
        <f>_xlfn.STDEV.S('R1'!L16,'R2'!L16,'R3'!L16)</f>
        <v>4.3788909265923964E-3</v>
      </c>
      <c r="L16">
        <f>_xlfn.STDEV.S('R1'!M16,'R2'!M16,'R3'!M16)</f>
        <v>2.0000651509232272E-2</v>
      </c>
      <c r="M16">
        <f>_xlfn.STDEV.S('R1'!N16,'R2'!N16,'R3'!N16)</f>
        <v>1.4814742391297091E-2</v>
      </c>
      <c r="N16">
        <f>_xlfn.STDEV.S('R1'!O16,'R2'!O16,'R3'!O16)</f>
        <v>3.9967974192548252E-3</v>
      </c>
    </row>
    <row r="17" spans="1:14" x14ac:dyDescent="0.25">
      <c r="A17">
        <f>-'R1'!H17</f>
        <v>44</v>
      </c>
      <c r="B17">
        <f>DEGREES(ATAN(-SIN(RADIANS(('R1'!I17)))/(COS(RADIANS(Sheet1!A17))*COS(RADIANS('R1'!I17)))))</f>
        <v>-21.733362927744114</v>
      </c>
      <c r="C17">
        <f>AVERAGE('R1'!J17,'R2'!J17,'R3'!J17)</f>
        <v>1.1733333333333331</v>
      </c>
      <c r="D17">
        <f>AVERAGE('R1'!K17,'R2'!K17,'R3'!K17)</f>
        <v>20.9653755</v>
      </c>
      <c r="E17">
        <f>AVERAGE('R1'!L17,'R2'!L17,'R3'!L17)</f>
        <v>-1.3792051427222691</v>
      </c>
      <c r="F17">
        <f>AVERAGE('R1'!M17,'R2'!M17,'R3'!M17)</f>
        <v>-2.8089669985554688</v>
      </c>
      <c r="G17">
        <f>AVERAGE('R1'!N17,'R2'!N17,'R3'!N17)</f>
        <v>-1.7119631038418628</v>
      </c>
      <c r="H17">
        <f>AVERAGE('R1'!O17,'R2'!O17,'R3'!O17)</f>
        <v>-1.2999162513982601</v>
      </c>
      <c r="I17">
        <f t="shared" si="1"/>
        <v>4099.8956533333321</v>
      </c>
      <c r="K17">
        <f>_xlfn.STDEV.S('R1'!L17,'R2'!L17,'R3'!L17)</f>
        <v>8.5735771431817362E-3</v>
      </c>
      <c r="L17">
        <f>_xlfn.STDEV.S('R1'!M17,'R2'!M17,'R3'!M17)</f>
        <v>1.1080978236766422E-2</v>
      </c>
      <c r="M17">
        <f>_xlfn.STDEV.S('R1'!N17,'R2'!N17,'R3'!N17)</f>
        <v>9.6994396952223162E-3</v>
      </c>
      <c r="N17">
        <f>_xlfn.STDEV.S('R1'!O17,'R2'!O17,'R3'!O17)</f>
        <v>5.2770065380493064E-3</v>
      </c>
    </row>
    <row r="18" spans="1:14" x14ac:dyDescent="0.25">
      <c r="A18">
        <f>-'R1'!H18</f>
        <v>44</v>
      </c>
      <c r="B18">
        <f>DEGREES(ATAN(-SIN(RADIANS(('R1'!I18)))/(COS(RADIANS(Sheet1!A18))*COS(RADIANS('R1'!I18)))))</f>
        <v>-26.838414444764965</v>
      </c>
      <c r="C18">
        <f>AVERAGE('R1'!J18,'R2'!J18,'R3'!J18)</f>
        <v>1.1733333333333331</v>
      </c>
      <c r="D18">
        <f>AVERAGE('R1'!K18,'R2'!K18,'R3'!K18)</f>
        <v>20.784472833333332</v>
      </c>
      <c r="E18">
        <f>AVERAGE('R1'!L18,'R2'!L18,'R3'!L18)</f>
        <v>-1.5522835416060843</v>
      </c>
      <c r="F18">
        <f>AVERAGE('R1'!M18,'R2'!M18,'R3'!M18)</f>
        <v>-2.6504993788706557</v>
      </c>
      <c r="G18">
        <f>AVERAGE('R1'!N18,'R2'!N18,'R3'!N18)</f>
        <v>-1.671870468831786</v>
      </c>
      <c r="H18">
        <f>AVERAGE('R1'!O18,'R2'!O18,'R3'!O18)</f>
        <v>-1.3322824061752419</v>
      </c>
      <c r="I18">
        <f t="shared" si="1"/>
        <v>4064.5191318518514</v>
      </c>
      <c r="K18">
        <f>_xlfn.STDEV.S('R1'!L18,'R2'!L18,'R3'!L18)</f>
        <v>7.1536024958702244E-3</v>
      </c>
      <c r="L18">
        <f>_xlfn.STDEV.S('R1'!M18,'R2'!M18,'R3'!M18)</f>
        <v>1.1313828200544688E-2</v>
      </c>
      <c r="M18">
        <f>_xlfn.STDEV.S('R1'!N18,'R2'!N18,'R3'!N18)</f>
        <v>1.1518000812964129E-2</v>
      </c>
      <c r="N18">
        <f>_xlfn.STDEV.S('R1'!O18,'R2'!O18,'R3'!O18)</f>
        <v>3.075874466778043E-3</v>
      </c>
    </row>
    <row r="19" spans="1:14" x14ac:dyDescent="0.25">
      <c r="A19">
        <f>-'R1'!H19</f>
        <v>44</v>
      </c>
      <c r="B19">
        <f>DEGREES(ATAN(-SIN(RADIANS(('R1'!I19)))/(COS(RADIANS(Sheet1!A19))*COS(RADIANS('R1'!I19)))))</f>
        <v>-31.755051399893443</v>
      </c>
      <c r="C19">
        <f>AVERAGE('R1'!J19,'R2'!J19,'R3'!J19)</f>
        <v>1.1749999999999998</v>
      </c>
      <c r="D19">
        <f>AVERAGE('R1'!K19,'R2'!K19,'R3'!K19)</f>
        <v>20.609659833333335</v>
      </c>
      <c r="E19">
        <f>AVERAGE('R1'!L19,'R2'!L19,'R3'!L19)</f>
        <v>-1.6942644479073907</v>
      </c>
      <c r="F19">
        <f>AVERAGE('R1'!M19,'R2'!M19,'R3'!M19)</f>
        <v>-2.5503764688791057</v>
      </c>
      <c r="G19">
        <f>AVERAGE('R1'!N19,'R2'!N19,'R3'!N19)</f>
        <v>-1.6672481163917316</v>
      </c>
      <c r="H19">
        <f>AVERAGE('R1'!O19,'R2'!O19,'R3'!O19)</f>
        <v>-1.3853206796687416</v>
      </c>
      <c r="I19">
        <f t="shared" si="1"/>
        <v>4036.0583840277777</v>
      </c>
      <c r="K19">
        <f>_xlfn.STDEV.S('R1'!L19,'R2'!L19,'R3'!L19)</f>
        <v>7.5455654061249858E-3</v>
      </c>
      <c r="L19">
        <f>_xlfn.STDEV.S('R1'!M19,'R2'!M19,'R3'!M19)</f>
        <v>7.6151514120774699E-3</v>
      </c>
      <c r="M19">
        <f>_xlfn.STDEV.S('R1'!N19,'R2'!N19,'R3'!N19)</f>
        <v>1.3057408263747119E-2</v>
      </c>
      <c r="N19">
        <f>_xlfn.STDEV.S('R1'!O19,'R2'!O19,'R3'!O19)</f>
        <v>5.1222855136616625E-3</v>
      </c>
    </row>
    <row r="20" spans="1:14" x14ac:dyDescent="0.25">
      <c r="A20">
        <f>-'R1'!H20</f>
        <v>44</v>
      </c>
      <c r="B20">
        <f>DEGREES(ATAN(-SIN(RADIANS(('R1'!I20)))/(COS(RADIANS(Sheet1!A20))*COS(RADIANS('R1'!I20)))))</f>
        <v>-36.470444456761925</v>
      </c>
      <c r="C20">
        <f>AVERAGE('R1'!J20,'R2'!J20,'R3'!J20)</f>
        <v>1.1766666666666665</v>
      </c>
      <c r="D20">
        <f>AVERAGE('R1'!K20,'R2'!K20,'R3'!K20)</f>
        <v>20.466830583333333</v>
      </c>
      <c r="E20">
        <f>AVERAGE('R1'!L20,'R2'!L20,'R3'!L20)</f>
        <v>-1.8401064567483665</v>
      </c>
      <c r="F20">
        <f>AVERAGE('R1'!M20,'R2'!M20,'R3'!M20)</f>
        <v>-2.5052292470664699</v>
      </c>
      <c r="G20">
        <f>AVERAGE('R1'!N20,'R2'!N20,'R3'!N20)</f>
        <v>-1.7144458954012787</v>
      </c>
      <c r="H20">
        <f>AVERAGE('R1'!O20,'R2'!O20,'R3'!O20)</f>
        <v>-1.4655179657236301</v>
      </c>
      <c r="I20">
        <f t="shared" si="1"/>
        <v>4013.7728866203697</v>
      </c>
      <c r="K20">
        <f>_xlfn.STDEV.S('R1'!L20,'R2'!L20,'R3'!L20)</f>
        <v>1.121012829133986E-2</v>
      </c>
      <c r="L20">
        <f>_xlfn.STDEV.S('R1'!M20,'R2'!M20,'R3'!M20)</f>
        <v>1.6990031554628825E-2</v>
      </c>
      <c r="M20">
        <f>_xlfn.STDEV.S('R1'!N20,'R2'!N20,'R3'!N20)</f>
        <v>1.880663704504253E-2</v>
      </c>
      <c r="N20">
        <f>_xlfn.STDEV.S('R1'!O20,'R2'!O20,'R3'!O20)</f>
        <v>6.844680901887475E-3</v>
      </c>
    </row>
    <row r="21" spans="1:14" x14ac:dyDescent="0.25">
      <c r="A21">
        <f>-'R1'!H21</f>
        <v>44</v>
      </c>
      <c r="B21">
        <f>DEGREES(ATAN(-SIN(RADIANS(('R1'!I21)))/(COS(RADIANS(Sheet1!A21))*COS(RADIANS('R1'!I21)))))</f>
        <v>-40.979886989205063</v>
      </c>
      <c r="C21">
        <f>AVERAGE('R1'!J21,'R2'!J21,'R3'!J21)</f>
        <v>1.1758333333333333</v>
      </c>
      <c r="D21">
        <f>AVERAGE('R1'!K21,'R2'!K21,'R3'!K21)</f>
        <v>20.335063250000001</v>
      </c>
      <c r="E21">
        <f>AVERAGE('R1'!L21,'R2'!L21,'R3'!L21)</f>
        <v>-1.9906844053823971</v>
      </c>
      <c r="F21">
        <f>AVERAGE('R1'!M21,'R2'!M21,'R3'!M21)</f>
        <v>-2.5347261247918857</v>
      </c>
      <c r="G21">
        <f>AVERAGE('R1'!N21,'R2'!N21,'R3'!N21)</f>
        <v>-1.8287736154896794</v>
      </c>
      <c r="H21">
        <f>AVERAGE('R1'!O21,'R2'!O21,'R3'!O21)</f>
        <v>-1.5779829964674539</v>
      </c>
      <c r="I21">
        <f t="shared" si="1"/>
        <v>3985.1075341319447</v>
      </c>
      <c r="K21">
        <f>_xlfn.STDEV.S('R1'!L21,'R2'!L21,'R3'!L21)</f>
        <v>1.3316645269717384E-2</v>
      </c>
      <c r="L21">
        <f>_xlfn.STDEV.S('R1'!M21,'R2'!M21,'R3'!M21)</f>
        <v>1.5057571220343026E-2</v>
      </c>
      <c r="M21">
        <f>_xlfn.STDEV.S('R1'!N21,'R2'!N21,'R3'!N21)</f>
        <v>2.0618340032074668E-2</v>
      </c>
      <c r="N21">
        <f>_xlfn.STDEV.S('R1'!O21,'R2'!O21,'R3'!O21)</f>
        <v>9.5323375396508588E-3</v>
      </c>
    </row>
    <row r="22" spans="1:14" x14ac:dyDescent="0.25">
      <c r="A22">
        <f>-'R1'!H22</f>
        <v>44</v>
      </c>
      <c r="B22">
        <f>DEGREES(ATAN(-SIN(RADIANS(('R1'!I22)))/(COS(RADIANS(Sheet1!A22))*COS(RADIANS('R1'!I22)))))</f>
        <v>-45.285419134418312</v>
      </c>
      <c r="C22">
        <f>AVERAGE('R1'!J22,'R2'!J22,'R3'!J22)</f>
        <v>1.1766666666666665</v>
      </c>
      <c r="D22">
        <f>AVERAGE('R1'!K22,'R2'!K22,'R3'!K22)</f>
        <v>20.236659</v>
      </c>
      <c r="E22">
        <f>AVERAGE('R1'!L22,'R2'!L22,'R3'!L22)</f>
        <v>-2.1697820680769837</v>
      </c>
      <c r="F22">
        <f>AVERAGE('R1'!M22,'R2'!M22,'R3'!M22)</f>
        <v>-2.6267441201113129</v>
      </c>
      <c r="G22">
        <f>AVERAGE('R1'!N22,'R2'!N22,'R3'!N22)</f>
        <v>-2.0103406125517194</v>
      </c>
      <c r="H22">
        <f>AVERAGE('R1'!O22,'R2'!O22,'R3'!O22)</f>
        <v>-1.7243022489014248</v>
      </c>
      <c r="I22">
        <f t="shared" si="1"/>
        <v>3968.6336816666658</v>
      </c>
      <c r="K22">
        <f>_xlfn.STDEV.S('R1'!L22,'R2'!L22,'R3'!L22)</f>
        <v>1.2250231182210641E-2</v>
      </c>
      <c r="L22">
        <f>_xlfn.STDEV.S('R1'!M22,'R2'!M22,'R3'!M22)</f>
        <v>1.4106314697742255E-2</v>
      </c>
      <c r="M22">
        <f>_xlfn.STDEV.S('R1'!N22,'R2'!N22,'R3'!N22)</f>
        <v>2.0440534725424411E-2</v>
      </c>
      <c r="N22">
        <f>_xlfn.STDEV.S('R1'!O22,'R2'!O22,'R3'!O22)</f>
        <v>6.7513699955907731E-3</v>
      </c>
    </row>
    <row r="23" spans="1:14" x14ac:dyDescent="0.25">
      <c r="A23">
        <f>-'R1'!H23</f>
        <v>44</v>
      </c>
      <c r="B23">
        <f>DEGREES(ATAN(-SIN(RADIANS(('R1'!I23)))/(COS(RADIANS(Sheet1!A23))*COS(RADIANS('R1'!I23)))))</f>
        <v>-49.394314915379752</v>
      </c>
      <c r="C23">
        <f>AVERAGE('R1'!J23,'R2'!J23,'R3'!J23)</f>
        <v>1.1766666666666665</v>
      </c>
      <c r="D23">
        <f>AVERAGE('R1'!K23,'R2'!K23,'R3'!K23)</f>
        <v>20.134779166666664</v>
      </c>
      <c r="E23">
        <f>AVERAGE('R1'!L23,'R2'!L23,'R3'!L23)</f>
        <v>-2.4126821438541488</v>
      </c>
      <c r="F23">
        <f>AVERAGE('R1'!M23,'R2'!M23,'R3'!M23)</f>
        <v>-2.7987847145053713</v>
      </c>
      <c r="G23">
        <f>AVERAGE('R1'!N23,'R2'!N23,'R3'!N23)</f>
        <v>-2.3011829553285774</v>
      </c>
      <c r="H23">
        <f>AVERAGE('R1'!O23,'R2'!O23,'R3'!O23)</f>
        <v>-1.9322470381230434</v>
      </c>
      <c r="I23">
        <f t="shared" si="1"/>
        <v>3948.6539143518507</v>
      </c>
      <c r="K23">
        <f>_xlfn.STDEV.S('R1'!L23,'R2'!L23,'R3'!L23)</f>
        <v>1.0961657173552488E-2</v>
      </c>
      <c r="L23">
        <f>_xlfn.STDEV.S('R1'!M23,'R2'!M23,'R3'!M23)</f>
        <v>1.3837974775348842E-2</v>
      </c>
      <c r="M23">
        <f>_xlfn.STDEV.S('R1'!N23,'R2'!N23,'R3'!N23)</f>
        <v>2.3270114704067559E-2</v>
      </c>
      <c r="N23">
        <f>_xlfn.STDEV.S('R1'!O23,'R2'!O23,'R3'!O23)</f>
        <v>8.6250541595793099E-3</v>
      </c>
    </row>
    <row r="24" spans="1:14" x14ac:dyDescent="0.25">
      <c r="A24">
        <f>-'R1'!H24</f>
        <v>44</v>
      </c>
      <c r="B24">
        <f>DEGREES(ATAN(-SIN(RADIANS(('R1'!I24)))/(COS(RADIANS(Sheet1!A24))*COS(RADIANS('R1'!I24)))))</f>
        <v>-53.317641506405714</v>
      </c>
      <c r="C24">
        <f>AVERAGE('R1'!J24,'R2'!J24,'R3'!J24)</f>
        <v>1.1766666666666665</v>
      </c>
      <c r="D24">
        <f>AVERAGE('R1'!K24,'R2'!K24,'R3'!K24)</f>
        <v>20.224117416666669</v>
      </c>
      <c r="E24">
        <f>AVERAGE('R1'!L24,'R2'!L24,'R3'!L24)</f>
        <v>-2.6879951880441304</v>
      </c>
      <c r="F24">
        <f>AVERAGE('R1'!M24,'R2'!M24,'R3'!M24)</f>
        <v>-2.9839379076862578</v>
      </c>
      <c r="G24">
        <f>AVERAGE('R1'!N24,'R2'!N24,'R3'!N24)</f>
        <v>-2.6421053212807135</v>
      </c>
      <c r="H24">
        <f>AVERAGE('R1'!O24,'R2'!O24,'R3'!O24)</f>
        <v>-2.1789097987050434</v>
      </c>
      <c r="I24">
        <f t="shared" si="1"/>
        <v>3966.1741378240736</v>
      </c>
      <c r="K24">
        <f>_xlfn.STDEV.S('R1'!L24,'R2'!L24,'R3'!L24)</f>
        <v>2.696711155190153E-2</v>
      </c>
      <c r="L24">
        <f>_xlfn.STDEV.S('R1'!M24,'R2'!M24,'R3'!M24)</f>
        <v>3.2750517920575255E-2</v>
      </c>
      <c r="M24">
        <f>_xlfn.STDEV.S('R1'!N24,'R2'!N24,'R3'!N24)</f>
        <v>4.6802239302366606E-2</v>
      </c>
      <c r="N24">
        <f>_xlfn.STDEV.S('R1'!O24,'R2'!O24,'R3'!O24)</f>
        <v>1.9523676862524153E-2</v>
      </c>
    </row>
    <row r="25" spans="1:14" x14ac:dyDescent="0.25">
      <c r="A25">
        <f>-'R1'!H25</f>
        <v>40</v>
      </c>
      <c r="B25">
        <f>DEGREES(ATAN(-SIN(RADIANS(('R1'!I25)))/(COS(RADIANS(Sheet1!A25))*COS(RADIANS('R1'!I25)))))</f>
        <v>51.576359961556868</v>
      </c>
      <c r="C25">
        <f>AVERAGE('R1'!J25,'R2'!J25,'R3'!J25)</f>
        <v>1.1749999999999998</v>
      </c>
      <c r="D25">
        <f>AVERAGE('R1'!K25,'R2'!K25,'R3'!K25)</f>
        <v>20.786829749999999</v>
      </c>
      <c r="E25">
        <f>AVERAGE('R1'!L25,'R2'!L25,'R3'!L25)</f>
        <v>2.0629665899209755</v>
      </c>
      <c r="F25">
        <f>AVERAGE('R1'!M25,'R2'!M25,'R3'!M25)</f>
        <v>-2.2653433309294129</v>
      </c>
      <c r="G25">
        <f>AVERAGE('R1'!N25,'R2'!N25,'R3'!N25)</f>
        <v>-1.7761754608172498</v>
      </c>
      <c r="H25">
        <f>AVERAGE('R1'!O25,'R2'!O25,'R3'!O25)</f>
        <v>-1.6454763993669654</v>
      </c>
      <c r="I25">
        <f t="shared" si="1"/>
        <v>4070.7541593749997</v>
      </c>
      <c r="K25">
        <f>_xlfn.STDEV.S('R1'!L25,'R2'!L25,'R3'!L25)</f>
        <v>1.8047712324203821E-2</v>
      </c>
      <c r="L25">
        <f>_xlfn.STDEV.S('R1'!M25,'R2'!M25,'R3'!M25)</f>
        <v>2.7375763448769651E-2</v>
      </c>
      <c r="M25">
        <f>_xlfn.STDEV.S('R1'!N25,'R2'!N25,'R3'!N25)</f>
        <v>3.7605497195352153E-2</v>
      </c>
      <c r="N25">
        <f>_xlfn.STDEV.S('R1'!O25,'R2'!O25,'R3'!O25)</f>
        <v>1.3881436581338486E-2</v>
      </c>
    </row>
    <row r="26" spans="1:14" x14ac:dyDescent="0.25">
      <c r="A26">
        <f>-'R1'!H26</f>
        <v>40</v>
      </c>
      <c r="B26">
        <f>DEGREES(ATAN(-SIN(RADIANS(('R1'!I26)))/(COS(RADIANS(Sheet1!A26))*COS(RADIANS('R1'!I26)))))</f>
        <v>47.605913955135343</v>
      </c>
      <c r="C26">
        <f>AVERAGE('R1'!J26,'R2'!J26,'R3'!J26)</f>
        <v>1.1766666666666665</v>
      </c>
      <c r="D26">
        <f>AVERAGE('R1'!K26,'R2'!K26,'R3'!K26)</f>
        <v>20.7748755</v>
      </c>
      <c r="E26">
        <f>AVERAGE('R1'!L26,'R2'!L26,'R3'!L26)</f>
        <v>1.9660201957260595</v>
      </c>
      <c r="F26">
        <f>AVERAGE('R1'!M26,'R2'!M26,'R3'!M26)</f>
        <v>-2.217400134562864</v>
      </c>
      <c r="G26">
        <f>AVERAGE('R1'!N26,'R2'!N26,'R3'!N26)</f>
        <v>-1.6473226095397469</v>
      </c>
      <c r="H26">
        <f>AVERAGE('R1'!O26,'R2'!O26,'R3'!O26)</f>
        <v>-1.5216848845927735</v>
      </c>
      <c r="I26">
        <f t="shared" si="1"/>
        <v>4074.1839175</v>
      </c>
      <c r="K26">
        <f>_xlfn.STDEV.S('R1'!L26,'R2'!L26,'R3'!L26)</f>
        <v>1.2768782340985652E-2</v>
      </c>
      <c r="L26">
        <f>_xlfn.STDEV.S('R1'!M26,'R2'!M26,'R3'!M26)</f>
        <v>2.2132509349718124E-2</v>
      </c>
      <c r="M26">
        <f>_xlfn.STDEV.S('R1'!N26,'R2'!N26,'R3'!N26)</f>
        <v>2.7862556433076127E-2</v>
      </c>
      <c r="N26">
        <f>_xlfn.STDEV.S('R1'!O26,'R2'!O26,'R3'!O26)</f>
        <v>8.0231364405654072E-3</v>
      </c>
    </row>
    <row r="27" spans="1:14" x14ac:dyDescent="0.25">
      <c r="A27">
        <f>-'R1'!H27</f>
        <v>40</v>
      </c>
      <c r="B27">
        <f>DEGREES(ATAN(-SIN(RADIANS(('R1'!I27)))/(COS(RADIANS(Sheet1!A27))*COS(RADIANS('R1'!I27)))))</f>
        <v>43.48399800633365</v>
      </c>
      <c r="C27">
        <f>AVERAGE('R1'!J27,'R2'!J27,'R3'!J27)</f>
        <v>1.1758333333333333</v>
      </c>
      <c r="D27">
        <f>AVERAGE('R1'!K27,'R2'!K27,'R3'!K27)</f>
        <v>20.614843</v>
      </c>
      <c r="E27">
        <f>AVERAGE('R1'!L27,'R2'!L27,'R3'!L27)</f>
        <v>1.8605408550487041</v>
      </c>
      <c r="F27">
        <f>AVERAGE('R1'!M27,'R2'!M27,'R3'!M27)</f>
        <v>-2.1807883001160824</v>
      </c>
      <c r="G27">
        <f>AVERAGE('R1'!N27,'R2'!N27,'R3'!N27)</f>
        <v>-1.5329748651381816</v>
      </c>
      <c r="H27">
        <f>AVERAGE('R1'!O27,'R2'!O27,'R3'!O27)</f>
        <v>-1.4081344007155403</v>
      </c>
      <c r="I27">
        <f t="shared" si="1"/>
        <v>4039.9365934722218</v>
      </c>
      <c r="K27">
        <f>_xlfn.STDEV.S('R1'!L27,'R2'!L27,'R3'!L27)</f>
        <v>1.4896183187382129E-2</v>
      </c>
      <c r="L27">
        <f>_xlfn.STDEV.S('R1'!M27,'R2'!M27,'R3'!M27)</f>
        <v>2.2276560934331835E-2</v>
      </c>
      <c r="M27">
        <f>_xlfn.STDEV.S('R1'!N27,'R2'!N27,'R3'!N27)</f>
        <v>3.0350645091004696E-2</v>
      </c>
      <c r="N27">
        <f>_xlfn.STDEV.S('R1'!O27,'R2'!O27,'R3'!O27)</f>
        <v>8.6354410331434851E-3</v>
      </c>
    </row>
    <row r="28" spans="1:14" x14ac:dyDescent="0.25">
      <c r="A28">
        <f>-'R1'!H28</f>
        <v>40</v>
      </c>
      <c r="B28">
        <f>DEGREES(ATAN(-SIN(RADIANS(('R1'!I28)))/(COS(RADIANS(Sheet1!A28))*COS(RADIANS('R1'!I28)))))</f>
        <v>39.204435233296593</v>
      </c>
      <c r="C28">
        <f>AVERAGE('R1'!J28,'R2'!J28,'R3'!J28)</f>
        <v>1.1749999999999998</v>
      </c>
      <c r="D28">
        <f>AVERAGE('R1'!K28,'R2'!K28,'R3'!K28)</f>
        <v>20.913830666666669</v>
      </c>
      <c r="E28">
        <f>AVERAGE('R1'!L28,'R2'!L28,'R3'!L28)</f>
        <v>1.7485980888773056</v>
      </c>
      <c r="F28">
        <f>AVERAGE('R1'!M28,'R2'!M28,'R3'!M28)</f>
        <v>-2.1770582198288424</v>
      </c>
      <c r="G28">
        <f>AVERAGE('R1'!N28,'R2'!N28,'R3'!N28)</f>
        <v>-1.4440413433564974</v>
      </c>
      <c r="H28">
        <f>AVERAGE('R1'!O28,'R2'!O28,'R3'!O28)</f>
        <v>-1.3123643602149597</v>
      </c>
      <c r="I28">
        <f t="shared" si="1"/>
        <v>4095.6251722222228</v>
      </c>
      <c r="K28">
        <f>_xlfn.STDEV.S('R1'!L28,'R2'!L28,'R3'!L28)</f>
        <v>3.4146699635290195E-3</v>
      </c>
      <c r="L28">
        <f>_xlfn.STDEV.S('R1'!M28,'R2'!M28,'R3'!M28)</f>
        <v>3.8866025706320319E-3</v>
      </c>
      <c r="M28">
        <f>_xlfn.STDEV.S('R1'!N28,'R2'!N28,'R3'!N28)</f>
        <v>2.13738235453843E-3</v>
      </c>
      <c r="N28">
        <f>_xlfn.STDEV.S('R1'!O28,'R2'!O28,'R3'!O28)</f>
        <v>2.4982442658689546E-3</v>
      </c>
    </row>
    <row r="29" spans="1:14" x14ac:dyDescent="0.25">
      <c r="A29">
        <f>-'R1'!H29</f>
        <v>40</v>
      </c>
      <c r="B29">
        <f>DEGREES(ATAN(-SIN(RADIANS(('R1'!I29)))/(COS(RADIANS(Sheet1!A29))*COS(RADIANS('R1'!I29)))))</f>
        <v>34.764413107862225</v>
      </c>
      <c r="C29">
        <f>AVERAGE('R1'!J29,'R2'!J29,'R3'!J29)</f>
        <v>1.1766666666666665</v>
      </c>
      <c r="D29">
        <f>AVERAGE('R1'!K29,'R2'!K29,'R3'!K29)</f>
        <v>21.087873249999998</v>
      </c>
      <c r="E29">
        <f>AVERAGE('R1'!L29,'R2'!L29,'R3'!L29)</f>
        <v>1.633748153680868</v>
      </c>
      <c r="F29">
        <f>AVERAGE('R1'!M29,'R2'!M29,'R3'!M29)</f>
        <v>-2.2391418925052515</v>
      </c>
      <c r="G29">
        <f>AVERAGE('R1'!N29,'R2'!N29,'R3'!N29)</f>
        <v>-1.4114624038818508</v>
      </c>
      <c r="H29">
        <f>AVERAGE('R1'!O29,'R2'!O29,'R3'!O29)</f>
        <v>-1.2351758126641001</v>
      </c>
      <c r="I29">
        <f t="shared" si="1"/>
        <v>4135.5662540277763</v>
      </c>
      <c r="K29">
        <f>_xlfn.STDEV.S('R1'!L29,'R2'!L29,'R3'!L29)</f>
        <v>3.2490775504762826E-3</v>
      </c>
      <c r="L29">
        <f>_xlfn.STDEV.S('R1'!M29,'R2'!M29,'R3'!M29)</f>
        <v>9.0803987178552231E-3</v>
      </c>
      <c r="M29">
        <f>_xlfn.STDEV.S('R1'!N29,'R2'!N29,'R3'!N29)</f>
        <v>7.9014205763872185E-3</v>
      </c>
      <c r="N29">
        <f>_xlfn.STDEV.S('R1'!O29,'R2'!O29,'R3'!O29)</f>
        <v>2.0556521674186816E-3</v>
      </c>
    </row>
    <row r="30" spans="1:14" x14ac:dyDescent="0.25">
      <c r="A30">
        <f>-'R1'!H30</f>
        <v>40</v>
      </c>
      <c r="B30">
        <f>DEGREES(ATAN(-SIN(RADIANS(('R1'!I30)))/(COS(RADIANS(Sheet1!A30))*COS(RADIANS('R1'!I30)))))</f>
        <v>30.165358572591657</v>
      </c>
      <c r="C30">
        <f>AVERAGE('R1'!J30,'R2'!J30,'R3'!J30)</f>
        <v>1.1766666666666665</v>
      </c>
      <c r="D30">
        <f>AVERAGE('R1'!K30,'R2'!K30,'R3'!K30)</f>
        <v>20.888922833333332</v>
      </c>
      <c r="E30">
        <f>AVERAGE('R1'!L30,'R2'!L30,'R3'!L30)</f>
        <v>1.5074292618570169</v>
      </c>
      <c r="F30">
        <f>AVERAGE('R1'!M30,'R2'!M30,'R3'!M30)</f>
        <v>-2.3352080598005229</v>
      </c>
      <c r="G30">
        <f>AVERAGE('R1'!N30,'R2'!N30,'R3'!N30)</f>
        <v>-1.4130272355438158</v>
      </c>
      <c r="H30">
        <f>AVERAGE('R1'!O30,'R2'!O30,'R3'!O30)</f>
        <v>-1.1706926878705253</v>
      </c>
      <c r="I30">
        <f t="shared" si="1"/>
        <v>4096.5498667592583</v>
      </c>
      <c r="K30">
        <f>_xlfn.STDEV.S('R1'!L30,'R2'!L30,'R3'!L30)</f>
        <v>1.7278437934909131E-3</v>
      </c>
      <c r="L30">
        <f>_xlfn.STDEV.S('R1'!M30,'R2'!M30,'R3'!M30)</f>
        <v>6.8370752103082081E-3</v>
      </c>
      <c r="M30">
        <f>_xlfn.STDEV.S('R1'!N30,'R2'!N30,'R3'!N30)</f>
        <v>7.1962514105691159E-3</v>
      </c>
      <c r="N30">
        <f>_xlfn.STDEV.S('R1'!O30,'R2'!O30,'R3'!O30)</f>
        <v>1.9104620641839808E-3</v>
      </c>
    </row>
    <row r="31" spans="1:14" x14ac:dyDescent="0.25">
      <c r="A31">
        <f>-'R1'!H31</f>
        <v>40</v>
      </c>
      <c r="B31">
        <f>DEGREES(ATAN(-SIN(RADIANS(('R1'!I31)))/(COS(RADIANS(Sheet1!A31))*COS(RADIANS('R1'!I31)))))</f>
        <v>25.413766880049252</v>
      </c>
      <c r="C31">
        <f>AVERAGE('R1'!J31,'R2'!J31,'R3'!J31)</f>
        <v>1.1741666666666666</v>
      </c>
      <c r="D31">
        <f>AVERAGE('R1'!K31,'R2'!K31,'R3'!K31)</f>
        <v>20.725106</v>
      </c>
      <c r="E31">
        <f>AVERAGE('R1'!L31,'R2'!L31,'R3'!L31)</f>
        <v>1.3536412218667049</v>
      </c>
      <c r="F31">
        <f>AVERAGE('R1'!M31,'R2'!M31,'R3'!M31)</f>
        <v>-2.4833903738742396</v>
      </c>
      <c r="G31">
        <f>AVERAGE('R1'!N31,'R2'!N31,'R3'!N31)</f>
        <v>-1.4530393205081593</v>
      </c>
      <c r="H31">
        <f>AVERAGE('R1'!O31,'R2'!O31,'R3'!O31)</f>
        <v>-1.1179282167167985</v>
      </c>
      <c r="I31">
        <f t="shared" si="1"/>
        <v>4055.7881047222213</v>
      </c>
      <c r="K31">
        <f>_xlfn.STDEV.S('R1'!L31,'R2'!L31,'R3'!L31)</f>
        <v>1.868983574209386E-3</v>
      </c>
      <c r="L31">
        <f>_xlfn.STDEV.S('R1'!M31,'R2'!M31,'R3'!M31)</f>
        <v>1.7558781042742222E-2</v>
      </c>
      <c r="M31">
        <f>_xlfn.STDEV.S('R1'!N31,'R2'!N31,'R3'!N31)</f>
        <v>1.6953777933961519E-2</v>
      </c>
      <c r="N31">
        <f>_xlfn.STDEV.S('R1'!O31,'R2'!O31,'R3'!O31)</f>
        <v>5.7764341524754381E-3</v>
      </c>
    </row>
    <row r="32" spans="1:14" x14ac:dyDescent="0.25">
      <c r="A32">
        <f>-'R1'!H32</f>
        <v>40</v>
      </c>
      <c r="B32">
        <f>DEGREES(ATAN(-SIN(RADIANS(('R1'!I32)))/(COS(RADIANS(Sheet1!A32))*COS(RADIANS('R1'!I32)))))</f>
        <v>20.5218555971705</v>
      </c>
      <c r="C32">
        <f>AVERAGE('R1'!J32,'R2'!J32,'R3'!J32)</f>
        <v>1.1766666666666665</v>
      </c>
      <c r="D32">
        <f>AVERAGE('R1'!K32,'R2'!K32,'R3'!K32)</f>
        <v>20.564398999999998</v>
      </c>
      <c r="E32">
        <f>AVERAGE('R1'!L32,'R2'!L32,'R3'!L32)</f>
        <v>1.1559679704964279</v>
      </c>
      <c r="F32">
        <f>AVERAGE('R1'!M32,'R2'!M32,'R3'!M32)</f>
        <v>-2.6565177527539898</v>
      </c>
      <c r="G32">
        <f>AVERAGE('R1'!N32,'R2'!N32,'R3'!N32)</f>
        <v>-1.5005020826769588</v>
      </c>
      <c r="H32">
        <f>AVERAGE('R1'!O32,'R2'!O32,'R3'!O32)</f>
        <v>-1.062003204835416</v>
      </c>
      <c r="I32">
        <f t="shared" si="1"/>
        <v>4032.907137222222</v>
      </c>
      <c r="K32">
        <f>_xlfn.STDEV.S('R1'!L32,'R2'!L32,'R3'!L32)</f>
        <v>6.1654185847637658E-3</v>
      </c>
      <c r="L32">
        <f>_xlfn.STDEV.S('R1'!M32,'R2'!M32,'R3'!M32)</f>
        <v>7.1790805817068312E-3</v>
      </c>
      <c r="M32">
        <f>_xlfn.STDEV.S('R1'!N32,'R2'!N32,'R3'!N32)</f>
        <v>1.0252557140064254E-2</v>
      </c>
      <c r="N32">
        <f>_xlfn.STDEV.S('R1'!O32,'R2'!O32,'R3'!O32)</f>
        <v>3.576940219505591E-3</v>
      </c>
    </row>
    <row r="33" spans="1:14" x14ac:dyDescent="0.25">
      <c r="A33">
        <f>-'R1'!H33</f>
        <v>40</v>
      </c>
      <c r="B33">
        <f>DEGREES(ATAN(-SIN(RADIANS(('R1'!I33)))/(COS(RADIANS(Sheet1!A33))*COS(RADIANS('R1'!I33)))))</f>
        <v>15.507892018560797</v>
      </c>
      <c r="C33">
        <f>AVERAGE('R1'!J33,'R2'!J33,'R3'!J33)</f>
        <v>1.1766666666666665</v>
      </c>
      <c r="D33">
        <f>AVERAGE('R1'!K33,'R2'!K33,'R3'!K33)</f>
        <v>20.931821416666665</v>
      </c>
      <c r="E33">
        <f>AVERAGE('R1'!L33,'R2'!L33,'R3'!L33)</f>
        <v>0.92454683189423414</v>
      </c>
      <c r="F33">
        <f>AVERAGE('R1'!M33,'R2'!M33,'R3'!M33)</f>
        <v>-2.8633732209965594</v>
      </c>
      <c r="G33">
        <f>AVERAGE('R1'!N33,'R2'!N33,'R3'!N33)</f>
        <v>-1.5689881909839409</v>
      </c>
      <c r="H33">
        <f>AVERAGE('R1'!O33,'R2'!O33,'R3'!O33)</f>
        <v>-1.0228618603781292</v>
      </c>
      <c r="I33">
        <f t="shared" si="1"/>
        <v>4104.9627556018504</v>
      </c>
      <c r="K33">
        <f>_xlfn.STDEV.S('R1'!L33,'R2'!L33,'R3'!L33)</f>
        <v>6.0864640986834206E-3</v>
      </c>
      <c r="L33">
        <f>_xlfn.STDEV.S('R1'!M33,'R2'!M33,'R3'!M33)</f>
        <v>1.6959184126411793E-2</v>
      </c>
      <c r="M33">
        <f>_xlfn.STDEV.S('R1'!N33,'R2'!N33,'R3'!N33)</f>
        <v>1.2656393693393646E-2</v>
      </c>
      <c r="N33">
        <f>_xlfn.STDEV.S('R1'!O33,'R2'!O33,'R3'!O33)</f>
        <v>2.3697566487276946E-3</v>
      </c>
    </row>
    <row r="34" spans="1:14" x14ac:dyDescent="0.25">
      <c r="A34">
        <f>-'R1'!H34</f>
        <v>40</v>
      </c>
      <c r="B34">
        <f>DEGREES(ATAN(-SIN(RADIANS(('R1'!I34)))/(COS(RADIANS(Sheet1!A34))*COS(RADIANS('R1'!I34)))))</f>
        <v>10.396047080877794</v>
      </c>
      <c r="C34">
        <f>AVERAGE('R1'!J34,'R2'!J34,'R3'!J34)</f>
        <v>1.1766666666666665</v>
      </c>
      <c r="D34">
        <f>AVERAGE('R1'!K34,'R2'!K34,'R3'!K34)</f>
        <v>21.219468833333334</v>
      </c>
      <c r="E34">
        <f>AVERAGE('R1'!L34,'R2'!L34,'R3'!L34)</f>
        <v>0.62070300987102722</v>
      </c>
      <c r="F34">
        <f>AVERAGE('R1'!M34,'R2'!M34,'R3'!M34)</f>
        <v>-3.1358234119709056</v>
      </c>
      <c r="G34">
        <f>AVERAGE('R1'!N34,'R2'!N34,'R3'!N34)</f>
        <v>-1.6816268120797464</v>
      </c>
      <c r="H34">
        <f>AVERAGE('R1'!O34,'R2'!O34,'R3'!O34)</f>
        <v>-0.98787642474950321</v>
      </c>
      <c r="I34">
        <f t="shared" si="1"/>
        <v>4161.3736100925917</v>
      </c>
      <c r="K34">
        <f>_xlfn.STDEV.S('R1'!L34,'R2'!L34,'R3'!L34)</f>
        <v>2.5016937452199536E-3</v>
      </c>
      <c r="L34">
        <f>_xlfn.STDEV.S('R1'!M34,'R2'!M34,'R3'!M34)</f>
        <v>3.8167227141168041E-2</v>
      </c>
      <c r="M34">
        <f>_xlfn.STDEV.S('R1'!N34,'R2'!N34,'R3'!N34)</f>
        <v>2.9944897462879233E-2</v>
      </c>
      <c r="N34">
        <f>_xlfn.STDEV.S('R1'!O34,'R2'!O34,'R3'!O34)</f>
        <v>7.6524907315136375E-3</v>
      </c>
    </row>
    <row r="35" spans="1:14" x14ac:dyDescent="0.25">
      <c r="A35">
        <f>-'R1'!H35</f>
        <v>40</v>
      </c>
      <c r="B35">
        <f>DEGREES(ATAN(-SIN(RADIANS(('R1'!I35)))/(COS(RADIANS(Sheet1!A35))*COS(RADIANS('R1'!I35)))))</f>
        <v>5.2156742986237852</v>
      </c>
      <c r="C35">
        <f>AVERAGE('R1'!J35,'R2'!J35,'R3'!J35)</f>
        <v>1.1766666666666665</v>
      </c>
      <c r="D35">
        <f>AVERAGE('R1'!K35,'R2'!K35,'R3'!K35)</f>
        <v>21.008764083333332</v>
      </c>
      <c r="E35">
        <f>AVERAGE('R1'!L35,'R2'!L35,'R3'!L35)</f>
        <v>0.25155846502277002</v>
      </c>
      <c r="F35">
        <f>AVERAGE('R1'!M35,'R2'!M35,'R3'!M35)</f>
        <v>-3.4393134803986469</v>
      </c>
      <c r="G35">
        <f>AVERAGE('R1'!N35,'R2'!N35,'R3'!N35)</f>
        <v>-1.8134671449354733</v>
      </c>
      <c r="H35">
        <f>AVERAGE('R1'!O35,'R2'!O35,'R3'!O35)</f>
        <v>-0.95030220875053883</v>
      </c>
      <c r="I35">
        <f t="shared" si="1"/>
        <v>4120.0520674537029</v>
      </c>
      <c r="K35">
        <f>_xlfn.STDEV.S('R1'!L35,'R2'!L35,'R3'!L35)</f>
        <v>7.7958269566523778E-4</v>
      </c>
      <c r="L35">
        <f>_xlfn.STDEV.S('R1'!M35,'R2'!M35,'R3'!M35)</f>
        <v>2.6606397411427046E-2</v>
      </c>
      <c r="M35">
        <f>_xlfn.STDEV.S('R1'!N35,'R2'!N35,'R3'!N35)</f>
        <v>2.0450790443963633E-2</v>
      </c>
      <c r="N35">
        <f>_xlfn.STDEV.S('R1'!O35,'R2'!O35,'R3'!O35)</f>
        <v>5.7661450917709869E-3</v>
      </c>
    </row>
    <row r="36" spans="1:14" x14ac:dyDescent="0.25">
      <c r="A36">
        <f>-'R1'!H36</f>
        <v>40</v>
      </c>
      <c r="B36">
        <f>DEGREES(ATAN(-SIN(RADIANS(('R1'!I36)))/(COS(RADIANS(Sheet1!A36))*COS(RADIANS('R1'!I36)))))</f>
        <v>0</v>
      </c>
      <c r="C36">
        <f>AVERAGE('R1'!J36,'R2'!J36,'R3'!J36)</f>
        <v>1.1766666666666665</v>
      </c>
      <c r="D36">
        <f>AVERAGE('R1'!K36,'R2'!K36,'R3'!K36)</f>
        <v>20.825169083333336</v>
      </c>
      <c r="E36">
        <f>AVERAGE('R1'!L36,'R2'!L36,'R3'!L36)</f>
        <v>-0.19201334648142285</v>
      </c>
      <c r="F36">
        <f>AVERAGE('R1'!M36,'R2'!M36,'R3'!M36)</f>
        <v>-3.4626774828721323</v>
      </c>
      <c r="G36">
        <f>AVERAGE('R1'!N36,'R2'!N36,'R3'!N36)</f>
        <v>-1.8054352452152163</v>
      </c>
      <c r="H36">
        <f>AVERAGE('R1'!O36,'R2'!O36,'R3'!O36)</f>
        <v>-0.93614111342012196</v>
      </c>
      <c r="I36">
        <f t="shared" si="1"/>
        <v>4084.0470480092595</v>
      </c>
      <c r="K36">
        <f>_xlfn.STDEV.S('R1'!L36,'R2'!L36,'R3'!L36)</f>
        <v>1.9319526797822818E-2</v>
      </c>
      <c r="L36">
        <f>_xlfn.STDEV.S('R1'!M36,'R2'!M36,'R3'!M36)</f>
        <v>2.1805253986556875E-2</v>
      </c>
      <c r="M36">
        <f>_xlfn.STDEV.S('R1'!N36,'R2'!N36,'R3'!N36)</f>
        <v>2.3428196339206779E-2</v>
      </c>
      <c r="N36">
        <f>_xlfn.STDEV.S('R1'!O36,'R2'!O36,'R3'!O36)</f>
        <v>1.0163348750176328E-2</v>
      </c>
    </row>
    <row r="37" spans="1:14" x14ac:dyDescent="0.25">
      <c r="A37">
        <f>-'R1'!H37</f>
        <v>40</v>
      </c>
      <c r="B37">
        <f>DEGREES(ATAN(-SIN(RADIANS(('R1'!I37)))/(COS(RADIANS(Sheet1!A37))*COS(RADIANS('R1'!I37)))))</f>
        <v>-5.2156742986237852</v>
      </c>
      <c r="C37">
        <f>AVERAGE('R1'!J37,'R2'!J37,'R3'!J37)</f>
        <v>1.1766666666666665</v>
      </c>
      <c r="D37">
        <f>AVERAGE('R1'!K37,'R2'!K37,'R3'!K37)</f>
        <v>20.642956416666667</v>
      </c>
      <c r="E37">
        <f>AVERAGE('R1'!L37,'R2'!L37,'R3'!L37)</f>
        <v>-0.55379083145826391</v>
      </c>
      <c r="F37">
        <f>AVERAGE('R1'!M37,'R2'!M37,'R3'!M37)</f>
        <v>-3.0685509312456243</v>
      </c>
      <c r="G37">
        <f>AVERAGE('R1'!N37,'R2'!N37,'R3'!N37)</f>
        <v>-1.5849750808016339</v>
      </c>
      <c r="H37">
        <f>AVERAGE('R1'!O37,'R2'!O37,'R3'!O37)</f>
        <v>-0.93195324899588483</v>
      </c>
      <c r="I37">
        <f t="shared" si="1"/>
        <v>4048.3131194907405</v>
      </c>
      <c r="K37">
        <f>_xlfn.STDEV.S('R1'!L37,'R2'!L37,'R3'!L37)</f>
        <v>7.5080436522371626E-3</v>
      </c>
      <c r="L37">
        <f>_xlfn.STDEV.S('R1'!M37,'R2'!M37,'R3'!M37)</f>
        <v>1.129653695796949E-2</v>
      </c>
      <c r="M37">
        <f>_xlfn.STDEV.S('R1'!N37,'R2'!N37,'R3'!N37)</f>
        <v>1.2266318350801391E-2</v>
      </c>
      <c r="N37">
        <f>_xlfn.STDEV.S('R1'!O37,'R2'!O37,'R3'!O37)</f>
        <v>4.3143571343075031E-3</v>
      </c>
    </row>
    <row r="38" spans="1:14" x14ac:dyDescent="0.25">
      <c r="A38">
        <f>-'R1'!H38</f>
        <v>40</v>
      </c>
      <c r="B38">
        <f>DEGREES(ATAN(-SIN(RADIANS(('R1'!I38)))/(COS(RADIANS(Sheet1!A38))*COS(RADIANS('R1'!I38)))))</f>
        <v>-10.396047080877794</v>
      </c>
      <c r="C38">
        <f>AVERAGE('R1'!J38,'R2'!J38,'R3'!J38)</f>
        <v>1.1766666666666665</v>
      </c>
      <c r="D38">
        <f>AVERAGE('R1'!K38,'R2'!K38,'R3'!K38)</f>
        <v>20.521355000000003</v>
      </c>
      <c r="E38">
        <f>AVERAGE('R1'!L38,'R2'!L38,'R3'!L38)</f>
        <v>-0.83681259559860122</v>
      </c>
      <c r="F38">
        <f>AVERAGE('R1'!M38,'R2'!M38,'R3'!M38)</f>
        <v>-2.7785774804309025</v>
      </c>
      <c r="G38">
        <f>AVERAGE('R1'!N38,'R2'!N38,'R3'!N38)</f>
        <v>-1.4412184074982906</v>
      </c>
      <c r="H38">
        <f>AVERAGE('R1'!O38,'R2'!O38,'R3'!O38)</f>
        <v>-0.94914428122750438</v>
      </c>
      <c r="I38">
        <f t="shared" si="1"/>
        <v>4024.4657305555552</v>
      </c>
      <c r="K38">
        <f>_xlfn.STDEV.S('R1'!L38,'R2'!L38,'R3'!L38)</f>
        <v>1.215562787920218E-2</v>
      </c>
      <c r="L38">
        <f>_xlfn.STDEV.S('R1'!M38,'R2'!M38,'R3'!M38)</f>
        <v>1.7929133041037638E-2</v>
      </c>
      <c r="M38">
        <f>_xlfn.STDEV.S('R1'!N38,'R2'!N38,'R3'!N38)</f>
        <v>1.5116700979424965E-2</v>
      </c>
      <c r="N38">
        <f>_xlfn.STDEV.S('R1'!O38,'R2'!O38,'R3'!O38)</f>
        <v>4.5938057524941471E-3</v>
      </c>
    </row>
    <row r="39" spans="1:14" x14ac:dyDescent="0.25">
      <c r="A39">
        <f>-'R1'!H39</f>
        <v>40</v>
      </c>
      <c r="B39">
        <f>DEGREES(ATAN(-SIN(RADIANS(('R1'!I39)))/(COS(RADIANS(Sheet1!A39))*COS(RADIANS('R1'!I39)))))</f>
        <v>-15.507892018560797</v>
      </c>
      <c r="C39">
        <f>AVERAGE('R1'!J39,'R2'!J39,'R3'!J39)</f>
        <v>1.1766666666666665</v>
      </c>
      <c r="D39">
        <f>AVERAGE('R1'!K39,'R2'!K39,'R3'!K39)</f>
        <v>20.395532833333334</v>
      </c>
      <c r="E39">
        <f>AVERAGE('R1'!L39,'R2'!L39,'R3'!L39)</f>
        <v>-1.0600876658080443</v>
      </c>
      <c r="F39">
        <f>AVERAGE('R1'!M39,'R2'!M39,'R3'!M39)</f>
        <v>-2.5668326548566527</v>
      </c>
      <c r="G39">
        <f>AVERAGE('R1'!N39,'R2'!N39,'R3'!N39)</f>
        <v>-1.3495800909025002</v>
      </c>
      <c r="H39">
        <f>AVERAGE('R1'!O39,'R2'!O39,'R3'!O39)</f>
        <v>-0.97707415965559308</v>
      </c>
      <c r="I39">
        <f t="shared" si="1"/>
        <v>3999.7906056481474</v>
      </c>
      <c r="K39">
        <f>_xlfn.STDEV.S('R1'!L39,'R2'!L39,'R3'!L39)</f>
        <v>8.0896983272008213E-3</v>
      </c>
      <c r="L39">
        <f>_xlfn.STDEV.S('R1'!M39,'R2'!M39,'R3'!M39)</f>
        <v>2.2098458096904167E-2</v>
      </c>
      <c r="M39">
        <f>_xlfn.STDEV.S('R1'!N39,'R2'!N39,'R3'!N39)</f>
        <v>2.1100238475708674E-2</v>
      </c>
      <c r="N39">
        <f>_xlfn.STDEV.S('R1'!O39,'R2'!O39,'R3'!O39)</f>
        <v>1.0338035789484695E-2</v>
      </c>
    </row>
    <row r="40" spans="1:14" x14ac:dyDescent="0.25">
      <c r="A40">
        <f>-'R1'!H40</f>
        <v>40</v>
      </c>
      <c r="B40">
        <f>DEGREES(ATAN(-SIN(RADIANS(('R1'!I40)))/(COS(RADIANS(Sheet1!A40))*COS(RADIANS('R1'!I40)))))</f>
        <v>-20.5218555971705</v>
      </c>
      <c r="C40">
        <f>AVERAGE('R1'!J40,'R2'!J40,'R3'!J40)</f>
        <v>1.1766666666666665</v>
      </c>
      <c r="D40">
        <f>AVERAGE('R1'!K40,'R2'!K40,'R3'!K40)</f>
        <v>20.383904250000001</v>
      </c>
      <c r="E40">
        <f>AVERAGE('R1'!L40,'R2'!L40,'R3'!L40)</f>
        <v>-1.2593100194272659</v>
      </c>
      <c r="F40">
        <f>AVERAGE('R1'!M40,'R2'!M40,'R3'!M40)</f>
        <v>-2.3995464287895558</v>
      </c>
      <c r="G40">
        <f>AVERAGE('R1'!N40,'R2'!N40,'R3'!N40)</f>
        <v>-1.3022004290417279</v>
      </c>
      <c r="H40">
        <f>AVERAGE('R1'!O40,'R2'!O40,'R3'!O40)</f>
        <v>-1.0137882835821737</v>
      </c>
      <c r="I40">
        <f t="shared" si="1"/>
        <v>3997.5101112499997</v>
      </c>
      <c r="K40">
        <f>_xlfn.STDEV.S('R1'!L40,'R2'!L40,'R3'!L40)</f>
        <v>9.4120506005656128E-3</v>
      </c>
      <c r="L40">
        <f>_xlfn.STDEV.S('R1'!M40,'R2'!M40,'R3'!M40)</f>
        <v>1.7300121335284503E-2</v>
      </c>
      <c r="M40">
        <f>_xlfn.STDEV.S('R1'!N40,'R2'!N40,'R3'!N40)</f>
        <v>1.8416799874612828E-2</v>
      </c>
      <c r="N40">
        <f>_xlfn.STDEV.S('R1'!O40,'R2'!O40,'R3'!O40)</f>
        <v>6.7046193711605313E-3</v>
      </c>
    </row>
    <row r="41" spans="1:14" x14ac:dyDescent="0.25">
      <c r="A41">
        <f>-'R1'!H41</f>
        <v>40</v>
      </c>
      <c r="B41">
        <f>DEGREES(ATAN(-SIN(RADIANS(('R1'!I41)))/(COS(RADIANS(Sheet1!A41))*COS(RADIANS('R1'!I41)))))</f>
        <v>-25.413766880049252</v>
      </c>
      <c r="C41">
        <f>AVERAGE('R1'!J41,'R2'!J41,'R3'!J41)</f>
        <v>1.1766666666666665</v>
      </c>
      <c r="D41">
        <f>AVERAGE('R1'!K41,'R2'!K41,'R3'!K41)</f>
        <v>20.759403249999998</v>
      </c>
      <c r="E41">
        <f>AVERAGE('R1'!L41,'R2'!L41,'R3'!L41)</f>
        <v>-1.4361581507666292</v>
      </c>
      <c r="F41">
        <f>AVERAGE('R1'!M41,'R2'!M41,'R3'!M41)</f>
        <v>-2.286136917696298</v>
      </c>
      <c r="G41">
        <f>AVERAGE('R1'!N41,'R2'!N41,'R3'!N41)</f>
        <v>-1.2957559524349496</v>
      </c>
      <c r="H41">
        <f>AVERAGE('R1'!O41,'R2'!O41,'R3'!O41)</f>
        <v>-1.0657967169541736</v>
      </c>
      <c r="I41">
        <f t="shared" si="1"/>
        <v>4071.1496373611103</v>
      </c>
      <c r="K41">
        <f>_xlfn.STDEV.S('R1'!L41,'R2'!L41,'R3'!L41)</f>
        <v>7.1716943757876165E-3</v>
      </c>
      <c r="L41">
        <f>_xlfn.STDEV.S('R1'!M41,'R2'!M41,'R3'!M41)</f>
        <v>1.9608143616697715E-2</v>
      </c>
      <c r="M41">
        <f>_xlfn.STDEV.S('R1'!N41,'R2'!N41,'R3'!N41)</f>
        <v>2.0690802074254132E-2</v>
      </c>
      <c r="N41">
        <f>_xlfn.STDEV.S('R1'!O41,'R2'!O41,'R3'!O41)</f>
        <v>8.1493650538666338E-3</v>
      </c>
    </row>
    <row r="42" spans="1:14" x14ac:dyDescent="0.25">
      <c r="A42">
        <f>-'R1'!H42</f>
        <v>40</v>
      </c>
      <c r="B42">
        <f>DEGREES(ATAN(-SIN(RADIANS(('R1'!I42)))/(COS(RADIANS(Sheet1!A42))*COS(RADIANS('R1'!I42)))))</f>
        <v>-30.165358572591657</v>
      </c>
      <c r="C42">
        <f>AVERAGE('R1'!J42,'R2'!J42,'R3'!J42)</f>
        <v>1.1766666666666665</v>
      </c>
      <c r="D42">
        <f>AVERAGE('R1'!K42,'R2'!K42,'R3'!K42)</f>
        <v>20.850284500000001</v>
      </c>
      <c r="E42">
        <f>AVERAGE('R1'!L42,'R2'!L42,'R3'!L42)</f>
        <v>-1.5870913354114107</v>
      </c>
      <c r="F42">
        <f>AVERAGE('R1'!M42,'R2'!M42,'R3'!M42)</f>
        <v>-2.2261614236574245</v>
      </c>
      <c r="G42">
        <f>AVERAGE('R1'!N42,'R2'!N42,'R3'!N42)</f>
        <v>-1.3275029301670573</v>
      </c>
      <c r="H42">
        <f>AVERAGE('R1'!O42,'R2'!O42,'R3'!O42)</f>
        <v>-1.1436388351073516</v>
      </c>
      <c r="I42">
        <f t="shared" si="1"/>
        <v>4088.9724602777774</v>
      </c>
      <c r="K42">
        <f>_xlfn.STDEV.S('R1'!L42,'R2'!L42,'R3'!L42)</f>
        <v>2.2069269931416044E-2</v>
      </c>
      <c r="L42">
        <f>_xlfn.STDEV.S('R1'!M42,'R2'!M42,'R3'!M42)</f>
        <v>3.6022889392353243E-2</v>
      </c>
      <c r="M42">
        <f>_xlfn.STDEV.S('R1'!N42,'R2'!N42,'R3'!N42)</f>
        <v>4.0733895911261156E-2</v>
      </c>
      <c r="N42">
        <f>_xlfn.STDEV.S('R1'!O42,'R2'!O42,'R3'!O42)</f>
        <v>1.9820486164529118E-2</v>
      </c>
    </row>
    <row r="43" spans="1:14" x14ac:dyDescent="0.25">
      <c r="A43">
        <f>-'R1'!H43</f>
        <v>40</v>
      </c>
      <c r="B43">
        <f>DEGREES(ATAN(-SIN(RADIANS(('R1'!I43)))/(COS(RADIANS(Sheet1!A43))*COS(RADIANS('R1'!I43)))))</f>
        <v>-34.764413107862225</v>
      </c>
      <c r="C43">
        <f>AVERAGE('R1'!J43,'R2'!J43,'R3'!J43)</f>
        <v>1.1766666666666665</v>
      </c>
      <c r="D43">
        <f>AVERAGE('R1'!K43,'R2'!K43,'R3'!K43)</f>
        <v>20.626991833333332</v>
      </c>
      <c r="E43">
        <f>AVERAGE('R1'!L43,'R2'!L43,'R3'!L43)</f>
        <v>-1.7341815074276534</v>
      </c>
      <c r="F43">
        <f>AVERAGE('R1'!M43,'R2'!M43,'R3'!M43)</f>
        <v>-2.2199032272108572</v>
      </c>
      <c r="G43">
        <f>AVERAGE('R1'!N43,'R2'!N43,'R3'!N43)</f>
        <v>-1.4047967951626141</v>
      </c>
      <c r="H43">
        <f>AVERAGE('R1'!O43,'R2'!O43,'R3'!O43)</f>
        <v>-1.239189123587207</v>
      </c>
      <c r="I43">
        <f t="shared" si="1"/>
        <v>4045.1822873148144</v>
      </c>
      <c r="K43">
        <f>_xlfn.STDEV.S('R1'!L43,'R2'!L43,'R3'!L43)</f>
        <v>2.8629358460584349E-2</v>
      </c>
      <c r="L43">
        <f>_xlfn.STDEV.S('R1'!M43,'R2'!M43,'R3'!M43)</f>
        <v>2.814924671544447E-2</v>
      </c>
      <c r="M43">
        <f>_xlfn.STDEV.S('R1'!N43,'R2'!N43,'R3'!N43)</f>
        <v>4.3029908594666912E-2</v>
      </c>
      <c r="N43">
        <f>_xlfn.STDEV.S('R1'!O43,'R2'!O43,'R3'!O43)</f>
        <v>2.063694256881014E-2</v>
      </c>
    </row>
    <row r="44" spans="1:14" x14ac:dyDescent="0.25">
      <c r="A44">
        <f>-'R1'!H44</f>
        <v>40</v>
      </c>
      <c r="B44">
        <f>DEGREES(ATAN(-SIN(RADIANS(('R1'!I44)))/(COS(RADIANS(Sheet1!A44))*COS(RADIANS('R1'!I44)))))</f>
        <v>-39.204435233296593</v>
      </c>
      <c r="C44">
        <f>AVERAGE('R1'!J44,'R2'!J44,'R3'!J44)</f>
        <v>1.1766666666666665</v>
      </c>
      <c r="D44">
        <f>AVERAGE('R1'!K44,'R2'!K44,'R3'!K44)</f>
        <v>20.670322000000002</v>
      </c>
      <c r="E44">
        <f>AVERAGE('R1'!L44,'R2'!L44,'R3'!L44)</f>
        <v>-1.8927392017671354</v>
      </c>
      <c r="F44">
        <f>AVERAGE('R1'!M44,'R2'!M44,'R3'!M44)</f>
        <v>-2.2651470043566468</v>
      </c>
      <c r="G44">
        <f>AVERAGE('R1'!N44,'R2'!N44,'R3'!N44)</f>
        <v>-1.5273823792744068</v>
      </c>
      <c r="H44">
        <f>AVERAGE('R1'!O44,'R2'!O44,'R3'!O44)</f>
        <v>-1.3585764912613276</v>
      </c>
      <c r="I44">
        <f t="shared" si="1"/>
        <v>4053.6798144444447</v>
      </c>
      <c r="K44">
        <f>_xlfn.STDEV.S('R1'!L44,'R2'!L44,'R3'!L44)</f>
        <v>2.6689984446147126E-2</v>
      </c>
      <c r="L44">
        <f>_xlfn.STDEV.S('R1'!M44,'R2'!M44,'R3'!M44)</f>
        <v>2.4752478035930038E-2</v>
      </c>
      <c r="M44">
        <f>_xlfn.STDEV.S('R1'!N44,'R2'!N44,'R3'!N44)</f>
        <v>3.6810918858653049E-2</v>
      </c>
      <c r="N44">
        <f>_xlfn.STDEV.S('R1'!O44,'R2'!O44,'R3'!O44)</f>
        <v>1.8032727643195592E-2</v>
      </c>
    </row>
    <row r="45" spans="1:14" x14ac:dyDescent="0.25">
      <c r="A45">
        <f>-'R1'!H45</f>
        <v>40</v>
      </c>
      <c r="B45">
        <f>DEGREES(ATAN(-SIN(RADIANS(('R1'!I45)))/(COS(RADIANS(Sheet1!A45))*COS(RADIANS('R1'!I45)))))</f>
        <v>-43.48399800633365</v>
      </c>
      <c r="C45">
        <f>AVERAGE('R1'!J45,'R2'!J45,'R3'!J45)</f>
        <v>1.1749999999999998</v>
      </c>
      <c r="D45">
        <f>AVERAGE('R1'!K45,'R2'!K45,'R3'!K45)</f>
        <v>20.939055916666664</v>
      </c>
      <c r="E45">
        <f>AVERAGE('R1'!L45,'R2'!L45,'R3'!L45)</f>
        <v>-2.0875242363692514</v>
      </c>
      <c r="F45">
        <f>AVERAGE('R1'!M45,'R2'!M45,'R3'!M45)</f>
        <v>-2.3871336277253157</v>
      </c>
      <c r="G45">
        <f>AVERAGE('R1'!N45,'R2'!N45,'R3'!N45)</f>
        <v>-1.7344679597258281</v>
      </c>
      <c r="H45">
        <f>AVERAGE('R1'!O45,'R2'!O45,'R3'!O45)</f>
        <v>-1.5218633212353474</v>
      </c>
      <c r="I45">
        <f t="shared" si="1"/>
        <v>4100.5651170138881</v>
      </c>
      <c r="K45">
        <f>_xlfn.STDEV.S('R1'!L45,'R2'!L45,'R3'!L45)</f>
        <v>6.8889803418138397E-3</v>
      </c>
      <c r="L45">
        <f>_xlfn.STDEV.S('R1'!M45,'R2'!M45,'R3'!M45)</f>
        <v>3.0684659548498362E-3</v>
      </c>
      <c r="M45">
        <f>_xlfn.STDEV.S('R1'!N45,'R2'!N45,'R3'!N45)</f>
        <v>7.3271092988936165E-3</v>
      </c>
      <c r="N45">
        <f>_xlfn.STDEV.S('R1'!O45,'R2'!O45,'R3'!O45)</f>
        <v>3.6544922067249827E-3</v>
      </c>
    </row>
    <row r="46" spans="1:14" x14ac:dyDescent="0.25">
      <c r="A46">
        <f>-'R1'!H46</f>
        <v>40</v>
      </c>
      <c r="B46">
        <f>DEGREES(ATAN(-SIN(RADIANS(('R1'!I46)))/(COS(RADIANS(Sheet1!A46))*COS(RADIANS('R1'!I46)))))</f>
        <v>-47.605913955135343</v>
      </c>
      <c r="C46">
        <f>AVERAGE('R1'!J46,'R2'!J46,'R3'!J46)</f>
        <v>1.1766666666666665</v>
      </c>
      <c r="D46">
        <f>AVERAGE('R1'!K46,'R2'!K46,'R3'!K46)</f>
        <v>21.137861833333332</v>
      </c>
      <c r="E46">
        <f>AVERAGE('R1'!L46,'R2'!L46,'R3'!L46)</f>
        <v>-2.3275910088490597</v>
      </c>
      <c r="F46">
        <f>AVERAGE('R1'!M46,'R2'!M46,'R3'!M46)</f>
        <v>-2.5572558545248802</v>
      </c>
      <c r="G46">
        <f>AVERAGE('R1'!N46,'R2'!N46,'R3'!N46)</f>
        <v>-2.0153113476514566</v>
      </c>
      <c r="H46">
        <f>AVERAGE('R1'!O46,'R2'!O46,'R3'!O46)</f>
        <v>-1.7295475622677596</v>
      </c>
      <c r="I46">
        <f t="shared" si="1"/>
        <v>4145.3695706481476</v>
      </c>
      <c r="K46">
        <f>_xlfn.STDEV.S('R1'!L46,'R2'!L46,'R3'!L46)</f>
        <v>1.8059276261538193E-2</v>
      </c>
      <c r="L46">
        <f>_xlfn.STDEV.S('R1'!M46,'R2'!M46,'R3'!M46)</f>
        <v>1.67740948142025E-2</v>
      </c>
      <c r="M46">
        <f>_xlfn.STDEV.S('R1'!N46,'R2'!N46,'R3'!N46)</f>
        <v>2.3585645784695315E-2</v>
      </c>
      <c r="N46">
        <f>_xlfn.STDEV.S('R1'!O46,'R2'!O46,'R3'!O46)</f>
        <v>1.4093565108305752E-2</v>
      </c>
    </row>
    <row r="47" spans="1:14" x14ac:dyDescent="0.25">
      <c r="A47">
        <f>-'R1'!H47</f>
        <v>40</v>
      </c>
      <c r="B47">
        <f>DEGREES(ATAN(-SIN(RADIANS(('R1'!I47)))/(COS(RADIANS(Sheet1!A47))*COS(RADIANS('R1'!I47)))))</f>
        <v>-51.576359961556868</v>
      </c>
      <c r="C47">
        <f>AVERAGE('R1'!J47,'R2'!J47,'R3'!J47)</f>
        <v>1.1766666666666665</v>
      </c>
      <c r="D47">
        <f>AVERAGE('R1'!K47,'R2'!K47,'R3'!K47)</f>
        <v>20.895106999999999</v>
      </c>
      <c r="E47">
        <f>AVERAGE('R1'!L47,'R2'!L47,'R3'!L47)</f>
        <v>-2.617366870395895</v>
      </c>
      <c r="F47">
        <f>AVERAGE('R1'!M47,'R2'!M47,'R3'!M47)</f>
        <v>-2.7426731297543738</v>
      </c>
      <c r="G47">
        <f>AVERAGE('R1'!N47,'R2'!N47,'R3'!N47)</f>
        <v>-2.3573162197183595</v>
      </c>
      <c r="H47">
        <f>AVERAGE('R1'!O47,'R2'!O47,'R3'!O47)</f>
        <v>-1.9814549904939913</v>
      </c>
      <c r="I47">
        <f t="shared" si="1"/>
        <v>4097.7626505555545</v>
      </c>
      <c r="K47">
        <f>_xlfn.STDEV.S('R1'!L47,'R2'!L47,'R3'!L47)</f>
        <v>5.8982475346390558E-3</v>
      </c>
      <c r="L47">
        <f>_xlfn.STDEV.S('R1'!M47,'R2'!M47,'R3'!M47)</f>
        <v>4.3451768733500824E-3</v>
      </c>
      <c r="M47">
        <f>_xlfn.STDEV.S('R1'!N47,'R2'!N47,'R3'!N47)</f>
        <v>7.9686993468288999E-3</v>
      </c>
      <c r="N47">
        <f>_xlfn.STDEV.S('R1'!O47,'R2'!O47,'R3'!O47)</f>
        <v>7.4912351474845573E-3</v>
      </c>
    </row>
    <row r="48" spans="1:14" x14ac:dyDescent="0.25">
      <c r="A48">
        <f>-'R1'!H48</f>
        <v>36</v>
      </c>
      <c r="B48">
        <f>DEGREES(ATAN(-SIN(RADIANS(('R1'!I48)))/(COS(RADIANS(Sheet1!A48))*COS(RADIANS('R1'!I48)))))</f>
        <v>50.045016920059574</v>
      </c>
      <c r="C48">
        <f>AVERAGE('R1'!J48,'R2'!J48,'R3'!J48)</f>
        <v>1.1766666666666665</v>
      </c>
      <c r="D48">
        <f>AVERAGE('R1'!K48,'R2'!K48,'R3'!K48)</f>
        <v>20.646209499999998</v>
      </c>
      <c r="E48">
        <f>AVERAGE('R1'!L48,'R2'!L48,'R3'!L48)</f>
        <v>1.9428570145464634</v>
      </c>
      <c r="F48">
        <f>AVERAGE('R1'!M48,'R2'!M48,'R3'!M48)</f>
        <v>-2.0302640882169318</v>
      </c>
      <c r="G48">
        <f>AVERAGE('R1'!N48,'R2'!N48,'R3'!N48)</f>
        <v>-1.4895955170994009</v>
      </c>
      <c r="H48">
        <f>AVERAGE('R1'!O48,'R2'!O48,'R3'!O48)</f>
        <v>-1.4548306138186244</v>
      </c>
      <c r="I48">
        <f t="shared" si="1"/>
        <v>4048.9510852777767</v>
      </c>
      <c r="K48">
        <f>_xlfn.STDEV.S('R1'!L48,'R2'!L48,'R3'!L48)</f>
        <v>2.3859650681391097E-3</v>
      </c>
      <c r="L48">
        <f>_xlfn.STDEV.S('R1'!M48,'R2'!M48,'R3'!M48)</f>
        <v>4.0576177653588287E-3</v>
      </c>
      <c r="M48">
        <f>_xlfn.STDEV.S('R1'!N48,'R2'!N48,'R3'!N48)</f>
        <v>5.2263275131116142E-3</v>
      </c>
      <c r="N48">
        <f>_xlfn.STDEV.S('R1'!O48,'R2'!O48,'R3'!O48)</f>
        <v>1.2801021194741965E-4</v>
      </c>
    </row>
    <row r="49" spans="1:14" x14ac:dyDescent="0.25">
      <c r="A49">
        <f>-'R1'!H49</f>
        <v>36</v>
      </c>
      <c r="B49">
        <f>DEGREES(ATAN(-SIN(RADIANS(('R1'!I49)))/(COS(RADIANS(Sheet1!A49))*COS(RADIANS('R1'!I49)))))</f>
        <v>46.045688589723383</v>
      </c>
      <c r="C49">
        <f>AVERAGE('R1'!J49,'R2'!J49,'R3'!J49)</f>
        <v>1.1766666666666665</v>
      </c>
      <c r="D49">
        <f>AVERAGE('R1'!K49,'R2'!K49,'R3'!K49)</f>
        <v>20.537972999999997</v>
      </c>
      <c r="E49">
        <f>AVERAGE('R1'!L49,'R2'!L49,'R3'!L49)</f>
        <v>1.8349543425582098</v>
      </c>
      <c r="F49">
        <f>AVERAGE('R1'!M49,'R2'!M49,'R3'!M49)</f>
        <v>-1.9648336004199527</v>
      </c>
      <c r="G49">
        <f>AVERAGE('R1'!N49,'R2'!N49,'R3'!N49)</f>
        <v>-1.3449043983957676</v>
      </c>
      <c r="H49">
        <f>AVERAGE('R1'!O49,'R2'!O49,'R3'!O49)</f>
        <v>-1.3215363231424107</v>
      </c>
      <c r="I49">
        <f t="shared" si="1"/>
        <v>4027.7247049999992</v>
      </c>
      <c r="K49">
        <f>_xlfn.STDEV.S('R1'!L49,'R2'!L49,'R3'!L49)</f>
        <v>1.0100534310257325E-2</v>
      </c>
      <c r="L49">
        <f>_xlfn.STDEV.S('R1'!M49,'R2'!M49,'R3'!M49)</f>
        <v>1.2104488646809025E-2</v>
      </c>
      <c r="M49">
        <f>_xlfn.STDEV.S('R1'!N49,'R2'!N49,'R3'!N49)</f>
        <v>1.7105688308226927E-2</v>
      </c>
      <c r="N49">
        <f>_xlfn.STDEV.S('R1'!O49,'R2'!O49,'R3'!O49)</f>
        <v>6.71454975546681E-3</v>
      </c>
    </row>
    <row r="50" spans="1:14" x14ac:dyDescent="0.25">
      <c r="A50">
        <f>-'R1'!H50</f>
        <v>36</v>
      </c>
      <c r="B50">
        <f>DEGREES(ATAN(-SIN(RADIANS(('R1'!I50)))/(COS(RADIANS(Sheet1!A50))*COS(RADIANS('R1'!I50)))))</f>
        <v>41.925613925819086</v>
      </c>
      <c r="C50">
        <f>AVERAGE('R1'!J50,'R2'!J50,'R3'!J50)</f>
        <v>1.1766666666666665</v>
      </c>
      <c r="D50">
        <f>AVERAGE('R1'!K50,'R2'!K50,'R3'!K50)</f>
        <v>20.38741825</v>
      </c>
      <c r="E50">
        <f>AVERAGE('R1'!L50,'R2'!L50,'R3'!L50)</f>
        <v>1.7366371586315532</v>
      </c>
      <c r="F50">
        <f>AVERAGE('R1'!M50,'R2'!M50,'R3'!M50)</f>
        <v>-1.917339709257595</v>
      </c>
      <c r="G50">
        <f>AVERAGE('R1'!N50,'R2'!N50,'R3'!N50)</f>
        <v>-1.2311072669545482</v>
      </c>
      <c r="H50">
        <f>AVERAGE('R1'!O50,'R2'!O50,'R3'!O50)</f>
        <v>-1.2100917742335386</v>
      </c>
      <c r="I50">
        <f t="shared" si="1"/>
        <v>3998.199245694444</v>
      </c>
      <c r="K50">
        <f>_xlfn.STDEV.S('R1'!L50,'R2'!L50,'R3'!L50)</f>
        <v>7.30075573253074E-3</v>
      </c>
      <c r="L50">
        <f>_xlfn.STDEV.S('R1'!M50,'R2'!M50,'R3'!M50)</f>
        <v>7.9353360269597151E-3</v>
      </c>
      <c r="M50">
        <f>_xlfn.STDEV.S('R1'!N50,'R2'!N50,'R3'!N50)</f>
        <v>1.0691329547361244E-2</v>
      </c>
      <c r="N50">
        <f>_xlfn.STDEV.S('R1'!O50,'R2'!O50,'R3'!O50)</f>
        <v>5.4442277839636746E-3</v>
      </c>
    </row>
    <row r="51" spans="1:14" x14ac:dyDescent="0.25">
      <c r="A51">
        <f>-'R1'!H51</f>
        <v>36</v>
      </c>
      <c r="B51">
        <f>DEGREES(ATAN(-SIN(RADIANS(('R1'!I51)))/(COS(RADIANS(Sheet1!A51))*COS(RADIANS('R1'!I51)))))</f>
        <v>37.681815805789164</v>
      </c>
      <c r="C51">
        <f>AVERAGE('R1'!J51,'R2'!J51,'R3'!J51)</f>
        <v>1.1766666666666665</v>
      </c>
      <c r="D51">
        <f>AVERAGE('R1'!K51,'R2'!K51,'R3'!K51)</f>
        <v>20.281797666666666</v>
      </c>
      <c r="E51">
        <f>AVERAGE('R1'!L51,'R2'!L51,'R3'!L51)</f>
        <v>1.6386164234652474</v>
      </c>
      <c r="F51">
        <f>AVERAGE('R1'!M51,'R2'!M51,'R3'!M51)</f>
        <v>-1.9187776581870644</v>
      </c>
      <c r="G51">
        <f>AVERAGE('R1'!N51,'R2'!N51,'R3'!N51)</f>
        <v>-1.1582237287375603</v>
      </c>
      <c r="H51">
        <f>AVERAGE('R1'!O51,'R2'!O51,'R3'!O51)</f>
        <v>-1.1125174262902551</v>
      </c>
      <c r="I51">
        <f t="shared" si="1"/>
        <v>3977.4858757407405</v>
      </c>
      <c r="K51">
        <f>_xlfn.STDEV.S('R1'!L51,'R2'!L51,'R3'!L51)</f>
        <v>3.265861836960534E-3</v>
      </c>
      <c r="L51">
        <f>_xlfn.STDEV.S('R1'!M51,'R2'!M51,'R3'!M51)</f>
        <v>1.4242219567613311E-2</v>
      </c>
      <c r="M51">
        <f>_xlfn.STDEV.S('R1'!N51,'R2'!N51,'R3'!N51)</f>
        <v>1.3807702897613419E-2</v>
      </c>
      <c r="N51">
        <f>_xlfn.STDEV.S('R1'!O51,'R2'!O51,'R3'!O51)</f>
        <v>4.0888451370545593E-3</v>
      </c>
    </row>
    <row r="52" spans="1:14" x14ac:dyDescent="0.25">
      <c r="A52">
        <f>-'R1'!H52</f>
        <v>36</v>
      </c>
      <c r="B52">
        <f>DEGREES(ATAN(-SIN(RADIANS(('R1'!I52)))/(COS(RADIANS(Sheet1!A52))*COS(RADIANS('R1'!I52)))))</f>
        <v>33.314077817276932</v>
      </c>
      <c r="C52">
        <f>AVERAGE('R1'!J52,'R2'!J52,'R3'!J52)</f>
        <v>1.1766666666666665</v>
      </c>
      <c r="D52">
        <f>AVERAGE('R1'!K52,'R2'!K52,'R3'!K52)</f>
        <v>20.212762416666667</v>
      </c>
      <c r="E52">
        <f>AVERAGE('R1'!L52,'R2'!L52,'R3'!L52)</f>
        <v>1.5305657700432456</v>
      </c>
      <c r="F52">
        <f>AVERAGE('R1'!M52,'R2'!M52,'R3'!M52)</f>
        <v>-1.9666760837659176</v>
      </c>
      <c r="G52">
        <f>AVERAGE('R1'!N52,'R2'!N52,'R3'!N52)</f>
        <v>-1.1244586127069374</v>
      </c>
      <c r="H52">
        <f>AVERAGE('R1'!O52,'R2'!O52,'R3'!O52)</f>
        <v>-1.0279249874666478</v>
      </c>
      <c r="I52">
        <f t="shared" si="1"/>
        <v>3963.9472961574074</v>
      </c>
      <c r="K52">
        <f>_xlfn.STDEV.S('R1'!L52,'R2'!L52,'R3'!L52)</f>
        <v>3.3659235604754571E-3</v>
      </c>
      <c r="L52">
        <f>_xlfn.STDEV.S('R1'!M52,'R2'!M52,'R3'!M52)</f>
        <v>7.267151757932932E-3</v>
      </c>
      <c r="M52">
        <f>_xlfn.STDEV.S('R1'!N52,'R2'!N52,'R3'!N52)</f>
        <v>6.4157425041186811E-3</v>
      </c>
      <c r="N52">
        <f>_xlfn.STDEV.S('R1'!O52,'R2'!O52,'R3'!O52)</f>
        <v>4.4794499459452682E-3</v>
      </c>
    </row>
    <row r="53" spans="1:14" x14ac:dyDescent="0.25">
      <c r="A53">
        <f>-'R1'!H53</f>
        <v>36</v>
      </c>
      <c r="B53">
        <f>DEGREES(ATAN(-SIN(RADIANS(('R1'!I53)))/(COS(RADIANS(Sheet1!A53))*COS(RADIANS('R1'!I53)))))</f>
        <v>28.825436554649738</v>
      </c>
      <c r="C53">
        <f>AVERAGE('R1'!J53,'R2'!J53,'R3'!J53)</f>
        <v>1.1766666666666665</v>
      </c>
      <c r="D53">
        <f>AVERAGE('R1'!K53,'R2'!K53,'R3'!K53)</f>
        <v>20.251780083333333</v>
      </c>
      <c r="E53">
        <f>AVERAGE('R1'!L53,'R2'!L53,'R3'!L53)</f>
        <v>1.4061314834177443</v>
      </c>
      <c r="F53">
        <f>AVERAGE('R1'!M53,'R2'!M53,'R3'!M53)</f>
        <v>-2.0318845505071472</v>
      </c>
      <c r="G53">
        <f>AVERAGE('R1'!N53,'R2'!N53,'R3'!N53)</f>
        <v>-1.1052269146784675</v>
      </c>
      <c r="H53">
        <f>AVERAGE('R1'!O53,'R2'!O53,'R3'!O53)</f>
        <v>-0.94391013905697585</v>
      </c>
      <c r="I53">
        <f t="shared" si="1"/>
        <v>3971.5990941203695</v>
      </c>
      <c r="K53">
        <f>_xlfn.STDEV.S('R1'!L53,'R2'!L53,'R3'!L53)</f>
        <v>7.7273625173171457E-4</v>
      </c>
      <c r="L53">
        <f>_xlfn.STDEV.S('R1'!M53,'R2'!M53,'R3'!M53)</f>
        <v>1.3146405516785741E-2</v>
      </c>
      <c r="M53">
        <f>_xlfn.STDEV.S('R1'!N53,'R2'!N53,'R3'!N53)</f>
        <v>1.1807317123859084E-2</v>
      </c>
      <c r="N53">
        <f>_xlfn.STDEV.S('R1'!O53,'R2'!O53,'R3'!O53)</f>
        <v>2.8608723236875952E-4</v>
      </c>
    </row>
    <row r="54" spans="1:14" x14ac:dyDescent="0.25">
      <c r="A54">
        <f>-'R1'!H54</f>
        <v>36</v>
      </c>
      <c r="B54">
        <f>DEGREES(ATAN(-SIN(RADIANS(('R1'!I54)))/(COS(RADIANS(Sheet1!A54))*COS(RADIANS('R1'!I54)))))</f>
        <v>24.22259689172926</v>
      </c>
      <c r="C54">
        <f>AVERAGE('R1'!J54,'R2'!J54,'R3'!J54)</f>
        <v>1.1766666666666665</v>
      </c>
      <c r="D54">
        <f>AVERAGE('R1'!K54,'R2'!K54,'R3'!K54)</f>
        <v>20.593934083333334</v>
      </c>
      <c r="E54">
        <f>AVERAGE('R1'!L54,'R2'!L54,'R3'!L54)</f>
        <v>1.2501738187656783</v>
      </c>
      <c r="F54">
        <f>AVERAGE('R1'!M54,'R2'!M54,'R3'!M54)</f>
        <v>-2.1283287128218249</v>
      </c>
      <c r="G54">
        <f>AVERAGE('R1'!N54,'R2'!N54,'R3'!N54)</f>
        <v>-1.1018289467837863</v>
      </c>
      <c r="H54">
        <f>AVERAGE('R1'!O54,'R2'!O54,'R3'!O54)</f>
        <v>-0.86756231851649435</v>
      </c>
      <c r="I54">
        <f t="shared" si="1"/>
        <v>4038.6992952314818</v>
      </c>
      <c r="K54">
        <f>_xlfn.STDEV.S('R1'!L54,'R2'!L54,'R3'!L54)</f>
        <v>4.8990551251901129E-3</v>
      </c>
      <c r="L54">
        <f>_xlfn.STDEV.S('R1'!M54,'R2'!M54,'R3'!M54)</f>
        <v>2.8982979645124814E-2</v>
      </c>
      <c r="M54">
        <f>_xlfn.STDEV.S('R1'!N54,'R2'!N54,'R3'!N54)</f>
        <v>2.0443407722631424E-2</v>
      </c>
      <c r="N54">
        <f>_xlfn.STDEV.S('R1'!O54,'R2'!O54,'R3'!O54)</f>
        <v>4.4471997592362943E-3</v>
      </c>
    </row>
    <row r="55" spans="1:14" x14ac:dyDescent="0.25">
      <c r="A55">
        <f>-'R1'!H55</f>
        <v>36</v>
      </c>
      <c r="B55">
        <f>DEGREES(ATAN(-SIN(RADIANS(('R1'!I55)))/(COS(RADIANS(Sheet1!A55))*COS(RADIANS('R1'!I55)))))</f>
        <v>19.516199251096932</v>
      </c>
      <c r="C55">
        <f>AVERAGE('R1'!J55,'R2'!J55,'R3'!J55)</f>
        <v>1.1766666666666665</v>
      </c>
      <c r="D55">
        <f>AVERAGE('R1'!K55,'R2'!K55,'R3'!K55)</f>
        <v>20.801002166666667</v>
      </c>
      <c r="E55">
        <f>AVERAGE('R1'!L55,'R2'!L55,'R3'!L55)</f>
        <v>1.0708516447131917</v>
      </c>
      <c r="F55">
        <f>AVERAGE('R1'!M55,'R2'!M55,'R3'!M55)</f>
        <v>-2.2412196776066247</v>
      </c>
      <c r="G55">
        <f>AVERAGE('R1'!N55,'R2'!N55,'R3'!N55)</f>
        <v>-1.1094220849604124</v>
      </c>
      <c r="H55">
        <f>AVERAGE('R1'!O55,'R2'!O55,'R3'!O55)</f>
        <v>-0.79924799220778941</v>
      </c>
      <c r="I55">
        <f t="shared" si="1"/>
        <v>4079.3076471296295</v>
      </c>
      <c r="K55">
        <f>_xlfn.STDEV.S('R1'!L55,'R2'!L55,'R3'!L55)</f>
        <v>1.5431235673119478E-3</v>
      </c>
      <c r="L55">
        <f>_xlfn.STDEV.S('R1'!M55,'R2'!M55,'R3'!M55)</f>
        <v>1.4898921538872135E-2</v>
      </c>
      <c r="M55">
        <f>_xlfn.STDEV.S('R1'!N55,'R2'!N55,'R3'!N55)</f>
        <v>1.0497906199479127E-2</v>
      </c>
      <c r="N55">
        <f>_xlfn.STDEV.S('R1'!O55,'R2'!O55,'R3'!O55)</f>
        <v>2.6279281972289839E-3</v>
      </c>
    </row>
    <row r="56" spans="1:14" x14ac:dyDescent="0.25">
      <c r="A56">
        <f>-'R1'!H56</f>
        <v>36</v>
      </c>
      <c r="B56">
        <f>DEGREES(ATAN(-SIN(RADIANS(('R1'!I56)))/(COS(RADIANS(Sheet1!A56))*COS(RADIANS('R1'!I56)))))</f>
        <v>14.720865361542916</v>
      </c>
      <c r="C56">
        <f>AVERAGE('R1'!J56,'R2'!J56,'R3'!J56)</f>
        <v>1.1766666666666665</v>
      </c>
      <c r="D56">
        <f>AVERAGE('R1'!K56,'R2'!K56,'R3'!K56)</f>
        <v>20.528873166666667</v>
      </c>
      <c r="E56">
        <f>AVERAGE('R1'!L56,'R2'!L56,'R3'!L56)</f>
        <v>0.84216476410243901</v>
      </c>
      <c r="F56">
        <f>AVERAGE('R1'!M56,'R2'!M56,'R3'!M56)</f>
        <v>-2.4059857294002125</v>
      </c>
      <c r="G56">
        <f>AVERAGE('R1'!N56,'R2'!N56,'R3'!N56)</f>
        <v>-1.1469621276201429</v>
      </c>
      <c r="H56">
        <f>AVERAGE('R1'!O56,'R2'!O56,'R3'!O56)</f>
        <v>-0.73541044151091661</v>
      </c>
      <c r="I56">
        <f t="shared" si="1"/>
        <v>4025.9401265740739</v>
      </c>
      <c r="K56">
        <f>_xlfn.STDEV.S('R1'!L56,'R2'!L56,'R3'!L56)</f>
        <v>4.2783078041686321E-3</v>
      </c>
      <c r="L56">
        <f>_xlfn.STDEV.S('R1'!M56,'R2'!M56,'R3'!M56)</f>
        <v>2.4206913988289367E-2</v>
      </c>
      <c r="M56">
        <f>_xlfn.STDEV.S('R1'!N56,'R2'!N56,'R3'!N56)</f>
        <v>1.5542388744035494E-2</v>
      </c>
      <c r="N56">
        <f>_xlfn.STDEV.S('R1'!O56,'R2'!O56,'R3'!O56)</f>
        <v>2.9597002909614945E-3</v>
      </c>
    </row>
    <row r="57" spans="1:14" x14ac:dyDescent="0.25">
      <c r="A57">
        <f>-'R1'!H57</f>
        <v>36</v>
      </c>
      <c r="B57">
        <f>DEGREES(ATAN(-SIN(RADIANS(('R1'!I57)))/(COS(RADIANS(Sheet1!A57))*COS(RADIANS('R1'!I57)))))</f>
        <v>9.8549609037615156</v>
      </c>
      <c r="C57">
        <f>AVERAGE('R1'!J57,'R2'!J57,'R3'!J57)</f>
        <v>1.1766666666666665</v>
      </c>
      <c r="D57">
        <f>AVERAGE('R1'!K57,'R2'!K57,'R3'!K57)</f>
        <v>20.405719916666666</v>
      </c>
      <c r="E57">
        <f>AVERAGE('R1'!L57,'R2'!L57,'R3'!L57)</f>
        <v>0.56688875104599001</v>
      </c>
      <c r="F57">
        <f>AVERAGE('R1'!M57,'R2'!M57,'R3'!M57)</f>
        <v>-2.592736708490996</v>
      </c>
      <c r="G57">
        <f>AVERAGE('R1'!N57,'R2'!N57,'R3'!N57)</f>
        <v>-1.1966757781663406</v>
      </c>
      <c r="H57">
        <f>AVERAGE('R1'!O57,'R2'!O57,'R3'!O57)</f>
        <v>-0.67450366836940112</v>
      </c>
      <c r="I57">
        <f t="shared" si="1"/>
        <v>4001.788405879629</v>
      </c>
      <c r="K57">
        <f>_xlfn.STDEV.S('R1'!L57,'R2'!L57,'R3'!L57)</f>
        <v>1.289599876670593E-2</v>
      </c>
      <c r="L57">
        <f>_xlfn.STDEV.S('R1'!M57,'R2'!M57,'R3'!M57)</f>
        <v>3.2114438784392102E-2</v>
      </c>
      <c r="M57">
        <f>_xlfn.STDEV.S('R1'!N57,'R2'!N57,'R3'!N57)</f>
        <v>2.1860227002822429E-2</v>
      </c>
      <c r="N57">
        <f>_xlfn.STDEV.S('R1'!O57,'R2'!O57,'R3'!O57)</f>
        <v>3.4173566599381786E-3</v>
      </c>
    </row>
    <row r="58" spans="1:14" x14ac:dyDescent="0.25">
      <c r="A58">
        <f>-'R1'!H58</f>
        <v>36</v>
      </c>
      <c r="B58">
        <f>DEGREES(ATAN(-SIN(RADIANS(('R1'!I58)))/(COS(RADIANS(Sheet1!A58))*COS(RADIANS('R1'!I58)))))</f>
        <v>4.940042441862353</v>
      </c>
      <c r="C58">
        <f>AVERAGE('R1'!J58,'R2'!J58,'R3'!J58)</f>
        <v>1.1766666666666665</v>
      </c>
      <c r="D58">
        <f>AVERAGE('R1'!K58,'R2'!K58,'R3'!K58)</f>
        <v>20.660749916666671</v>
      </c>
      <c r="E58">
        <f>AVERAGE('R1'!L58,'R2'!L58,'R3'!L58)</f>
        <v>0.23462188933711234</v>
      </c>
      <c r="F58">
        <f>AVERAGE('R1'!M58,'R2'!M58,'R3'!M58)</f>
        <v>-2.824751521600311</v>
      </c>
      <c r="G58">
        <f>AVERAGE('R1'!N58,'R2'!N58,'R3'!N58)</f>
        <v>-1.2823397161503525</v>
      </c>
      <c r="H58">
        <f>AVERAGE('R1'!O58,'R2'!O58,'R3'!O58)</f>
        <v>-0.62093225886114189</v>
      </c>
      <c r="I58">
        <f t="shared" si="1"/>
        <v>4051.8026225462963</v>
      </c>
      <c r="K58">
        <f>_xlfn.STDEV.S('R1'!L58,'R2'!L58,'R3'!L58)</f>
        <v>1.1395479548428506E-2</v>
      </c>
      <c r="L58">
        <f>_xlfn.STDEV.S('R1'!M58,'R2'!M58,'R3'!M58)</f>
        <v>1.9511188064356314E-2</v>
      </c>
      <c r="M58">
        <f>_xlfn.STDEV.S('R1'!N58,'R2'!N58,'R3'!N58)</f>
        <v>1.1812848478671149E-2</v>
      </c>
      <c r="N58">
        <f>_xlfn.STDEV.S('R1'!O58,'R2'!O58,'R3'!O58)</f>
        <v>1.4432022523708579E-3</v>
      </c>
    </row>
    <row r="59" spans="1:14" x14ac:dyDescent="0.25">
      <c r="A59">
        <f>-'R1'!H59</f>
        <v>36</v>
      </c>
      <c r="B59">
        <f>DEGREES(ATAN(-SIN(RADIANS(('R1'!I59)))/(COS(RADIANS(Sheet1!A59))*COS(RADIANS('R1'!I59)))))</f>
        <v>0</v>
      </c>
      <c r="C59">
        <f>AVERAGE('R1'!J59,'R2'!J59,'R3'!J59)</f>
        <v>1.1766666666666665</v>
      </c>
      <c r="D59">
        <f>AVERAGE('R1'!K59,'R2'!K59,'R3'!K59)</f>
        <v>21.065364583333334</v>
      </c>
      <c r="E59">
        <f>AVERAGE('R1'!L59,'R2'!L59,'R3'!L59)</f>
        <v>-0.14745612639519309</v>
      </c>
      <c r="F59">
        <f>AVERAGE('R1'!M59,'R2'!M59,'R3'!M59)</f>
        <v>-2.8534415803324911</v>
      </c>
      <c r="G59">
        <f>AVERAGE('R1'!N59,'R2'!N59,'R3'!N59)</f>
        <v>-1.2732000614951282</v>
      </c>
      <c r="H59">
        <f>AVERAGE('R1'!O59,'R2'!O59,'R3'!O59)</f>
        <v>-0.59515538831935599</v>
      </c>
      <c r="I59">
        <f t="shared" si="1"/>
        <v>4131.1520543981478</v>
      </c>
      <c r="K59">
        <f>_xlfn.STDEV.S('R1'!L59,'R2'!L59,'R3'!L59)</f>
        <v>4.7085111656992553E-4</v>
      </c>
      <c r="L59">
        <f>_xlfn.STDEV.S('R1'!M59,'R2'!M59,'R3'!M59)</f>
        <v>4.6541016213205999E-3</v>
      </c>
      <c r="M59">
        <f>_xlfn.STDEV.S('R1'!N59,'R2'!N59,'R3'!N59)</f>
        <v>2.9500826066331258E-3</v>
      </c>
      <c r="N59">
        <f>_xlfn.STDEV.S('R1'!O59,'R2'!O59,'R3'!O59)</f>
        <v>2.4542540701496677E-3</v>
      </c>
    </row>
    <row r="60" spans="1:14" x14ac:dyDescent="0.25">
      <c r="A60">
        <f>-'R1'!H60</f>
        <v>36</v>
      </c>
      <c r="B60">
        <f>DEGREES(ATAN(-SIN(RADIANS(('R1'!I60)))/(COS(RADIANS(Sheet1!A60))*COS(RADIANS('R1'!I60)))))</f>
        <v>-4.940042441862353</v>
      </c>
      <c r="C60">
        <f>AVERAGE('R1'!J60,'R2'!J60,'R3'!J60)</f>
        <v>1.1766666666666665</v>
      </c>
      <c r="D60">
        <f>AVERAGE('R1'!K60,'R2'!K60,'R3'!K60)</f>
        <v>21.304701999999999</v>
      </c>
      <c r="E60">
        <f>AVERAGE('R1'!L60,'R2'!L60,'R3'!L60)</f>
        <v>-0.48835594231725943</v>
      </c>
      <c r="F60">
        <f>AVERAGE('R1'!M60,'R2'!M60,'R3'!M60)</f>
        <v>-2.571272479601785</v>
      </c>
      <c r="G60">
        <f>AVERAGE('R1'!N60,'R2'!N60,'R3'!N60)</f>
        <v>-1.1434717801440504</v>
      </c>
      <c r="H60">
        <f>AVERAGE('R1'!O60,'R2'!O60,'R3'!O60)</f>
        <v>-0.63363158160599731</v>
      </c>
      <c r="I60">
        <f t="shared" si="1"/>
        <v>4178.0887811111106</v>
      </c>
      <c r="K60">
        <f>_xlfn.STDEV.S('R1'!L60,'R2'!L60,'R3'!L60)</f>
        <v>5.4080627884693895E-3</v>
      </c>
      <c r="L60">
        <f>_xlfn.STDEV.S('R1'!M60,'R2'!M60,'R3'!M60)</f>
        <v>1.1563975973906914E-2</v>
      </c>
      <c r="M60">
        <f>_xlfn.STDEV.S('R1'!N60,'R2'!N60,'R3'!N60)</f>
        <v>1.0641181088008628E-2</v>
      </c>
      <c r="N60">
        <f>_xlfn.STDEV.S('R1'!O60,'R2'!O60,'R3'!O60)</f>
        <v>1.4596295839317973E-3</v>
      </c>
    </row>
    <row r="61" spans="1:14" x14ac:dyDescent="0.25">
      <c r="A61">
        <f>-'R1'!H61</f>
        <v>36</v>
      </c>
      <c r="B61">
        <f>DEGREES(ATAN(-SIN(RADIANS(('R1'!I61)))/(COS(RADIANS(Sheet1!A61))*COS(RADIANS('R1'!I61)))))</f>
        <v>-9.8549609037615156</v>
      </c>
      <c r="C61">
        <f>AVERAGE('R1'!J61,'R2'!J61,'R3'!J61)</f>
        <v>1.1741666666666666</v>
      </c>
      <c r="D61">
        <f>AVERAGE('R1'!K61,'R2'!K61,'R3'!K61)</f>
        <v>21.283172583333336</v>
      </c>
      <c r="E61">
        <f>AVERAGE('R1'!L61,'R2'!L61,'R3'!L61)</f>
        <v>-0.7608335515225596</v>
      </c>
      <c r="F61">
        <f>AVERAGE('R1'!M61,'R2'!M61,'R3'!M61)</f>
        <v>-2.3588913894735728</v>
      </c>
      <c r="G61">
        <f>AVERAGE('R1'!N61,'R2'!N61,'R3'!N61)</f>
        <v>-1.0563769925196098</v>
      </c>
      <c r="H61">
        <f>AVERAGE('R1'!O61,'R2'!O61,'R3'!O61)</f>
        <v>-0.67826431267659559</v>
      </c>
      <c r="I61">
        <f t="shared" si="1"/>
        <v>4164.9986347106478</v>
      </c>
      <c r="K61">
        <f>_xlfn.STDEV.S('R1'!L61,'R2'!L61,'R3'!L61)</f>
        <v>5.1665204208888819E-3</v>
      </c>
      <c r="L61">
        <f>_xlfn.STDEV.S('R1'!M61,'R2'!M61,'R3'!M61)</f>
        <v>3.9647733342177607E-3</v>
      </c>
      <c r="M61">
        <f>_xlfn.STDEV.S('R1'!N61,'R2'!N61,'R3'!N61)</f>
        <v>7.9255509941732576E-3</v>
      </c>
      <c r="N61">
        <f>_xlfn.STDEV.S('R1'!O61,'R2'!O61,'R3'!O61)</f>
        <v>3.3935968052121609E-3</v>
      </c>
    </row>
    <row r="62" spans="1:14" x14ac:dyDescent="0.25">
      <c r="A62">
        <f>-'R1'!H62</f>
        <v>36</v>
      </c>
      <c r="B62">
        <f>DEGREES(ATAN(-SIN(RADIANS(('R1'!I62)))/(COS(RADIANS(Sheet1!A62))*COS(RADIANS('R1'!I62)))))</f>
        <v>-14.720865361542916</v>
      </c>
      <c r="C62">
        <f>AVERAGE('R1'!J62,'R2'!J62,'R3'!J62)</f>
        <v>1.1758333333333333</v>
      </c>
      <c r="D62">
        <f>AVERAGE('R1'!K62,'R2'!K62,'R3'!K62)</f>
        <v>20.984924416666665</v>
      </c>
      <c r="E62">
        <f>AVERAGE('R1'!L62,'R2'!L62,'R3'!L62)</f>
        <v>-0.97590370121645631</v>
      </c>
      <c r="F62">
        <f>AVERAGE('R1'!M62,'R2'!M62,'R3'!M62)</f>
        <v>-2.1918932024981648</v>
      </c>
      <c r="G62">
        <f>AVERAGE('R1'!N62,'R2'!N62,'R3'!N62)</f>
        <v>-1.0016529588233754</v>
      </c>
      <c r="H62">
        <f>AVERAGE('R1'!O62,'R2'!O62,'R3'!O62)</f>
        <v>-0.72457133971306176</v>
      </c>
      <c r="I62">
        <f t="shared" si="1"/>
        <v>4112.4622710995363</v>
      </c>
      <c r="K62">
        <f>_xlfn.STDEV.S('R1'!L62,'R2'!L62,'R3'!L62)</f>
        <v>6.687839398763583E-3</v>
      </c>
      <c r="L62">
        <f>_xlfn.STDEV.S('R1'!M62,'R2'!M62,'R3'!M62)</f>
        <v>9.6275120040793787E-3</v>
      </c>
      <c r="M62">
        <f>_xlfn.STDEV.S('R1'!N62,'R2'!N62,'R3'!N62)</f>
        <v>1.0285700214525842E-2</v>
      </c>
      <c r="N62">
        <f>_xlfn.STDEV.S('R1'!O62,'R2'!O62,'R3'!O62)</f>
        <v>2.3854875593797096E-3</v>
      </c>
    </row>
    <row r="63" spans="1:14" x14ac:dyDescent="0.25">
      <c r="A63">
        <f>-'R1'!H63</f>
        <v>36</v>
      </c>
      <c r="B63">
        <f>DEGREES(ATAN(-SIN(RADIANS(('R1'!I63)))/(COS(RADIANS(Sheet1!A63))*COS(RADIANS('R1'!I63)))))</f>
        <v>-19.516199251096932</v>
      </c>
      <c r="C63">
        <f>AVERAGE('R1'!J63,'R2'!J63,'R3'!J63)</f>
        <v>1.1766666666666665</v>
      </c>
      <c r="D63">
        <f>AVERAGE('R1'!K63,'R2'!K63,'R3'!K63)</f>
        <v>20.786888749999999</v>
      </c>
      <c r="E63">
        <f>AVERAGE('R1'!L63,'R2'!L63,'R3'!L63)</f>
        <v>-1.1729988413663923</v>
      </c>
      <c r="F63">
        <f>AVERAGE('R1'!M63,'R2'!M63,'R3'!M63)</f>
        <v>-2.0812149237145618</v>
      </c>
      <c r="G63">
        <f>AVERAGE('R1'!N63,'R2'!N63,'R3'!N63)</f>
        <v>-1.000201112044371</v>
      </c>
      <c r="H63">
        <f>AVERAGE('R1'!O63,'R2'!O63,'R3'!O63)</f>
        <v>-0.77921142116283548</v>
      </c>
      <c r="I63">
        <f t="shared" si="1"/>
        <v>4076.539849305555</v>
      </c>
      <c r="K63">
        <f>_xlfn.STDEV.S('R1'!L63,'R2'!L63,'R3'!L63)</f>
        <v>7.2677337304144184E-3</v>
      </c>
      <c r="L63">
        <f>_xlfn.STDEV.S('R1'!M63,'R2'!M63,'R3'!M63)</f>
        <v>6.9240930822682964E-3</v>
      </c>
      <c r="M63">
        <f>_xlfn.STDEV.S('R1'!N63,'R2'!N63,'R3'!N63)</f>
        <v>7.9292867263604915E-3</v>
      </c>
      <c r="N63">
        <f>_xlfn.STDEV.S('R1'!O63,'R2'!O63,'R3'!O63)</f>
        <v>2.7926428342381041E-3</v>
      </c>
    </row>
    <row r="64" spans="1:14" x14ac:dyDescent="0.25">
      <c r="A64">
        <f>-'R1'!H64</f>
        <v>36</v>
      </c>
      <c r="B64">
        <f>DEGREES(ATAN(-SIN(RADIANS(('R1'!I64)))/(COS(RADIANS(Sheet1!A64))*COS(RADIANS('R1'!I64)))))</f>
        <v>-24.22259689172926</v>
      </c>
      <c r="C64">
        <f>AVERAGE('R1'!J64,'R2'!J64,'R3'!J64)</f>
        <v>1.1766666666666665</v>
      </c>
      <c r="D64">
        <f>AVERAGE('R1'!K64,'R2'!K64,'R3'!K64)</f>
        <v>20.59105266666667</v>
      </c>
      <c r="E64">
        <f>AVERAGE('R1'!L64,'R2'!L64,'R3'!L64)</f>
        <v>-1.3531341664137091</v>
      </c>
      <c r="F64">
        <f>AVERAGE('R1'!M64,'R2'!M64,'R3'!M64)</f>
        <v>-2.0127840381875193</v>
      </c>
      <c r="G64">
        <f>AVERAGE('R1'!N64,'R2'!N64,'R3'!N64)</f>
        <v>-1.0304267231353859</v>
      </c>
      <c r="H64">
        <f>AVERAGE('R1'!O64,'R2'!O64,'R3'!O64)</f>
        <v>-0.85119671039070344</v>
      </c>
      <c r="I64">
        <f t="shared" si="1"/>
        <v>4038.134217407408</v>
      </c>
      <c r="K64">
        <f>_xlfn.STDEV.S('R1'!L64,'R2'!L64,'R3'!L64)</f>
        <v>1.2388629803601709E-2</v>
      </c>
      <c r="L64">
        <f>_xlfn.STDEV.S('R1'!M64,'R2'!M64,'R3'!M64)</f>
        <v>6.9045021297053921E-3</v>
      </c>
      <c r="M64">
        <f>_xlfn.STDEV.S('R1'!N64,'R2'!N64,'R3'!N64)</f>
        <v>1.1565265503438966E-2</v>
      </c>
      <c r="N64">
        <f>_xlfn.STDEV.S('R1'!O64,'R2'!O64,'R3'!O64)</f>
        <v>4.4180379614684774E-3</v>
      </c>
    </row>
    <row r="65" spans="1:14" x14ac:dyDescent="0.25">
      <c r="A65">
        <f>-'R1'!H65</f>
        <v>36</v>
      </c>
      <c r="B65">
        <f>DEGREES(ATAN(-SIN(RADIANS(('R1'!I65)))/(COS(RADIANS(Sheet1!A65))*COS(RADIANS('R1'!I65)))))</f>
        <v>-28.825436554649738</v>
      </c>
      <c r="C65">
        <f>AVERAGE('R1'!J65,'R2'!J65,'R3'!J65)</f>
        <v>1.1766666666666665</v>
      </c>
      <c r="D65">
        <f>AVERAGE('R1'!K65,'R2'!K65,'R3'!K65)</f>
        <v>20.887018333333334</v>
      </c>
      <c r="E65">
        <f>AVERAGE('R1'!L65,'R2'!L65,'R3'!L65)</f>
        <v>-1.5032914979713379</v>
      </c>
      <c r="F65">
        <f>AVERAGE('R1'!M65,'R2'!M65,'R3'!M65)</f>
        <v>-1.9813056491793015</v>
      </c>
      <c r="G65">
        <f>AVERAGE('R1'!N65,'R2'!N65,'R3'!N65)</f>
        <v>-1.0774088241875532</v>
      </c>
      <c r="H65">
        <f>AVERAGE('R1'!O65,'R2'!O65,'R3'!O65)</f>
        <v>-0.94259281833130537</v>
      </c>
      <c r="I65">
        <f t="shared" si="1"/>
        <v>4096.1763731481469</v>
      </c>
      <c r="K65">
        <f>_xlfn.STDEV.S('R1'!L65,'R2'!L65,'R3'!L65)</f>
        <v>1.2309467990390146E-2</v>
      </c>
      <c r="L65">
        <f>_xlfn.STDEV.S('R1'!M65,'R2'!M65,'R3'!M65)</f>
        <v>1.1185343275803356E-2</v>
      </c>
      <c r="M65">
        <f>_xlfn.STDEV.S('R1'!N65,'R2'!N65,'R3'!N65)</f>
        <v>1.5451818662930097E-2</v>
      </c>
      <c r="N65">
        <f>_xlfn.STDEV.S('R1'!O65,'R2'!O65,'R3'!O65)</f>
        <v>7.0895750475783595E-3</v>
      </c>
    </row>
    <row r="66" spans="1:14" x14ac:dyDescent="0.25">
      <c r="A66">
        <f>-'R1'!H66</f>
        <v>36</v>
      </c>
      <c r="B66">
        <f>DEGREES(ATAN(-SIN(RADIANS(('R1'!I66)))/(COS(RADIANS(Sheet1!A66))*COS(RADIANS('R1'!I66)))))</f>
        <v>-33.314077817276932</v>
      </c>
      <c r="C66">
        <f>AVERAGE('R1'!J66,'R2'!J66,'R3'!J66)</f>
        <v>1.1766666666666665</v>
      </c>
      <c r="D66">
        <f>AVERAGE('R1'!K66,'R2'!K66,'R3'!K66)</f>
        <v>21.182606416666662</v>
      </c>
      <c r="E66">
        <f>AVERAGE('R1'!L66,'R2'!L66,'R3'!L66)</f>
        <v>-1.6567493029878133</v>
      </c>
      <c r="F66">
        <f>AVERAGE('R1'!M66,'R2'!M66,'R3'!M66)</f>
        <v>-1.9973676560287643</v>
      </c>
      <c r="G66">
        <f>AVERAGE('R1'!N66,'R2'!N66,'R3'!N66)</f>
        <v>-1.1699088710526755</v>
      </c>
      <c r="H66">
        <f>AVERAGE('R1'!O66,'R2'!O66,'R3'!O66)</f>
        <v>-1.0540684057468448</v>
      </c>
      <c r="I66">
        <f t="shared" si="1"/>
        <v>4154.1444806018508</v>
      </c>
      <c r="K66">
        <f>_xlfn.STDEV.S('R1'!L66,'R2'!L66,'R3'!L66)</f>
        <v>1.7321240039800241E-2</v>
      </c>
      <c r="L66">
        <f>_xlfn.STDEV.S('R1'!M66,'R2'!M66,'R3'!M66)</f>
        <v>1.9803158680319691E-2</v>
      </c>
      <c r="M66">
        <f>_xlfn.STDEV.S('R1'!N66,'R2'!N66,'R3'!N66)</f>
        <v>2.4836263266267367E-2</v>
      </c>
      <c r="N66">
        <f>_xlfn.STDEV.S('R1'!O66,'R2'!O66,'R3'!O66)</f>
        <v>9.2740235147943922E-3</v>
      </c>
    </row>
    <row r="67" spans="1:14" x14ac:dyDescent="0.25">
      <c r="A67">
        <f>-'R1'!H67</f>
        <v>36</v>
      </c>
      <c r="B67">
        <f>DEGREES(ATAN(-SIN(RADIANS(('R1'!I67)))/(COS(RADIANS(Sheet1!A67))*COS(RADIANS('R1'!I67)))))</f>
        <v>-37.681815805789164</v>
      </c>
      <c r="C67">
        <f>AVERAGE('R1'!J67,'R2'!J67,'R3'!J67)</f>
        <v>1.1766666666666665</v>
      </c>
      <c r="D67">
        <f>AVERAGE('R1'!K67,'R2'!K67,'R3'!K67)</f>
        <v>20.922910916666666</v>
      </c>
      <c r="E67">
        <f>AVERAGE('R1'!L67,'R2'!L67,'R3'!L67)</f>
        <v>-1.8396340199482364</v>
      </c>
      <c r="F67">
        <f>AVERAGE('R1'!M67,'R2'!M67,'R3'!M67)</f>
        <v>-2.0768294453463407</v>
      </c>
      <c r="G67">
        <f>AVERAGE('R1'!N67,'R2'!N67,'R3'!N67)</f>
        <v>-1.3325683793543579</v>
      </c>
      <c r="H67">
        <f>AVERAGE('R1'!O67,'R2'!O67,'R3'!O67)</f>
        <v>-1.1940548761302086</v>
      </c>
      <c r="I67">
        <f t="shared" ref="I67:I130" si="5">C67*D67*0.003/(1.8*10^-5)</f>
        <v>4103.2153075462957</v>
      </c>
      <c r="K67">
        <f>_xlfn.STDEV.S('R1'!L67,'R2'!L67,'R3'!L67)</f>
        <v>1.7819085093705993E-2</v>
      </c>
      <c r="L67">
        <f>_xlfn.STDEV.S('R1'!M67,'R2'!M67,'R3'!M67)</f>
        <v>1.6608889231175924E-2</v>
      </c>
      <c r="M67">
        <f>_xlfn.STDEV.S('R1'!N67,'R2'!N67,'R3'!N67)</f>
        <v>2.3512531898030351E-2</v>
      </c>
      <c r="N67">
        <f>_xlfn.STDEV.S('R1'!O67,'R2'!O67,'R3'!O67)</f>
        <v>1.0941666005483505E-2</v>
      </c>
    </row>
    <row r="68" spans="1:14" x14ac:dyDescent="0.25">
      <c r="A68">
        <f>-'R1'!H68</f>
        <v>36</v>
      </c>
      <c r="B68">
        <f>DEGREES(ATAN(-SIN(RADIANS(('R1'!I68)))/(COS(RADIANS(Sheet1!A68))*COS(RADIANS('R1'!I68)))))</f>
        <v>-41.925613925819086</v>
      </c>
      <c r="C68">
        <f>AVERAGE('R1'!J68,'R2'!J68,'R3'!J68)</f>
        <v>1.1766666666666665</v>
      </c>
      <c r="D68">
        <f>AVERAGE('R1'!K68,'R2'!K68,'R3'!K68)</f>
        <v>20.740890583333336</v>
      </c>
      <c r="E68">
        <f>AVERAGE('R1'!L68,'R2'!L68,'R3'!L68)</f>
        <v>-2.0559359489041378</v>
      </c>
      <c r="F68">
        <f>AVERAGE('R1'!M68,'R2'!M68,'R3'!M68)</f>
        <v>-2.2028483061842241</v>
      </c>
      <c r="G68">
        <f>AVERAGE('R1'!N68,'R2'!N68,'R3'!N68)</f>
        <v>-1.5550501651037951</v>
      </c>
      <c r="H68">
        <f>AVERAGE('R1'!O68,'R2'!O68,'R3'!O68)</f>
        <v>-1.3677550408758885</v>
      </c>
      <c r="I68">
        <f t="shared" si="5"/>
        <v>4067.5190977314819</v>
      </c>
      <c r="K68">
        <f>_xlfn.STDEV.S('R1'!L68,'R2'!L68,'R3'!L68)</f>
        <v>1.4753757148031281E-2</v>
      </c>
      <c r="L68">
        <f>_xlfn.STDEV.S('R1'!M68,'R2'!M68,'R3'!M68)</f>
        <v>1.0904377722251429E-2</v>
      </c>
      <c r="M68">
        <f>_xlfn.STDEV.S('R1'!N68,'R2'!N68,'R3'!N68)</f>
        <v>1.975959705444897E-2</v>
      </c>
      <c r="N68">
        <f>_xlfn.STDEV.S('R1'!O68,'R2'!O68,'R3'!O68)</f>
        <v>9.2790730459107237E-3</v>
      </c>
    </row>
    <row r="69" spans="1:14" x14ac:dyDescent="0.25">
      <c r="A69">
        <f>-'R1'!H69</f>
        <v>36</v>
      </c>
      <c r="B69">
        <f>DEGREES(ATAN(-SIN(RADIANS(('R1'!I69)))/(COS(RADIANS(Sheet1!A69))*COS(RADIANS('R1'!I69)))))</f>
        <v>-46.045688589723383</v>
      </c>
      <c r="C69">
        <f>AVERAGE('R1'!J69,'R2'!J69,'R3'!J69)</f>
        <v>1.1766666666666665</v>
      </c>
      <c r="D69">
        <f>AVERAGE('R1'!K69,'R2'!K69,'R3'!K69)</f>
        <v>20.552450666666662</v>
      </c>
      <c r="E69">
        <f>AVERAGE('R1'!L69,'R2'!L69,'R3'!L69)</f>
        <v>-2.3031211577960429</v>
      </c>
      <c r="F69">
        <f>AVERAGE('R1'!M69,'R2'!M69,'R3'!M69)</f>
        <v>-2.3786918284717369</v>
      </c>
      <c r="G69">
        <f>AVERAGE('R1'!N69,'R2'!N69,'R3'!N69)</f>
        <v>-1.8449600420892371</v>
      </c>
      <c r="H69">
        <f>AVERAGE('R1'!O69,'R2'!O69,'R3'!O69)</f>
        <v>-1.5807345147306506</v>
      </c>
      <c r="I69">
        <f t="shared" si="5"/>
        <v>4030.5639362962943</v>
      </c>
      <c r="K69">
        <f>_xlfn.STDEV.S('R1'!L69,'R2'!L69,'R3'!L69)</f>
        <v>2.0588712966934375E-2</v>
      </c>
      <c r="L69">
        <f>_xlfn.STDEV.S('R1'!M69,'R2'!M69,'R3'!M69)</f>
        <v>2.1815705594910743E-2</v>
      </c>
      <c r="M69">
        <f>_xlfn.STDEV.S('R1'!N69,'R2'!N69,'R3'!N69)</f>
        <v>2.9128398189609158E-2</v>
      </c>
      <c r="N69">
        <f>_xlfn.STDEV.S('R1'!O69,'R2'!O69,'R3'!O69)</f>
        <v>1.4144891036357111E-2</v>
      </c>
    </row>
    <row r="70" spans="1:14" x14ac:dyDescent="0.25">
      <c r="A70">
        <f>-'R1'!H70</f>
        <v>36</v>
      </c>
      <c r="B70">
        <f>DEGREES(ATAN(-SIN(RADIANS(('R1'!I70)))/(COS(RADIANS(Sheet1!A70))*COS(RADIANS('R1'!I70)))))</f>
        <v>-50.045016920059574</v>
      </c>
      <c r="C70">
        <f>AVERAGE('R1'!J70,'R2'!J70,'R3'!J70)</f>
        <v>1.1766666666666665</v>
      </c>
      <c r="D70">
        <f>AVERAGE('R1'!K70,'R2'!K70,'R3'!K70)</f>
        <v>20.389264666666666</v>
      </c>
      <c r="E70">
        <f>AVERAGE('R1'!L70,'R2'!L70,'R3'!L70)</f>
        <v>-2.6004961296744105</v>
      </c>
      <c r="F70">
        <f>AVERAGE('R1'!M70,'R2'!M70,'R3'!M70)</f>
        <v>-2.5845351624561821</v>
      </c>
      <c r="G70">
        <f>AVERAGE('R1'!N70,'R2'!N70,'R3'!N70)</f>
        <v>-2.2034835379963069</v>
      </c>
      <c r="H70">
        <f>AVERAGE('R1'!O70,'R2'!O70,'R3'!O70)</f>
        <v>-1.8402222613726824</v>
      </c>
      <c r="I70">
        <f t="shared" si="5"/>
        <v>3998.5613485185181</v>
      </c>
      <c r="K70">
        <f>_xlfn.STDEV.S('R1'!L70,'R2'!L70,'R3'!L70)</f>
        <v>2.5902258535344745E-2</v>
      </c>
      <c r="L70">
        <f>_xlfn.STDEV.S('R1'!M70,'R2'!M70,'R3'!M70)</f>
        <v>2.5825579854456108E-2</v>
      </c>
      <c r="M70">
        <f>_xlfn.STDEV.S('R1'!N70,'R2'!N70,'R3'!N70)</f>
        <v>4.0539850887671904E-2</v>
      </c>
      <c r="N70">
        <f>_xlfn.STDEV.S('R1'!O70,'R2'!O70,'R3'!O70)</f>
        <v>1.7699189465831218E-2</v>
      </c>
    </row>
    <row r="71" spans="1:14" x14ac:dyDescent="0.25">
      <c r="A71">
        <f>-'R1'!H71</f>
        <v>32</v>
      </c>
      <c r="B71">
        <f>DEGREES(ATAN(-SIN(RADIANS(('R1'!I71)))/(COS(RADIANS(Sheet1!A71))*COS(RADIANS('R1'!I71)))))</f>
        <v>48.711059881009497</v>
      </c>
      <c r="C71">
        <f>AVERAGE('R1'!J71,'R2'!J71,'R3'!J71)</f>
        <v>1.1766666666666665</v>
      </c>
      <c r="D71">
        <f>AVERAGE('R1'!K71,'R2'!K71,'R3'!K71)</f>
        <v>20.230607583333335</v>
      </c>
      <c r="E71">
        <f>AVERAGE('R1'!L71,'R2'!L71,'R3'!L71)</f>
        <v>1.911087758890841</v>
      </c>
      <c r="F71">
        <f>AVERAGE('R1'!M71,'R2'!M71,'R3'!M71)</f>
        <v>-1.8839691408771462</v>
      </c>
      <c r="G71">
        <f>AVERAGE('R1'!N71,'R2'!N71,'R3'!N71)</f>
        <v>-1.347430494313602</v>
      </c>
      <c r="H71">
        <f>AVERAGE('R1'!O71,'R2'!O71,'R3'!O71)</f>
        <v>-1.3353798107801129</v>
      </c>
      <c r="I71">
        <f t="shared" si="5"/>
        <v>3967.4469316203704</v>
      </c>
      <c r="K71">
        <f>_xlfn.STDEV.S('R1'!L71,'R2'!L71,'R3'!L71)</f>
        <v>4.9131669119092591E-3</v>
      </c>
      <c r="L71">
        <f>_xlfn.STDEV.S('R1'!M71,'R2'!M71,'R3'!M71)</f>
        <v>9.7222377215721162E-3</v>
      </c>
      <c r="M71">
        <f>_xlfn.STDEV.S('R1'!N71,'R2'!N71,'R3'!N71)</f>
        <v>1.1864513895974984E-2</v>
      </c>
      <c r="N71">
        <f>_xlfn.STDEV.S('R1'!O71,'R2'!O71,'R3'!O71)</f>
        <v>2.8150485647539213E-3</v>
      </c>
    </row>
    <row r="72" spans="1:14" x14ac:dyDescent="0.25">
      <c r="A72">
        <f>-'R1'!H72</f>
        <v>32</v>
      </c>
      <c r="B72">
        <f>DEGREES(ATAN(-SIN(RADIANS(('R1'!I72)))/(COS(RADIANS(Sheet1!A72))*COS(RADIANS('R1'!I72)))))</f>
        <v>44.69611169166604</v>
      </c>
      <c r="C72">
        <f>AVERAGE('R1'!J72,'R2'!J72,'R3'!J72)</f>
        <v>1.1766666666666665</v>
      </c>
      <c r="D72">
        <f>AVERAGE('R1'!K72,'R2'!K72,'R3'!K72)</f>
        <v>20.111430333333331</v>
      </c>
      <c r="E72">
        <f>AVERAGE('R1'!L72,'R2'!L72,'R3'!L72)</f>
        <v>1.7797173264745469</v>
      </c>
      <c r="F72">
        <f>AVERAGE('R1'!M72,'R2'!M72,'R3'!M72)</f>
        <v>-1.8039216580921262</v>
      </c>
      <c r="G72">
        <f>AVERAGE('R1'!N72,'R2'!N72,'R3'!N72)</f>
        <v>-1.1773589024605022</v>
      </c>
      <c r="H72">
        <f>AVERAGE('R1'!O72,'R2'!O72,'R3'!O72)</f>
        <v>-1.1902212460389359</v>
      </c>
      <c r="I72">
        <f t="shared" si="5"/>
        <v>3944.0749487037028</v>
      </c>
      <c r="K72">
        <f>_xlfn.STDEV.S('R1'!L72,'R2'!L72,'R3'!L72)</f>
        <v>4.141077594034581E-3</v>
      </c>
      <c r="L72">
        <f>_xlfn.STDEV.S('R1'!M72,'R2'!M72,'R3'!M72)</f>
        <v>7.498480551238077E-3</v>
      </c>
      <c r="M72">
        <f>_xlfn.STDEV.S('R1'!N72,'R2'!N72,'R3'!N72)</f>
        <v>9.4975816601384766E-3</v>
      </c>
      <c r="N72">
        <f>_xlfn.STDEV.S('R1'!O72,'R2'!O72,'R3'!O72)</f>
        <v>1.2874010523008157E-3</v>
      </c>
    </row>
    <row r="73" spans="1:14" x14ac:dyDescent="0.25">
      <c r="A73">
        <f>-'R1'!H73</f>
        <v>32</v>
      </c>
      <c r="B73">
        <f>DEGREES(ATAN(-SIN(RADIANS(('R1'!I73)))/(COS(RADIANS(Sheet1!A73))*COS(RADIANS('R1'!I73)))))</f>
        <v>40.587432696870117</v>
      </c>
      <c r="C73">
        <f>AVERAGE('R1'!J73,'R2'!J73,'R3'!J73)</f>
        <v>1.1766666666666665</v>
      </c>
      <c r="D73">
        <f>AVERAGE('R1'!K73,'R2'!K73,'R3'!K73)</f>
        <v>20.262059833333332</v>
      </c>
      <c r="E73">
        <f>AVERAGE('R1'!L73,'R2'!L73,'R3'!L73)</f>
        <v>1.6614946154698116</v>
      </c>
      <c r="F73">
        <f>AVERAGE('R1'!M73,'R2'!M73,'R3'!M73)</f>
        <v>-1.73572999775398</v>
      </c>
      <c r="G73">
        <f>AVERAGE('R1'!N73,'R2'!N73,'R3'!N73)</f>
        <v>-1.0377041346222979</v>
      </c>
      <c r="H73">
        <f>AVERAGE('R1'!O73,'R2'!O73,'R3'!O73)</f>
        <v>-1.0657530362939713</v>
      </c>
      <c r="I73">
        <f t="shared" si="5"/>
        <v>3973.615067314814</v>
      </c>
      <c r="K73">
        <f>_xlfn.STDEV.S('R1'!L73,'R2'!L73,'R3'!L73)</f>
        <v>5.5146337527951384E-3</v>
      </c>
      <c r="L73">
        <f>_xlfn.STDEV.S('R1'!M73,'R2'!M73,'R3'!M73)</f>
        <v>8.1525571580850636E-3</v>
      </c>
      <c r="M73">
        <f>_xlfn.STDEV.S('R1'!N73,'R2'!N73,'R3'!N73)</f>
        <v>1.0289024316874789E-2</v>
      </c>
      <c r="N73">
        <f>_xlfn.STDEV.S('R1'!O73,'R2'!O73,'R3'!O73)</f>
        <v>3.1979415561959362E-3</v>
      </c>
    </row>
    <row r="74" spans="1:14" x14ac:dyDescent="0.25">
      <c r="A74">
        <f>-'R1'!H74</f>
        <v>32</v>
      </c>
      <c r="B74">
        <f>DEGREES(ATAN(-SIN(RADIANS(('R1'!I74)))/(COS(RADIANS(Sheet1!A74))*COS(RADIANS('R1'!I74)))))</f>
        <v>36.383993076218225</v>
      </c>
      <c r="C74">
        <f>AVERAGE('R1'!J74,'R2'!J74,'R3'!J74)</f>
        <v>1.1766666666666665</v>
      </c>
      <c r="D74">
        <f>AVERAGE('R1'!K74,'R2'!K74,'R3'!K74)</f>
        <v>20.52490225</v>
      </c>
      <c r="E74">
        <f>AVERAGE('R1'!L74,'R2'!L74,'R3'!L74)</f>
        <v>1.5578635190888008</v>
      </c>
      <c r="F74">
        <f>AVERAGE('R1'!M74,'R2'!M74,'R3'!M74)</f>
        <v>-1.7176880769778069</v>
      </c>
      <c r="G74">
        <f>AVERAGE('R1'!N74,'R2'!N74,'R3'!N74)</f>
        <v>-0.95101268199483824</v>
      </c>
      <c r="H74">
        <f>AVERAGE('R1'!O74,'R2'!O74,'R3'!O74)</f>
        <v>-0.95890032735793118</v>
      </c>
      <c r="I74">
        <f t="shared" si="5"/>
        <v>4025.1613856944441</v>
      </c>
      <c r="K74">
        <f>_xlfn.STDEV.S('R1'!L74,'R2'!L74,'R3'!L74)</f>
        <v>2.4028625137329377E-3</v>
      </c>
      <c r="L74">
        <f>_xlfn.STDEV.S('R1'!M74,'R2'!M74,'R3'!M74)</f>
        <v>1.28811976833197E-3</v>
      </c>
      <c r="M74">
        <f>_xlfn.STDEV.S('R1'!N74,'R2'!N74,'R3'!N74)</f>
        <v>1.2013234325354966E-3</v>
      </c>
      <c r="N74">
        <f>_xlfn.STDEV.S('R1'!O74,'R2'!O74,'R3'!O74)</f>
        <v>9.635819168088577E-4</v>
      </c>
    </row>
    <row r="75" spans="1:14" x14ac:dyDescent="0.25">
      <c r="A75">
        <f>-'R1'!H75</f>
        <v>32</v>
      </c>
      <c r="B75">
        <f>DEGREES(ATAN(-SIN(RADIANS(('R1'!I75)))/(COS(RADIANS(Sheet1!A75))*COS(RADIANS('R1'!I75)))))</f>
        <v>32.086900972819144</v>
      </c>
      <c r="C75">
        <f>AVERAGE('R1'!J75,'R2'!J75,'R3'!J75)</f>
        <v>1.1766666666666665</v>
      </c>
      <c r="D75">
        <f>AVERAGE('R1'!K75,'R2'!K75,'R3'!K75)</f>
        <v>20.59121025</v>
      </c>
      <c r="E75">
        <f>AVERAGE('R1'!L75,'R2'!L75,'R3'!L75)</f>
        <v>1.4523260578063741</v>
      </c>
      <c r="F75">
        <f>AVERAGE('R1'!M75,'R2'!M75,'R3'!M75)</f>
        <v>-1.7399153980560869</v>
      </c>
      <c r="G75">
        <f>AVERAGE('R1'!N75,'R2'!N75,'R3'!N75)</f>
        <v>-0.89904244943303413</v>
      </c>
      <c r="H75">
        <f>AVERAGE('R1'!O75,'R2'!O75,'R3'!O75)</f>
        <v>-0.85911281956916863</v>
      </c>
      <c r="I75">
        <f t="shared" si="5"/>
        <v>4038.1651212499992</v>
      </c>
      <c r="K75">
        <f>_xlfn.STDEV.S('R1'!L75,'R2'!L75,'R3'!L75)</f>
        <v>4.1792250606297321E-3</v>
      </c>
      <c r="L75">
        <f>_xlfn.STDEV.S('R1'!M75,'R2'!M75,'R3'!M75)</f>
        <v>1.4877331490840099E-3</v>
      </c>
      <c r="M75">
        <f>_xlfn.STDEV.S('R1'!N75,'R2'!N75,'R3'!N75)</f>
        <v>5.3859057510664979E-3</v>
      </c>
      <c r="N75">
        <f>_xlfn.STDEV.S('R1'!O75,'R2'!O75,'R3'!O75)</f>
        <v>1.6919027039741959E-3</v>
      </c>
    </row>
    <row r="76" spans="1:14" x14ac:dyDescent="0.25">
      <c r="A76">
        <f>-'R1'!H76</f>
        <v>32</v>
      </c>
      <c r="B76">
        <f>DEGREES(ATAN(-SIN(RADIANS(('R1'!I76)))/(COS(RADIANS(Sheet1!A76))*COS(RADIANS('R1'!I76)))))</f>
        <v>27.699654729206667</v>
      </c>
      <c r="C76">
        <f>AVERAGE('R1'!J76,'R2'!J76,'R3'!J76)</f>
        <v>1.1766666666666665</v>
      </c>
      <c r="D76">
        <f>AVERAGE('R1'!K76,'R2'!K76,'R3'!K76)</f>
        <v>20.393182333333332</v>
      </c>
      <c r="E76">
        <f>AVERAGE('R1'!L76,'R2'!L76,'R3'!L76)</f>
        <v>1.3299738419977014</v>
      </c>
      <c r="F76">
        <f>AVERAGE('R1'!M76,'R2'!M76,'R3'!M76)</f>
        <v>-1.7883599448703638</v>
      </c>
      <c r="G76">
        <f>AVERAGE('R1'!N76,'R2'!N76,'R3'!N76)</f>
        <v>-0.86935177547430342</v>
      </c>
      <c r="H76">
        <f>AVERAGE('R1'!O76,'R2'!O76,'R3'!O76)</f>
        <v>-0.76174907593083274</v>
      </c>
      <c r="I76">
        <f t="shared" si="5"/>
        <v>3999.3296464814807</v>
      </c>
      <c r="K76">
        <f>_xlfn.STDEV.S('R1'!L76,'R2'!L76,'R3'!L76)</f>
        <v>2.1799364145729258E-3</v>
      </c>
      <c r="L76">
        <f>_xlfn.STDEV.S('R1'!M76,'R2'!M76,'R3'!M76)</f>
        <v>3.5118445099475955E-3</v>
      </c>
      <c r="M76">
        <f>_xlfn.STDEV.S('R1'!N76,'R2'!N76,'R3'!N76)</f>
        <v>3.0895934863175178E-3</v>
      </c>
      <c r="N76">
        <f>_xlfn.STDEV.S('R1'!O76,'R2'!O76,'R3'!O76)</f>
        <v>3.3358308018070432E-3</v>
      </c>
    </row>
    <row r="77" spans="1:14" x14ac:dyDescent="0.25">
      <c r="A77">
        <f>-'R1'!H77</f>
        <v>32</v>
      </c>
      <c r="B77">
        <f>DEGREES(ATAN(-SIN(RADIANS(('R1'!I77)))/(COS(RADIANS(Sheet1!A77))*COS(RADIANS('R1'!I77)))))</f>
        <v>23.228324501561271</v>
      </c>
      <c r="C77">
        <f>AVERAGE('R1'!J77,'R2'!J77,'R3'!J77)</f>
        <v>1.1766666666666665</v>
      </c>
      <c r="D77">
        <f>AVERAGE('R1'!K77,'R2'!K77,'R3'!K77)</f>
        <v>20.35587658333333</v>
      </c>
      <c r="E77">
        <f>AVERAGE('R1'!L77,'R2'!L77,'R3'!L77)</f>
        <v>1.174265185378115</v>
      </c>
      <c r="F77">
        <f>AVERAGE('R1'!M77,'R2'!M77,'R3'!M77)</f>
        <v>-1.8487510875090518</v>
      </c>
      <c r="G77">
        <f>AVERAGE('R1'!N77,'R2'!N77,'R3'!N77)</f>
        <v>-0.84088400339641778</v>
      </c>
      <c r="H77">
        <f>AVERAGE('R1'!O77,'R2'!O77,'R3'!O77)</f>
        <v>-0.66212852182773252</v>
      </c>
      <c r="I77">
        <f t="shared" si="5"/>
        <v>3992.0135743981464</v>
      </c>
      <c r="K77">
        <f>_xlfn.STDEV.S('R1'!L77,'R2'!L77,'R3'!L77)</f>
        <v>3.5170323720527244E-3</v>
      </c>
      <c r="L77">
        <f>_xlfn.STDEV.S('R1'!M77,'R2'!M77,'R3'!M77)</f>
        <v>1.9946766453684726E-3</v>
      </c>
      <c r="M77">
        <f>_xlfn.STDEV.S('R1'!N77,'R2'!N77,'R3'!N77)</f>
        <v>4.2415961738488488E-3</v>
      </c>
      <c r="N77">
        <f>_xlfn.STDEV.S('R1'!O77,'R2'!O77,'R3'!O77)</f>
        <v>3.6712012623781832E-3</v>
      </c>
    </row>
    <row r="78" spans="1:14" x14ac:dyDescent="0.25">
      <c r="A78">
        <f>-'R1'!H78</f>
        <v>32</v>
      </c>
      <c r="B78">
        <f>DEGREES(ATAN(-SIN(RADIANS(('R1'!I78)))/(COS(RADIANS(Sheet1!A78))*COS(RADIANS('R1'!I78)))))</f>
        <v>18.681627509923402</v>
      </c>
      <c r="C78">
        <f>AVERAGE('R1'!J78,'R2'!J78,'R3'!J78)</f>
        <v>1.1766666666666665</v>
      </c>
      <c r="D78">
        <f>AVERAGE('R1'!K78,'R2'!K78,'R3'!K78)</f>
        <v>20.668429500000002</v>
      </c>
      <c r="E78">
        <f>AVERAGE('R1'!L78,'R2'!L78,'R3'!L78)</f>
        <v>0.99642349838861188</v>
      </c>
      <c r="F78">
        <f>AVERAGE('R1'!M78,'R2'!M78,'R3'!M78)</f>
        <v>-1.9318769066127983</v>
      </c>
      <c r="G78">
        <f>AVERAGE('R1'!N78,'R2'!N78,'R3'!N78)</f>
        <v>-0.8257324262042095</v>
      </c>
      <c r="H78">
        <f>AVERAGE('R1'!O78,'R2'!O78,'R3'!O78)</f>
        <v>-0.58156997929117904</v>
      </c>
      <c r="I78">
        <f t="shared" si="5"/>
        <v>4053.3086741666671</v>
      </c>
      <c r="K78">
        <f>_xlfn.STDEV.S('R1'!L78,'R2'!L78,'R3'!L78)</f>
        <v>8.319257158290733E-3</v>
      </c>
      <c r="L78">
        <f>_xlfn.STDEV.S('R1'!M78,'R2'!M78,'R3'!M78)</f>
        <v>9.7449870584059902E-3</v>
      </c>
      <c r="M78">
        <f>_xlfn.STDEV.S('R1'!N78,'R2'!N78,'R3'!N78)</f>
        <v>9.8645052074695719E-3</v>
      </c>
      <c r="N78">
        <f>_xlfn.STDEV.S('R1'!O78,'R2'!O78,'R3'!O78)</f>
        <v>5.3372364420697423E-3</v>
      </c>
    </row>
    <row r="79" spans="1:14" x14ac:dyDescent="0.25">
      <c r="A79">
        <f>-'R1'!H79</f>
        <v>32</v>
      </c>
      <c r="B79">
        <f>DEGREES(ATAN(-SIN(RADIANS(('R1'!I79)))/(COS(RADIANS(Sheet1!A79))*COS(RADIANS('R1'!I79)))))</f>
        <v>14.070864136056453</v>
      </c>
      <c r="C79">
        <f>AVERAGE('R1'!J79,'R2'!J79,'R3'!J79)</f>
        <v>1.1766666666666665</v>
      </c>
      <c r="D79">
        <f>AVERAGE('R1'!K79,'R2'!K79,'R3'!K79)</f>
        <v>20.913195583333334</v>
      </c>
      <c r="E79">
        <f>AVERAGE('R1'!L79,'R2'!L79,'R3'!L79)</f>
        <v>0.77840248260936518</v>
      </c>
      <c r="F79">
        <f>AVERAGE('R1'!M79,'R2'!M79,'R3'!M79)</f>
        <v>-2.0444034957142971</v>
      </c>
      <c r="G79">
        <f>AVERAGE('R1'!N79,'R2'!N79,'R3'!N79)</f>
        <v>-0.82678456385501076</v>
      </c>
      <c r="H79">
        <f>AVERAGE('R1'!O79,'R2'!O79,'R3'!O79)</f>
        <v>-0.50014448155225022</v>
      </c>
      <c r="I79">
        <f t="shared" si="5"/>
        <v>4101.3100227314808</v>
      </c>
      <c r="K79">
        <f>_xlfn.STDEV.S('R1'!L79,'R2'!L79,'R3'!L79)</f>
        <v>3.0920048724059337E-3</v>
      </c>
      <c r="L79">
        <f>_xlfn.STDEV.S('R1'!M79,'R2'!M79,'R3'!M79)</f>
        <v>2.2067322587273321E-2</v>
      </c>
      <c r="M79">
        <f>_xlfn.STDEV.S('R1'!N79,'R2'!N79,'R3'!N79)</f>
        <v>1.8359536205551499E-2</v>
      </c>
      <c r="N79">
        <f>_xlfn.STDEV.S('R1'!O79,'R2'!O79,'R3'!O79)</f>
        <v>5.5865787386180704E-3</v>
      </c>
    </row>
    <row r="80" spans="1:14" x14ac:dyDescent="0.25">
      <c r="A80">
        <f>-'R1'!H80</f>
        <v>32</v>
      </c>
      <c r="B80">
        <f>DEGREES(ATAN(-SIN(RADIANS(('R1'!I80)))/(COS(RADIANS(Sheet1!A80))*COS(RADIANS('R1'!I80)))))</f>
        <v>9.4096915772201388</v>
      </c>
      <c r="C80">
        <f>AVERAGE('R1'!J80,'R2'!J80,'R3'!J80)</f>
        <v>1.1766666666666665</v>
      </c>
      <c r="D80">
        <f>AVERAGE('R1'!K80,'R2'!K80,'R3'!K80)</f>
        <v>20.893799166666668</v>
      </c>
      <c r="E80">
        <f>AVERAGE('R1'!L80,'R2'!L80,'R3'!L80)</f>
        <v>0.52683423811988284</v>
      </c>
      <c r="F80">
        <f>AVERAGE('R1'!M80,'R2'!M80,'R3'!M80)</f>
        <v>-2.1850055267720276</v>
      </c>
      <c r="G80">
        <f>AVERAGE('R1'!N80,'R2'!N80,'R3'!N80)</f>
        <v>-0.84842607256436342</v>
      </c>
      <c r="H80">
        <f>AVERAGE('R1'!O80,'R2'!O80,'R3'!O80)</f>
        <v>-0.43026169298528932</v>
      </c>
      <c r="I80">
        <f t="shared" si="5"/>
        <v>4097.5061699074067</v>
      </c>
      <c r="K80">
        <f>_xlfn.STDEV.S('R1'!L80,'R2'!L80,'R3'!L80)</f>
        <v>6.9655765329870159E-3</v>
      </c>
      <c r="L80">
        <f>_xlfn.STDEV.S('R1'!M80,'R2'!M80,'R3'!M80)</f>
        <v>9.4335700809388429E-3</v>
      </c>
      <c r="M80">
        <f>_xlfn.STDEV.S('R1'!N80,'R2'!N80,'R3'!N80)</f>
        <v>5.3125638785993471E-3</v>
      </c>
      <c r="N80">
        <f>_xlfn.STDEV.S('R1'!O80,'R2'!O80,'R3'!O80)</f>
        <v>3.8261742589544615E-3</v>
      </c>
    </row>
    <row r="81" spans="1:14" x14ac:dyDescent="0.25">
      <c r="A81">
        <f>-'R1'!H81</f>
        <v>32</v>
      </c>
      <c r="B81">
        <f>DEGREES(ATAN(-SIN(RADIANS(('R1'!I81)))/(COS(RADIANS(Sheet1!A81))*COS(RADIANS('R1'!I81)))))</f>
        <v>4.7137278648813155</v>
      </c>
      <c r="C81">
        <f>AVERAGE('R1'!J81,'R2'!J81,'R3'!J81)</f>
        <v>1.1766666666666665</v>
      </c>
      <c r="D81">
        <f>AVERAGE('R1'!K81,'R2'!K81,'R3'!K81)</f>
        <v>21.123223249999999</v>
      </c>
      <c r="E81">
        <f>AVERAGE('R1'!L81,'R2'!L81,'R3'!L81)</f>
        <v>0.23066002063527721</v>
      </c>
      <c r="F81">
        <f>AVERAGE('R1'!M81,'R2'!M81,'R3'!M81)</f>
        <v>-2.3562216276962946</v>
      </c>
      <c r="G81">
        <f>AVERAGE('R1'!N81,'R2'!N81,'R3'!N81)</f>
        <v>-0.89503153934782276</v>
      </c>
      <c r="H81">
        <f>AVERAGE('R1'!O81,'R2'!O81,'R3'!O81)</f>
        <v>-0.35911265609207987</v>
      </c>
      <c r="I81">
        <f t="shared" si="5"/>
        <v>4142.4987818055542</v>
      </c>
      <c r="K81">
        <f>_xlfn.STDEV.S('R1'!L81,'R2'!L81,'R3'!L81)</f>
        <v>3.7540574533249074E-3</v>
      </c>
      <c r="L81">
        <f>_xlfn.STDEV.S('R1'!M81,'R2'!M81,'R3'!M81)</f>
        <v>2.2671481293394264E-2</v>
      </c>
      <c r="M81">
        <f>_xlfn.STDEV.S('R1'!N81,'R2'!N81,'R3'!N81)</f>
        <v>1.6484573506087622E-2</v>
      </c>
      <c r="N81">
        <f>_xlfn.STDEV.S('R1'!O81,'R2'!O81,'R3'!O81)</f>
        <v>6.5495380283181973E-3</v>
      </c>
    </row>
    <row r="82" spans="1:14" x14ac:dyDescent="0.25">
      <c r="A82">
        <f>-'R1'!H82</f>
        <v>32</v>
      </c>
      <c r="B82">
        <f>DEGREES(ATAN(-SIN(RADIANS(('R1'!I82)))/(COS(RADIANS(Sheet1!A82))*COS(RADIANS('R1'!I82)))))</f>
        <v>0</v>
      </c>
      <c r="C82">
        <f>AVERAGE('R1'!J82,'R2'!J82,'R3'!J82)</f>
        <v>1.1708333333333332</v>
      </c>
      <c r="D82">
        <f>AVERAGE('R1'!K82,'R2'!K82,'R3'!K82)</f>
        <v>21.18958566666667</v>
      </c>
      <c r="E82">
        <f>AVERAGE('R1'!L82,'R2'!L82,'R3'!L82)</f>
        <v>-0.12840384673748753</v>
      </c>
      <c r="F82">
        <f>AVERAGE('R1'!M82,'R2'!M82,'R3'!M82)</f>
        <v>-2.4144844948703308</v>
      </c>
      <c r="G82">
        <f>AVERAGE('R1'!N82,'R2'!N82,'R3'!N82)</f>
        <v>-0.90719431778932569</v>
      </c>
      <c r="H82">
        <f>AVERAGE('R1'!O82,'R2'!O82,'R3'!O82)</f>
        <v>-0.33634185371103831</v>
      </c>
      <c r="I82">
        <f t="shared" si="5"/>
        <v>4134.9122030092585</v>
      </c>
      <c r="K82">
        <f>_xlfn.STDEV.S('R1'!L82,'R2'!L82,'R3'!L82)</f>
        <v>3.8741910251627353E-4</v>
      </c>
      <c r="L82">
        <f>_xlfn.STDEV.S('R1'!M82,'R2'!M82,'R3'!M82)</f>
        <v>1.3169439182798739E-2</v>
      </c>
      <c r="M82">
        <f>_xlfn.STDEV.S('R1'!N82,'R2'!N82,'R3'!N82)</f>
        <v>9.9415377307467828E-3</v>
      </c>
      <c r="N82">
        <f>_xlfn.STDEV.S('R1'!O82,'R2'!O82,'R3'!O82)</f>
        <v>4.7002052855629325E-3</v>
      </c>
    </row>
    <row r="83" spans="1:14" x14ac:dyDescent="0.25">
      <c r="A83">
        <f>-'R1'!H83</f>
        <v>32</v>
      </c>
      <c r="B83">
        <f>DEGREES(ATAN(-SIN(RADIANS(('R1'!I83)))/(COS(RADIANS(Sheet1!A83))*COS(RADIANS('R1'!I83)))))</f>
        <v>-4.7137278648813155</v>
      </c>
      <c r="C83">
        <f>AVERAGE('R1'!J83,'R2'!J83,'R3'!J83)</f>
        <v>1.1766666666666665</v>
      </c>
      <c r="D83">
        <f>AVERAGE('R1'!K83,'R2'!K83,'R3'!K83)</f>
        <v>20.849662166666665</v>
      </c>
      <c r="E83">
        <f>AVERAGE('R1'!L83,'R2'!L83,'R3'!L83)</f>
        <v>-0.43059415310535049</v>
      </c>
      <c r="F83">
        <f>AVERAGE('R1'!M83,'R2'!M83,'R3'!M83)</f>
        <v>-2.2070573877531112</v>
      </c>
      <c r="G83">
        <f>AVERAGE('R1'!N83,'R2'!N83,'R3'!N83)</f>
        <v>-0.82695364288168294</v>
      </c>
      <c r="H83">
        <f>AVERAGE('R1'!O83,'R2'!O83,'R3'!O83)</f>
        <v>-0.3898790754782005</v>
      </c>
      <c r="I83">
        <f t="shared" si="5"/>
        <v>4088.8504137962955</v>
      </c>
      <c r="K83">
        <f>_xlfn.STDEV.S('R1'!L83,'R2'!L83,'R3'!L83)</f>
        <v>5.3382713329058872E-3</v>
      </c>
      <c r="L83">
        <f>_xlfn.STDEV.S('R1'!M83,'R2'!M83,'R3'!M83)</f>
        <v>1.5261118208086111E-2</v>
      </c>
      <c r="M83">
        <f>_xlfn.STDEV.S('R1'!N83,'R2'!N83,'R3'!N83)</f>
        <v>1.6190902540030951E-2</v>
      </c>
      <c r="N83">
        <f>_xlfn.STDEV.S('R1'!O83,'R2'!O83,'R3'!O83)</f>
        <v>2.9490149955383516E-3</v>
      </c>
    </row>
    <row r="84" spans="1:14" x14ac:dyDescent="0.25">
      <c r="A84">
        <f>-'R1'!H84</f>
        <v>32</v>
      </c>
      <c r="B84">
        <f>DEGREES(ATAN(-SIN(RADIANS(('R1'!I84)))/(COS(RADIANS(Sheet1!A84))*COS(RADIANS('R1'!I84)))))</f>
        <v>-9.4096915772201388</v>
      </c>
      <c r="C84">
        <f>AVERAGE('R1'!J84,'R2'!J84,'R3'!J84)</f>
        <v>1.1766666666666665</v>
      </c>
      <c r="D84">
        <f>AVERAGE('R1'!K84,'R2'!K84,'R3'!K84)</f>
        <v>20.667059833333333</v>
      </c>
      <c r="E84">
        <f>AVERAGE('R1'!L84,'R2'!L84,'R3'!L84)</f>
        <v>-0.68841619693947076</v>
      </c>
      <c r="F84">
        <f>AVERAGE('R1'!M84,'R2'!M84,'R3'!M84)</f>
        <v>-2.0398084727063384</v>
      </c>
      <c r="G84">
        <f>AVERAGE('R1'!N84,'R2'!N84,'R3'!N84)</f>
        <v>-0.77653000952149975</v>
      </c>
      <c r="H84">
        <f>AVERAGE('R1'!O84,'R2'!O84,'R3'!O84)</f>
        <v>-0.45002361978544925</v>
      </c>
      <c r="I84">
        <f t="shared" si="5"/>
        <v>4053.0400673148142</v>
      </c>
      <c r="K84">
        <f>_xlfn.STDEV.S('R1'!L84,'R2'!L84,'R3'!L84)</f>
        <v>6.9942121781665142E-3</v>
      </c>
      <c r="L84">
        <f>_xlfn.STDEV.S('R1'!M84,'R2'!M84,'R3'!M84)</f>
        <v>2.0135332243395084E-2</v>
      </c>
      <c r="M84">
        <f>_xlfn.STDEV.S('R1'!N84,'R2'!N84,'R3'!N84)</f>
        <v>1.8483400270731268E-2</v>
      </c>
      <c r="N84">
        <f>_xlfn.STDEV.S('R1'!O84,'R2'!O84,'R3'!O84)</f>
        <v>6.8277725241373838E-3</v>
      </c>
    </row>
    <row r="85" spans="1:14" x14ac:dyDescent="0.25">
      <c r="A85">
        <f>-'R1'!H85</f>
        <v>32</v>
      </c>
      <c r="B85">
        <f>DEGREES(ATAN(-SIN(RADIANS(('R1'!I85)))/(COS(RADIANS(Sheet1!A85))*COS(RADIANS('R1'!I85)))))</f>
        <v>-14.070864136056453</v>
      </c>
      <c r="C85">
        <f>AVERAGE('R1'!J85,'R2'!J85,'R3'!J85)</f>
        <v>1.1758333333333333</v>
      </c>
      <c r="D85">
        <f>AVERAGE('R1'!K85,'R2'!K85,'R3'!K85)</f>
        <v>20.487817083333336</v>
      </c>
      <c r="E85">
        <f>AVERAGE('R1'!L85,'R2'!L85,'R3'!L85)</f>
        <v>-0.90104341386508968</v>
      </c>
      <c r="F85">
        <f>AVERAGE('R1'!M85,'R2'!M85,'R3'!M85)</f>
        <v>-1.9133161778169372</v>
      </c>
      <c r="G85">
        <f>AVERAGE('R1'!N85,'R2'!N85,'R3'!N85)</f>
        <v>-0.75276004475845182</v>
      </c>
      <c r="H85">
        <f>AVERAGE('R1'!O85,'R2'!O85,'R3'!O85)</f>
        <v>-0.51122938660577377</v>
      </c>
      <c r="I85">
        <f t="shared" si="5"/>
        <v>4015.0430423032408</v>
      </c>
      <c r="K85">
        <f>_xlfn.STDEV.S('R1'!L85,'R2'!L85,'R3'!L85)</f>
        <v>6.6117442294155605E-3</v>
      </c>
      <c r="L85">
        <f>_xlfn.STDEV.S('R1'!M85,'R2'!M85,'R3'!M85)</f>
        <v>8.8578351372663316E-3</v>
      </c>
      <c r="M85">
        <f>_xlfn.STDEV.S('R1'!N85,'R2'!N85,'R3'!N85)</f>
        <v>7.9016556164832226E-3</v>
      </c>
      <c r="N85">
        <f>_xlfn.STDEV.S('R1'!O85,'R2'!O85,'R3'!O85)</f>
        <v>2.2642805971965097E-3</v>
      </c>
    </row>
    <row r="86" spans="1:14" x14ac:dyDescent="0.25">
      <c r="A86">
        <f>-'R1'!H86</f>
        <v>32</v>
      </c>
      <c r="B86">
        <f>DEGREES(ATAN(-SIN(RADIANS(('R1'!I86)))/(COS(RADIANS(Sheet1!A86))*COS(RADIANS('R1'!I86)))))</f>
        <v>-18.681627509923402</v>
      </c>
      <c r="C86">
        <f>AVERAGE('R1'!J86,'R2'!J86,'R3'!J86)</f>
        <v>1.1733333333333331</v>
      </c>
      <c r="D86">
        <f>AVERAGE('R1'!K86,'R2'!K86,'R3'!K86)</f>
        <v>20.372703583333337</v>
      </c>
      <c r="E86">
        <f>AVERAGE('R1'!L86,'R2'!L86,'R3'!L86)</f>
        <v>-1.1063716043210343</v>
      </c>
      <c r="F86">
        <f>AVERAGE('R1'!M86,'R2'!M86,'R3'!M86)</f>
        <v>-1.831006610708614</v>
      </c>
      <c r="G86">
        <f>AVERAGE('R1'!N86,'R2'!N86,'R3'!N86)</f>
        <v>-0.77928336078175009</v>
      </c>
      <c r="H86">
        <f>AVERAGE('R1'!O86,'R2'!O86,'R3'!O86)</f>
        <v>-0.57865353595502633</v>
      </c>
      <c r="I86">
        <f t="shared" si="5"/>
        <v>3983.9953674074072</v>
      </c>
      <c r="K86">
        <f>_xlfn.STDEV.S('R1'!L86,'R2'!L86,'R3'!L86)</f>
        <v>9.8690576886632554E-3</v>
      </c>
      <c r="L86">
        <f>_xlfn.STDEV.S('R1'!M86,'R2'!M86,'R3'!M86)</f>
        <v>1.214352951700697E-2</v>
      </c>
      <c r="M86">
        <f>_xlfn.STDEV.S('R1'!N86,'R2'!N86,'R3'!N86)</f>
        <v>1.4211296927300681E-2</v>
      </c>
      <c r="N86">
        <f>_xlfn.STDEV.S('R1'!O86,'R2'!O86,'R3'!O86)</f>
        <v>2.4086371297778776E-3</v>
      </c>
    </row>
    <row r="87" spans="1:14" x14ac:dyDescent="0.25">
      <c r="A87">
        <f>-'R1'!H87</f>
        <v>32</v>
      </c>
      <c r="B87">
        <f>DEGREES(ATAN(-SIN(RADIANS(('R1'!I87)))/(COS(RADIANS(Sheet1!A87))*COS(RADIANS('R1'!I87)))))</f>
        <v>-23.228324501561271</v>
      </c>
      <c r="C87">
        <f>AVERAGE('R1'!J87,'R2'!J87,'R3'!J87)</f>
        <v>1.1766666666666665</v>
      </c>
      <c r="D87">
        <f>AVERAGE('R1'!K87,'R2'!K87,'R3'!K87)</f>
        <v>20.429803833333334</v>
      </c>
      <c r="E87">
        <f>AVERAGE('R1'!L87,'R2'!L87,'R3'!L87)</f>
        <v>-1.2958832830365783</v>
      </c>
      <c r="F87">
        <f>AVERAGE('R1'!M87,'R2'!M87,'R3'!M87)</f>
        <v>-1.7907258211889356</v>
      </c>
      <c r="G87">
        <f>AVERAGE('R1'!N87,'R2'!N87,'R3'!N87)</f>
        <v>-0.83376728313488935</v>
      </c>
      <c r="H87">
        <f>AVERAGE('R1'!O87,'R2'!O87,'R3'!O87)</f>
        <v>-0.66077975844902215</v>
      </c>
      <c r="I87">
        <f t="shared" si="5"/>
        <v>4006.5115295370365</v>
      </c>
      <c r="K87">
        <f>_xlfn.STDEV.S('R1'!L87,'R2'!L87,'R3'!L87)</f>
        <v>9.8333402748887154E-3</v>
      </c>
      <c r="L87">
        <f>_xlfn.STDEV.S('R1'!M87,'R2'!M87,'R3'!M87)</f>
        <v>1.0805819155055027E-2</v>
      </c>
      <c r="M87">
        <f>_xlfn.STDEV.S('R1'!N87,'R2'!N87,'R3'!N87)</f>
        <v>1.238185724471254E-2</v>
      </c>
      <c r="N87">
        <f>_xlfn.STDEV.S('R1'!O87,'R2'!O87,'R3'!O87)</f>
        <v>5.1051822119734438E-3</v>
      </c>
    </row>
    <row r="88" spans="1:14" x14ac:dyDescent="0.25">
      <c r="A88">
        <f>-'R1'!H88</f>
        <v>32</v>
      </c>
      <c r="B88">
        <f>DEGREES(ATAN(-SIN(RADIANS(('R1'!I88)))/(COS(RADIANS(Sheet1!A88))*COS(RADIANS('R1'!I88)))))</f>
        <v>-27.699654729206667</v>
      </c>
      <c r="C88">
        <f>AVERAGE('R1'!J88,'R2'!J88,'R3'!J88)</f>
        <v>1.1766666666666665</v>
      </c>
      <c r="D88">
        <f>AVERAGE('R1'!K88,'R2'!K88,'R3'!K88)</f>
        <v>20.720545000000001</v>
      </c>
      <c r="E88">
        <f>AVERAGE('R1'!L88,'R2'!L88,'R3'!L88)</f>
        <v>-1.4551526125809833</v>
      </c>
      <c r="F88">
        <f>AVERAGE('R1'!M88,'R2'!M88,'R3'!M88)</f>
        <v>-1.7930375417066309</v>
      </c>
      <c r="G88">
        <f>AVERAGE('R1'!N88,'R2'!N88,'R3'!N88)</f>
        <v>-0.90856128596766406</v>
      </c>
      <c r="H88">
        <f>AVERAGE('R1'!O88,'R2'!O88,'R3'!O88)</f>
        <v>-0.77407684219367523</v>
      </c>
      <c r="I88">
        <f t="shared" si="5"/>
        <v>4063.529102777778</v>
      </c>
      <c r="K88">
        <f>_xlfn.STDEV.S('R1'!L88,'R2'!L88,'R3'!L88)</f>
        <v>2.068774065612886E-3</v>
      </c>
      <c r="L88">
        <f>_xlfn.STDEV.S('R1'!M88,'R2'!M88,'R3'!M88)</f>
        <v>5.0492564657211381E-3</v>
      </c>
      <c r="M88">
        <f>_xlfn.STDEV.S('R1'!N88,'R2'!N88,'R3'!N88)</f>
        <v>7.4789181878183782E-3</v>
      </c>
      <c r="N88">
        <f>_xlfn.STDEV.S('R1'!O88,'R2'!O88,'R3'!O88)</f>
        <v>3.2745384559474313E-3</v>
      </c>
    </row>
    <row r="89" spans="1:14" x14ac:dyDescent="0.25">
      <c r="A89">
        <f>-'R1'!H89</f>
        <v>32</v>
      </c>
      <c r="B89">
        <f>DEGREES(ATAN(-SIN(RADIANS(('R1'!I89)))/(COS(RADIANS(Sheet1!A89))*COS(RADIANS('R1'!I89)))))</f>
        <v>-32.086900972819144</v>
      </c>
      <c r="C89">
        <f>AVERAGE('R1'!J89,'R2'!J89,'R3'!J89)</f>
        <v>1.1766666666666665</v>
      </c>
      <c r="D89">
        <f>AVERAGE('R1'!K89,'R2'!K89,'R3'!K89)</f>
        <v>21.105666583333331</v>
      </c>
      <c r="E89">
        <f>AVERAGE('R1'!L89,'R2'!L89,'R3'!L89)</f>
        <v>-1.6243834201655687</v>
      </c>
      <c r="F89">
        <f>AVERAGE('R1'!M89,'R2'!M89,'R3'!M89)</f>
        <v>-1.8390815392895863</v>
      </c>
      <c r="G89">
        <f>AVERAGE('R1'!N89,'R2'!N89,'R3'!N89)</f>
        <v>-1.0295638085983845</v>
      </c>
      <c r="H89">
        <f>AVERAGE('R1'!O89,'R2'!O89,'R3'!O89)</f>
        <v>-0.90397076015189004</v>
      </c>
      <c r="I89">
        <f t="shared" si="5"/>
        <v>4139.0557243981475</v>
      </c>
      <c r="K89">
        <f>_xlfn.STDEV.S('R1'!L89,'R2'!L89,'R3'!L89)</f>
        <v>4.0328434631534578E-3</v>
      </c>
      <c r="L89">
        <f>_xlfn.STDEV.S('R1'!M89,'R2'!M89,'R3'!M89)</f>
        <v>2.8869611647991861E-4</v>
      </c>
      <c r="M89">
        <f>_xlfn.STDEV.S('R1'!N89,'R2'!N89,'R3'!N89)</f>
        <v>2.7875925057286844E-3</v>
      </c>
      <c r="N89">
        <f>_xlfn.STDEV.S('R1'!O89,'R2'!O89,'R3'!O89)</f>
        <v>1.2012491135661323E-3</v>
      </c>
    </row>
    <row r="90" spans="1:14" x14ac:dyDescent="0.25">
      <c r="A90">
        <f>-'R1'!H90</f>
        <v>32</v>
      </c>
      <c r="B90">
        <f>DEGREES(ATAN(-SIN(RADIANS(('R1'!I90)))/(COS(RADIANS(Sheet1!A90))*COS(RADIANS('R1'!I90)))))</f>
        <v>-36.383993076218225</v>
      </c>
      <c r="C90">
        <f>AVERAGE('R1'!J90,'R2'!J90,'R3'!J90)</f>
        <v>1.1766666666666665</v>
      </c>
      <c r="D90">
        <f>AVERAGE('R1'!K90,'R2'!K90,'R3'!K90)</f>
        <v>21.357472833333333</v>
      </c>
      <c r="E90">
        <f>AVERAGE('R1'!L90,'R2'!L90,'R3'!L90)</f>
        <v>-1.8138864848109062</v>
      </c>
      <c r="F90">
        <f>AVERAGE('R1'!M90,'R2'!M90,'R3'!M90)</f>
        <v>-1.9283052476935232</v>
      </c>
      <c r="G90">
        <f>AVERAGE('R1'!N90,'R2'!N90,'R3'!N90)</f>
        <v>-1.1989066608667243</v>
      </c>
      <c r="H90">
        <f>AVERAGE('R1'!O90,'R2'!O90,'R3'!O90)</f>
        <v>-1.0608751214830676</v>
      </c>
      <c r="I90">
        <f t="shared" si="5"/>
        <v>4188.4377278703696</v>
      </c>
      <c r="K90">
        <f>_xlfn.STDEV.S('R1'!L90,'R2'!L90,'R3'!L90)</f>
        <v>9.8520597361900705E-3</v>
      </c>
      <c r="L90">
        <f>_xlfn.STDEV.S('R1'!M90,'R2'!M90,'R3'!M90)</f>
        <v>1.2574248686103197E-2</v>
      </c>
      <c r="M90">
        <f>_xlfn.STDEV.S('R1'!N90,'R2'!N90,'R3'!N90)</f>
        <v>1.4179197521643415E-2</v>
      </c>
      <c r="N90">
        <f>_xlfn.STDEV.S('R1'!O90,'R2'!O90,'R3'!O90)</f>
        <v>7.0161056232980789E-3</v>
      </c>
    </row>
    <row r="91" spans="1:14" x14ac:dyDescent="0.25">
      <c r="A91">
        <f>-'R1'!H91</f>
        <v>32</v>
      </c>
      <c r="B91">
        <f>DEGREES(ATAN(-SIN(RADIANS(('R1'!I91)))/(COS(RADIANS(Sheet1!A91))*COS(RADIANS('R1'!I91)))))</f>
        <v>-40.587432696870117</v>
      </c>
      <c r="C91">
        <f>AVERAGE('R1'!J91,'R2'!J91,'R3'!J91)</f>
        <v>1.1766666666666665</v>
      </c>
      <c r="D91">
        <f>AVERAGE('R1'!K91,'R2'!K91,'R3'!K91)</f>
        <v>21.289296166666666</v>
      </c>
      <c r="E91">
        <f>AVERAGE('R1'!L91,'R2'!L91,'R3'!L91)</f>
        <v>-2.0166161749728566</v>
      </c>
      <c r="F91">
        <f>AVERAGE('R1'!M91,'R2'!M91,'R3'!M91)</f>
        <v>-2.0507057056579558</v>
      </c>
      <c r="G91">
        <f>AVERAGE('R1'!N91,'R2'!N91,'R3'!N91)</f>
        <v>-1.4103446263427324</v>
      </c>
      <c r="H91">
        <f>AVERAGE('R1'!O91,'R2'!O91,'R3'!O91)</f>
        <v>-1.2352689246009205</v>
      </c>
      <c r="I91">
        <f t="shared" si="5"/>
        <v>4175.067526018518</v>
      </c>
      <c r="K91">
        <f>_xlfn.STDEV.S('R1'!L91,'R2'!L91,'R3'!L91)</f>
        <v>2.3713929230350112E-3</v>
      </c>
      <c r="L91">
        <f>_xlfn.STDEV.S('R1'!M91,'R2'!M91,'R3'!M91)</f>
        <v>2.5196508295312701E-3</v>
      </c>
      <c r="M91">
        <f>_xlfn.STDEV.S('R1'!N91,'R2'!N91,'R3'!N91)</f>
        <v>1.131515764406944E-3</v>
      </c>
      <c r="N91">
        <f>_xlfn.STDEV.S('R1'!O91,'R2'!O91,'R3'!O91)</f>
        <v>8.0219442264828399E-4</v>
      </c>
    </row>
    <row r="92" spans="1:14" x14ac:dyDescent="0.25">
      <c r="A92">
        <f>-'R1'!H92</f>
        <v>32</v>
      </c>
      <c r="B92">
        <f>DEGREES(ATAN(-SIN(RADIANS(('R1'!I92)))/(COS(RADIANS(Sheet1!A92))*COS(RADIANS('R1'!I92)))))</f>
        <v>-44.69611169166604</v>
      </c>
      <c r="C92">
        <f>AVERAGE('R1'!J92,'R2'!J92,'R3'!J92)</f>
        <v>1.1766666666666665</v>
      </c>
      <c r="D92">
        <f>AVERAGE('R1'!K92,'R2'!K92,'R3'!K92)</f>
        <v>21.039037499999999</v>
      </c>
      <c r="E92">
        <f>AVERAGE('R1'!L92,'R2'!L92,'R3'!L92)</f>
        <v>-2.2703458064541877</v>
      </c>
      <c r="F92">
        <f>AVERAGE('R1'!M92,'R2'!M92,'R3'!M92)</f>
        <v>-2.2283219102178751</v>
      </c>
      <c r="G92">
        <f>AVERAGE('R1'!N92,'R2'!N92,'R3'!N92)</f>
        <v>-1.7038375484001633</v>
      </c>
      <c r="H92">
        <f>AVERAGE('R1'!O92,'R2'!O92,'R3'!O92)</f>
        <v>-1.4550077772181194</v>
      </c>
      <c r="I92">
        <f t="shared" si="5"/>
        <v>4125.9890208333327</v>
      </c>
      <c r="K92">
        <f>_xlfn.STDEV.S('R1'!L92,'R2'!L92,'R3'!L92)</f>
        <v>1.4216217070337442E-2</v>
      </c>
      <c r="L92">
        <f>_xlfn.STDEV.S('R1'!M92,'R2'!M92,'R3'!M92)</f>
        <v>1.0680183685592155E-2</v>
      </c>
      <c r="M92">
        <f>_xlfn.STDEV.S('R1'!N92,'R2'!N92,'R3'!N92)</f>
        <v>1.5819315233238998E-2</v>
      </c>
      <c r="N92">
        <f>_xlfn.STDEV.S('R1'!O92,'R2'!O92,'R3'!O92)</f>
        <v>9.2492978860628794E-3</v>
      </c>
    </row>
    <row r="93" spans="1:14" x14ac:dyDescent="0.25">
      <c r="A93">
        <f>-'R1'!H93</f>
        <v>32</v>
      </c>
      <c r="B93">
        <f>DEGREES(ATAN(-SIN(RADIANS(('R1'!I93)))/(COS(RADIANS(Sheet1!A93))*COS(RADIANS('R1'!I93)))))</f>
        <v>-48.711059881009497</v>
      </c>
      <c r="C93">
        <f>AVERAGE('R1'!J93,'R2'!J93,'R3'!J93)</f>
        <v>1.1766666666666665</v>
      </c>
      <c r="D93">
        <f>AVERAGE('R1'!K93,'R2'!K93,'R3'!K93)</f>
        <v>20.8520985</v>
      </c>
      <c r="E93">
        <f>AVERAGE('R1'!L93,'R2'!L93,'R3'!L93)</f>
        <v>-2.5959523058553375</v>
      </c>
      <c r="F93">
        <f>AVERAGE('R1'!M93,'R2'!M93,'R3'!M93)</f>
        <v>-2.4664981209214996</v>
      </c>
      <c r="G93">
        <f>AVERAGE('R1'!N93,'R2'!N93,'R3'!N93)</f>
        <v>-2.0967973891757818</v>
      </c>
      <c r="H93">
        <f>AVERAGE('R1'!O93,'R2'!O93,'R3'!O93)</f>
        <v>-1.7286118272055939</v>
      </c>
      <c r="I93">
        <f t="shared" si="5"/>
        <v>4089.3282058333325</v>
      </c>
      <c r="K93">
        <f>_xlfn.STDEV.S('R1'!L93,'R2'!L93,'R3'!L93)</f>
        <v>1.051702102107859E-2</v>
      </c>
      <c r="L93">
        <f>_xlfn.STDEV.S('R1'!M93,'R2'!M93,'R3'!M93)</f>
        <v>1.2062455646796616E-2</v>
      </c>
      <c r="M93">
        <f>_xlfn.STDEV.S('R1'!N93,'R2'!N93,'R3'!N93)</f>
        <v>1.5794935742980007E-2</v>
      </c>
      <c r="N93">
        <f>_xlfn.STDEV.S('R1'!O93,'R2'!O93,'R3'!O93)</f>
        <v>7.0606676953728622E-3</v>
      </c>
    </row>
    <row r="94" spans="1:14" x14ac:dyDescent="0.25">
      <c r="A94">
        <f>-'R1'!H94</f>
        <v>28</v>
      </c>
      <c r="B94">
        <f>DEGREES(ATAN(-SIN(RADIANS(('R1'!I94)))/(COS(RADIANS(Sheet1!A94))*COS(RADIANS('R1'!I94)))))</f>
        <v>47.562731505879128</v>
      </c>
      <c r="C94">
        <f>AVERAGE('R1'!J94,'R2'!J94,'R3'!J94)</f>
        <v>1.1766666666666665</v>
      </c>
      <c r="D94">
        <f>AVERAGE('R1'!K94,'R2'!K94,'R3'!K94)</f>
        <v>20.619497583333331</v>
      </c>
      <c r="E94">
        <f>AVERAGE('R1'!L94,'R2'!L94,'R3'!L94)</f>
        <v>1.8873043384234223</v>
      </c>
      <c r="F94">
        <f>AVERAGE('R1'!M94,'R2'!M94,'R3'!M94)</f>
        <v>-1.7488570552188134</v>
      </c>
      <c r="G94">
        <f>AVERAGE('R1'!N94,'R2'!N94,'R3'!N94)</f>
        <v>-1.2310224481758494</v>
      </c>
      <c r="H94">
        <f>AVERAGE('R1'!O94,'R2'!O94,'R3'!O94)</f>
        <v>-1.2408617023852437</v>
      </c>
      <c r="I94">
        <f t="shared" si="5"/>
        <v>4043.7125816203693</v>
      </c>
      <c r="K94">
        <f>_xlfn.STDEV.S('R1'!L94,'R2'!L94,'R3'!L94)</f>
        <v>6.7961844703735971E-4</v>
      </c>
      <c r="L94">
        <f>_xlfn.STDEV.S('R1'!M94,'R2'!M94,'R3'!M94)</f>
        <v>4.385255557272736E-3</v>
      </c>
      <c r="M94">
        <f>_xlfn.STDEV.S('R1'!N94,'R2'!N94,'R3'!N94)</f>
        <v>1.7604780240077604E-3</v>
      </c>
      <c r="N94">
        <f>_xlfn.STDEV.S('R1'!O94,'R2'!O94,'R3'!O94)</f>
        <v>6.0667940318340468E-4</v>
      </c>
    </row>
    <row r="95" spans="1:14" x14ac:dyDescent="0.25">
      <c r="A95">
        <f>-'R1'!H95</f>
        <v>28</v>
      </c>
      <c r="B95">
        <f>DEGREES(ATAN(-SIN(RADIANS(('R1'!I95)))/(COS(RADIANS(Sheet1!A95))*COS(RADIANS('R1'!I95)))))</f>
        <v>43.541410263843531</v>
      </c>
      <c r="C95">
        <f>AVERAGE('R1'!J95,'R2'!J95,'R3'!J95)</f>
        <v>1.1766666666666665</v>
      </c>
      <c r="D95">
        <f>AVERAGE('R1'!K95,'R2'!K95,'R3'!K95)</f>
        <v>20.508873416666667</v>
      </c>
      <c r="E95">
        <f>AVERAGE('R1'!L95,'R2'!L95,'R3'!L95)</f>
        <v>1.7506096846637489</v>
      </c>
      <c r="F95">
        <f>AVERAGE('R1'!M95,'R2'!M95,'R3'!M95)</f>
        <v>-1.6706939730667631</v>
      </c>
      <c r="G95">
        <f>AVERAGE('R1'!N95,'R2'!N95,'R3'!N95)</f>
        <v>-1.0599316377464771</v>
      </c>
      <c r="H95">
        <f>AVERAGE('R1'!O95,'R2'!O95,'R3'!O95)</f>
        <v>-1.0946154003505202</v>
      </c>
      <c r="I95">
        <f t="shared" si="5"/>
        <v>4022.0179533796295</v>
      </c>
      <c r="K95">
        <f>_xlfn.STDEV.S('R1'!L95,'R2'!L95,'R3'!L95)</f>
        <v>5.22196561100856E-3</v>
      </c>
      <c r="L95">
        <f>_xlfn.STDEV.S('R1'!M95,'R2'!M95,'R3'!M95)</f>
        <v>6.6687998131346416E-3</v>
      </c>
      <c r="M95">
        <f>_xlfn.STDEV.S('R1'!N95,'R2'!N95,'R3'!N95)</f>
        <v>8.6797647872395804E-3</v>
      </c>
      <c r="N95">
        <f>_xlfn.STDEV.S('R1'!O95,'R2'!O95,'R3'!O95)</f>
        <v>5.2495937759994603E-3</v>
      </c>
    </row>
    <row r="96" spans="1:14" x14ac:dyDescent="0.25">
      <c r="A96">
        <f>-'R1'!H96</f>
        <v>28</v>
      </c>
      <c r="B96">
        <f>DEGREES(ATAN(-SIN(RADIANS(('R1'!I96)))/(COS(RADIANS(Sheet1!A96))*COS(RADIANS('R1'!I96)))))</f>
        <v>39.449608335498439</v>
      </c>
      <c r="C96">
        <f>AVERAGE('R1'!J96,'R2'!J96,'R3'!J96)</f>
        <v>1.1766666666666665</v>
      </c>
      <c r="D96">
        <f>AVERAGE('R1'!K96,'R2'!K96,'R3'!K96)</f>
        <v>20.331130249999998</v>
      </c>
      <c r="E96">
        <f>AVERAGE('R1'!L96,'R2'!L96,'R3'!L96)</f>
        <v>1.6330244288394269</v>
      </c>
      <c r="F96">
        <f>AVERAGE('R1'!M96,'R2'!M96,'R3'!M96)</f>
        <v>-1.6027229795944642</v>
      </c>
      <c r="G96">
        <f>AVERAGE('R1'!N96,'R2'!N96,'R3'!N96)</f>
        <v>-0.92226877849634115</v>
      </c>
      <c r="H96">
        <f>AVERAGE('R1'!O96,'R2'!O96,'R3'!O96)</f>
        <v>-0.96177277750682688</v>
      </c>
      <c r="I96">
        <f t="shared" si="5"/>
        <v>3987.1605434722214</v>
      </c>
      <c r="K96">
        <f>_xlfn.STDEV.S('R1'!L96,'R2'!L96,'R3'!L96)</f>
        <v>2.099244028953793E-3</v>
      </c>
      <c r="L96">
        <f>_xlfn.STDEV.S('R1'!M96,'R2'!M96,'R3'!M96)</f>
        <v>3.362900544055406E-3</v>
      </c>
      <c r="M96">
        <f>_xlfn.STDEV.S('R1'!N96,'R2'!N96,'R3'!N96)</f>
        <v>4.2174725544293617E-3</v>
      </c>
      <c r="N96">
        <f>_xlfn.STDEV.S('R1'!O96,'R2'!O96,'R3'!O96)</f>
        <v>1.3693487775897622E-3</v>
      </c>
    </row>
    <row r="97" spans="1:14" x14ac:dyDescent="0.25">
      <c r="A97">
        <f>-'R1'!H97</f>
        <v>28</v>
      </c>
      <c r="B97">
        <f>DEGREES(ATAN(-SIN(RADIANS(('R1'!I97)))/(COS(RADIANS(Sheet1!A97))*COS(RADIANS('R1'!I97)))))</f>
        <v>35.287360012327973</v>
      </c>
      <c r="C97">
        <f>AVERAGE('R1'!J97,'R2'!J97,'R3'!J97)</f>
        <v>1.1766666666666665</v>
      </c>
      <c r="D97">
        <f>AVERAGE('R1'!K97,'R2'!K97,'R3'!K97)</f>
        <v>20.534890750000002</v>
      </c>
      <c r="E97">
        <f>AVERAGE('R1'!L97,'R2'!L97,'R3'!L97)</f>
        <v>1.5161156780702714</v>
      </c>
      <c r="F97">
        <f>AVERAGE('R1'!M97,'R2'!M97,'R3'!M97)</f>
        <v>-1.5644254195973184</v>
      </c>
      <c r="G97">
        <f>AVERAGE('R1'!N97,'R2'!N97,'R3'!N97)</f>
        <v>-0.8163506951008378</v>
      </c>
      <c r="H97">
        <f>AVERAGE('R1'!O97,'R2'!O97,'R3'!O97)</f>
        <v>-0.83533797062420578</v>
      </c>
      <c r="I97">
        <f t="shared" si="5"/>
        <v>4027.120241527778</v>
      </c>
      <c r="K97">
        <f>_xlfn.STDEV.S('R1'!L97,'R2'!L97,'R3'!L97)</f>
        <v>4.690794031072548E-3</v>
      </c>
      <c r="L97">
        <f>_xlfn.STDEV.S('R1'!M97,'R2'!M97,'R3'!M97)</f>
        <v>8.270679580801436E-3</v>
      </c>
      <c r="M97">
        <f>_xlfn.STDEV.S('R1'!N97,'R2'!N97,'R3'!N97)</f>
        <v>9.4641573357451027E-3</v>
      </c>
      <c r="N97">
        <f>_xlfn.STDEV.S('R1'!O97,'R2'!O97,'R3'!O97)</f>
        <v>2.9955071625224253E-3</v>
      </c>
    </row>
    <row r="98" spans="1:14" x14ac:dyDescent="0.25">
      <c r="A98">
        <f>-'R1'!H98</f>
        <v>28</v>
      </c>
      <c r="B98">
        <f>DEGREES(ATAN(-SIN(RADIANS(('R1'!I98)))/(COS(RADIANS(Sheet1!A98))*COS(RADIANS('R1'!I98)))))</f>
        <v>31.056274317680661</v>
      </c>
      <c r="C98">
        <f>AVERAGE('R1'!J98,'R2'!J98,'R3'!J98)</f>
        <v>1.1766666666666665</v>
      </c>
      <c r="D98">
        <f>AVERAGE('R1'!K98,'R2'!K98,'R3'!K98)</f>
        <v>20.871596749999998</v>
      </c>
      <c r="E98">
        <f>AVERAGE('R1'!L98,'R2'!L98,'R3'!L98)</f>
        <v>1.4014937625065516</v>
      </c>
      <c r="F98">
        <f>AVERAGE('R1'!M98,'R2'!M98,'R3'!M98)</f>
        <v>-1.5694424982860167</v>
      </c>
      <c r="G98">
        <f>AVERAGE('R1'!N98,'R2'!N98,'R3'!N98)</f>
        <v>-0.75008847592300087</v>
      </c>
      <c r="H98">
        <f>AVERAGE('R1'!O98,'R2'!O98,'R3'!O98)</f>
        <v>-0.71789588706969498</v>
      </c>
      <c r="I98">
        <f t="shared" si="5"/>
        <v>4093.1520293055546</v>
      </c>
      <c r="K98">
        <f>_xlfn.STDEV.S('R1'!L98,'R2'!L98,'R3'!L98)</f>
        <v>7.0941152624868298E-3</v>
      </c>
      <c r="L98">
        <f>_xlfn.STDEV.S('R1'!M98,'R2'!M98,'R3'!M98)</f>
        <v>1.3369771399774889E-2</v>
      </c>
      <c r="M98">
        <f>_xlfn.STDEV.S('R1'!N98,'R2'!N98,'R3'!N98)</f>
        <v>1.3759340321316203E-2</v>
      </c>
      <c r="N98">
        <f>_xlfn.STDEV.S('R1'!O98,'R2'!O98,'R3'!O98)</f>
        <v>3.6821970093227833E-3</v>
      </c>
    </row>
    <row r="99" spans="1:14" x14ac:dyDescent="0.25">
      <c r="A99">
        <f>-'R1'!H99</f>
        <v>28</v>
      </c>
      <c r="B99">
        <f>DEGREES(ATAN(-SIN(RADIANS(('R1'!I99)))/(COS(RADIANS(Sheet1!A99))*COS(RADIANS('R1'!I99)))))</f>
        <v>26.759647654377044</v>
      </c>
      <c r="C99">
        <f>AVERAGE('R1'!J99,'R2'!J99,'R3'!J99)</f>
        <v>1.1766666666666665</v>
      </c>
      <c r="D99">
        <f>AVERAGE('R1'!K99,'R2'!K99,'R3'!K99)</f>
        <v>20.738460833333335</v>
      </c>
      <c r="E99">
        <f>AVERAGE('R1'!L99,'R2'!L99,'R3'!L99)</f>
        <v>1.2730955819649321</v>
      </c>
      <c r="F99">
        <f>AVERAGE('R1'!M99,'R2'!M99,'R3'!M99)</f>
        <v>-1.600127040502751</v>
      </c>
      <c r="G99">
        <f>AVERAGE('R1'!N99,'R2'!N99,'R3'!N99)</f>
        <v>-0.7035727434668374</v>
      </c>
      <c r="H99">
        <f>AVERAGE('R1'!O99,'R2'!O99,'R3'!O99)</f>
        <v>-0.60134372203991615</v>
      </c>
      <c r="I99">
        <f t="shared" si="5"/>
        <v>4067.0425967592591</v>
      </c>
      <c r="K99">
        <f>_xlfn.STDEV.S('R1'!L99,'R2'!L99,'R3'!L99)</f>
        <v>8.9951425912620821E-3</v>
      </c>
      <c r="L99">
        <f>_xlfn.STDEV.S('R1'!M99,'R2'!M99,'R3'!M99)</f>
        <v>1.1798746957344022E-2</v>
      </c>
      <c r="M99">
        <f>_xlfn.STDEV.S('R1'!N99,'R2'!N99,'R3'!N99)</f>
        <v>1.2911833977938374E-2</v>
      </c>
      <c r="N99">
        <f>_xlfn.STDEV.S('R1'!O99,'R2'!O99,'R3'!O99)</f>
        <v>2.8454313879624727E-3</v>
      </c>
    </row>
    <row r="100" spans="1:14" x14ac:dyDescent="0.25">
      <c r="A100">
        <f>-'R1'!H100</f>
        <v>28</v>
      </c>
      <c r="B100">
        <f>DEGREES(ATAN(-SIN(RADIANS(('R1'!I100)))/(COS(RADIANS(Sheet1!A100))*COS(RADIANS('R1'!I100)))))</f>
        <v>22.402523646885253</v>
      </c>
      <c r="C100">
        <f>AVERAGE('R1'!J100,'R2'!J100,'R3'!J100)</f>
        <v>1.1766666666666665</v>
      </c>
      <c r="D100">
        <f>AVERAGE('R1'!K100,'R2'!K100,'R3'!K100)</f>
        <v>20.532170083333337</v>
      </c>
      <c r="E100">
        <f>AVERAGE('R1'!L100,'R2'!L100,'R3'!L100)</f>
        <v>1.1153699255724161</v>
      </c>
      <c r="F100">
        <f>AVERAGE('R1'!M100,'R2'!M100,'R3'!M100)</f>
        <v>-1.6387315662105664</v>
      </c>
      <c r="G100">
        <f>AVERAGE('R1'!N100,'R2'!N100,'R3'!N100)</f>
        <v>-0.65653980509360033</v>
      </c>
      <c r="H100">
        <f>AVERAGE('R1'!O100,'R2'!O100,'R3'!O100)</f>
        <v>-0.489231923682173</v>
      </c>
      <c r="I100">
        <f t="shared" si="5"/>
        <v>4026.5866885648147</v>
      </c>
      <c r="K100">
        <f>_xlfn.STDEV.S('R1'!L100,'R2'!L100,'R3'!L100)</f>
        <v>2.7640944595638973E-3</v>
      </c>
      <c r="L100">
        <f>_xlfn.STDEV.S('R1'!M100,'R2'!M100,'R3'!M100)</f>
        <v>1.3395028185172273E-2</v>
      </c>
      <c r="M100">
        <f>_xlfn.STDEV.S('R1'!N100,'R2'!N100,'R3'!N100)</f>
        <v>1.1860653276694895E-2</v>
      </c>
      <c r="N100">
        <f>_xlfn.STDEV.S('R1'!O100,'R2'!O100,'R3'!O100)</f>
        <v>1.548160669201708E-3</v>
      </c>
    </row>
    <row r="101" spans="1:14" x14ac:dyDescent="0.25">
      <c r="A101">
        <f>-'R1'!H101</f>
        <v>28</v>
      </c>
      <c r="B101">
        <f>DEGREES(ATAN(-SIN(RADIANS(('R1'!I101)))/(COS(RADIANS(Sheet1!A101))*COS(RADIANS('R1'!I101)))))</f>
        <v>17.991683837765329</v>
      </c>
      <c r="C101">
        <f>AVERAGE('R1'!J101,'R2'!J101,'R3'!J101)</f>
        <v>1.1758333333333333</v>
      </c>
      <c r="D101">
        <f>AVERAGE('R1'!K101,'R2'!K101,'R3'!K101)</f>
        <v>20.362876083333333</v>
      </c>
      <c r="E101">
        <f>AVERAGE('R1'!L101,'R2'!L101,'R3'!L101)</f>
        <v>0.93278165865057305</v>
      </c>
      <c r="F101">
        <f>AVERAGE('R1'!M101,'R2'!M101,'R3'!M101)</f>
        <v>-1.6943786511065546</v>
      </c>
      <c r="G101">
        <f>AVERAGE('R1'!N101,'R2'!N101,'R3'!N101)</f>
        <v>-0.62044704698778574</v>
      </c>
      <c r="H101">
        <f>AVERAGE('R1'!O101,'R2'!O101,'R3'!O101)</f>
        <v>-0.38710829588927248</v>
      </c>
      <c r="I101">
        <f t="shared" si="5"/>
        <v>3990.5580768865739</v>
      </c>
      <c r="K101">
        <f>_xlfn.STDEV.S('R1'!L101,'R2'!L101,'R3'!L101)</f>
        <v>3.4388534525941531E-3</v>
      </c>
      <c r="L101">
        <f>_xlfn.STDEV.S('R1'!M101,'R2'!M101,'R3'!M101)</f>
        <v>1.6816532618152084E-2</v>
      </c>
      <c r="M101">
        <f>_xlfn.STDEV.S('R1'!N101,'R2'!N101,'R3'!N101)</f>
        <v>1.2342114922681653E-2</v>
      </c>
      <c r="N101">
        <f>_xlfn.STDEV.S('R1'!O101,'R2'!O101,'R3'!O101)</f>
        <v>7.1749019761103571E-4</v>
      </c>
    </row>
    <row r="102" spans="1:14" x14ac:dyDescent="0.25">
      <c r="A102">
        <f>-'R1'!H102</f>
        <v>28</v>
      </c>
      <c r="B102">
        <f>DEGREES(ATAN(-SIN(RADIANS(('R1'!I102)))/(COS(RADIANS(Sheet1!A102))*COS(RADIANS('R1'!I102)))))</f>
        <v>13.535556072482301</v>
      </c>
      <c r="C102">
        <f>AVERAGE('R1'!J102,'R2'!J102,'R3'!J102)</f>
        <v>1.1758333333333333</v>
      </c>
      <c r="D102">
        <f>AVERAGE('R1'!K102,'R2'!K102,'R3'!K102)</f>
        <v>20.385085916666668</v>
      </c>
      <c r="E102">
        <f>AVERAGE('R1'!L102,'R2'!L102,'R3'!L102)</f>
        <v>0.72998353997245502</v>
      </c>
      <c r="F102">
        <f>AVERAGE('R1'!M102,'R2'!M102,'R3'!M102)</f>
        <v>-1.7792286211234314</v>
      </c>
      <c r="G102">
        <f>AVERAGE('R1'!N102,'R2'!N102,'R3'!N102)</f>
        <v>-0.60565408734154003</v>
      </c>
      <c r="H102">
        <f>AVERAGE('R1'!O102,'R2'!O102,'R3'!O102)</f>
        <v>-0.30469290301162549</v>
      </c>
      <c r="I102">
        <f t="shared" si="5"/>
        <v>3994.9105872800928</v>
      </c>
      <c r="K102">
        <f>_xlfn.STDEV.S('R1'!L102,'R2'!L102,'R3'!L102)</f>
        <v>6.9055272878773173E-3</v>
      </c>
      <c r="L102">
        <f>_xlfn.STDEV.S('R1'!M102,'R2'!M102,'R3'!M102)</f>
        <v>1.9944771960050643E-2</v>
      </c>
      <c r="M102">
        <f>_xlfn.STDEV.S('R1'!N102,'R2'!N102,'R3'!N102)</f>
        <v>1.7662266008885104E-2</v>
      </c>
      <c r="N102">
        <f>_xlfn.STDEV.S('R1'!O102,'R2'!O102,'R3'!O102)</f>
        <v>7.2968190671626621E-3</v>
      </c>
    </row>
    <row r="103" spans="1:14" x14ac:dyDescent="0.25">
      <c r="A103">
        <f>-'R1'!H103</f>
        <v>28</v>
      </c>
      <c r="B103">
        <f>DEGREES(ATAN(-SIN(RADIANS(('R1'!I103)))/(COS(RADIANS(Sheet1!A103))*COS(RADIANS('R1'!I103)))))</f>
        <v>9.0440332369115684</v>
      </c>
      <c r="C103">
        <f>AVERAGE('R1'!J103,'R2'!J103,'R3'!J103)</f>
        <v>1.1766666666666665</v>
      </c>
      <c r="D103">
        <f>AVERAGE('R1'!K103,'R2'!K103,'R3'!K103)</f>
        <v>20.720521416666667</v>
      </c>
      <c r="E103">
        <f>AVERAGE('R1'!L103,'R2'!L103,'R3'!L103)</f>
        <v>0.4971157319946416</v>
      </c>
      <c r="F103">
        <f>AVERAGE('R1'!M103,'R2'!M103,'R3'!M103)</f>
        <v>-1.8796527210052814</v>
      </c>
      <c r="G103">
        <f>AVERAGE('R1'!N103,'R2'!N103,'R3'!N103)</f>
        <v>-0.60403923817551075</v>
      </c>
      <c r="H103">
        <f>AVERAGE('R1'!O103,'R2'!O103,'R3'!O103)</f>
        <v>-0.22484500190702061</v>
      </c>
      <c r="I103">
        <f t="shared" si="5"/>
        <v>4063.5244778240731</v>
      </c>
      <c r="K103">
        <f>_xlfn.STDEV.S('R1'!L103,'R2'!L103,'R3'!L103)</f>
        <v>4.1399808711619487E-3</v>
      </c>
      <c r="L103">
        <f>_xlfn.STDEV.S('R1'!M103,'R2'!M103,'R3'!M103)</f>
        <v>1.4503549512715899E-2</v>
      </c>
      <c r="M103">
        <f>_xlfn.STDEV.S('R1'!N103,'R2'!N103,'R3'!N103)</f>
        <v>1.0687288476371319E-2</v>
      </c>
      <c r="N103">
        <f>_xlfn.STDEV.S('R1'!O103,'R2'!O103,'R3'!O103)</f>
        <v>4.0896765627352E-3</v>
      </c>
    </row>
    <row r="104" spans="1:14" x14ac:dyDescent="0.25">
      <c r="A104">
        <f>-'R1'!H104</f>
        <v>28</v>
      </c>
      <c r="B104">
        <f>DEGREES(ATAN(-SIN(RADIANS(('R1'!I104)))/(COS(RADIANS(Sheet1!A104))*COS(RADIANS('R1'!I104)))))</f>
        <v>4.5282031595057557</v>
      </c>
      <c r="C104">
        <f>AVERAGE('R1'!J104,'R2'!J104,'R3'!J104)</f>
        <v>1.1749999999999998</v>
      </c>
      <c r="D104">
        <f>AVERAGE('R1'!K104,'R2'!K104,'R3'!K104)</f>
        <v>20.949161833333331</v>
      </c>
      <c r="E104">
        <f>AVERAGE('R1'!L104,'R2'!L104,'R3'!L104)</f>
        <v>0.21253809494978734</v>
      </c>
      <c r="F104">
        <f>AVERAGE('R1'!M104,'R2'!M104,'R3'!M104)</f>
        <v>-2.0150925254303647</v>
      </c>
      <c r="G104">
        <f>AVERAGE('R1'!N104,'R2'!N104,'R3'!N104)</f>
        <v>-0.62611469299573508</v>
      </c>
      <c r="H104">
        <f>AVERAGE('R1'!O104,'R2'!O104,'R3'!O104)</f>
        <v>-0.14415473746500432</v>
      </c>
      <c r="I104">
        <f t="shared" si="5"/>
        <v>4102.5441923611106</v>
      </c>
      <c r="K104">
        <f>_xlfn.STDEV.S('R1'!L104,'R2'!L104,'R3'!L104)</f>
        <v>1.3300364737213348E-2</v>
      </c>
      <c r="L104">
        <f>_xlfn.STDEV.S('R1'!M104,'R2'!M104,'R3'!M104)</f>
        <v>2.1733804471440087E-2</v>
      </c>
      <c r="M104">
        <f>_xlfn.STDEV.S('R1'!N104,'R2'!N104,'R3'!N104)</f>
        <v>1.3055588711569069E-2</v>
      </c>
      <c r="N104">
        <f>_xlfn.STDEV.S('R1'!O104,'R2'!O104,'R3'!O104)</f>
        <v>2.6804662061876935E-3</v>
      </c>
    </row>
    <row r="105" spans="1:14" x14ac:dyDescent="0.25">
      <c r="A105">
        <f>-'R1'!H105</f>
        <v>28</v>
      </c>
      <c r="B105">
        <f>DEGREES(ATAN(-SIN(RADIANS(('R1'!I105)))/(COS(RADIANS(Sheet1!A105))*COS(RADIANS('R1'!I105)))))</f>
        <v>0</v>
      </c>
      <c r="C105">
        <f>AVERAGE('R1'!J105,'R2'!J105,'R3'!J105)</f>
        <v>1.1766666666666665</v>
      </c>
      <c r="D105">
        <f>AVERAGE('R1'!K105,'R2'!K105,'R3'!K105)</f>
        <v>20.652599499999997</v>
      </c>
      <c r="E105">
        <f>AVERAGE('R1'!L105,'R2'!L105,'R3'!L105)</f>
        <v>-0.10787694855267253</v>
      </c>
      <c r="F105">
        <f>AVERAGE('R1'!M105,'R2'!M105,'R3'!M105)</f>
        <v>-2.062024776618109</v>
      </c>
      <c r="G105">
        <f>AVERAGE('R1'!N105,'R2'!N105,'R3'!N105)</f>
        <v>-0.63249367366365827</v>
      </c>
      <c r="H105">
        <f>AVERAGE('R1'!O105,'R2'!O105,'R3'!O105)</f>
        <v>-0.11411187593638583</v>
      </c>
      <c r="I105">
        <f t="shared" si="5"/>
        <v>4050.2042352777767</v>
      </c>
      <c r="K105">
        <f>_xlfn.STDEV.S('R1'!L105,'R2'!L105,'R3'!L105)</f>
        <v>1.2799597729897633E-2</v>
      </c>
      <c r="L105">
        <f>_xlfn.STDEV.S('R1'!M105,'R2'!M105,'R3'!M105)</f>
        <v>1.1784339958496043E-2</v>
      </c>
      <c r="M105">
        <f>_xlfn.STDEV.S('R1'!N105,'R2'!N105,'R3'!N105)</f>
        <v>1.3161591369395991E-2</v>
      </c>
      <c r="N105">
        <f>_xlfn.STDEV.S('R1'!O105,'R2'!O105,'R3'!O105)</f>
        <v>5.8366240240623904E-3</v>
      </c>
    </row>
    <row r="106" spans="1:14" x14ac:dyDescent="0.25">
      <c r="A106">
        <f>-'R1'!H106</f>
        <v>28</v>
      </c>
      <c r="B106">
        <f>DEGREES(ATAN(-SIN(RADIANS(('R1'!I106)))/(COS(RADIANS(Sheet1!A106))*COS(RADIANS('R1'!I106)))))</f>
        <v>-4.5282031595057557</v>
      </c>
      <c r="C106">
        <f>AVERAGE('R1'!J106,'R2'!J106,'R3'!J106)</f>
        <v>1.1766666666666665</v>
      </c>
      <c r="D106">
        <f>AVERAGE('R1'!K106,'R2'!K106,'R3'!K106)</f>
        <v>20.566530916666665</v>
      </c>
      <c r="E106">
        <f>AVERAGE('R1'!L106,'R2'!L106,'R3'!L106)</f>
        <v>-0.38596655299354432</v>
      </c>
      <c r="F106">
        <f>AVERAGE('R1'!M106,'R2'!M106,'R3'!M106)</f>
        <v>-1.9069894142189128</v>
      </c>
      <c r="G106">
        <f>AVERAGE('R1'!N106,'R2'!N106,'R3'!N106)</f>
        <v>-0.58714495964111446</v>
      </c>
      <c r="H106">
        <f>AVERAGE('R1'!O106,'R2'!O106,'R3'!O106)</f>
        <v>-0.17917139594894196</v>
      </c>
      <c r="I106">
        <f t="shared" si="5"/>
        <v>4033.3252297685176</v>
      </c>
      <c r="K106">
        <f>_xlfn.STDEV.S('R1'!L106,'R2'!L106,'R3'!L106)</f>
        <v>8.9702787438040582E-3</v>
      </c>
      <c r="L106">
        <f>_xlfn.STDEV.S('R1'!M106,'R2'!M106,'R3'!M106)</f>
        <v>1.4278373775757918E-2</v>
      </c>
      <c r="M106">
        <f>_xlfn.STDEV.S('R1'!N106,'R2'!N106,'R3'!N106)</f>
        <v>1.1899834088419858E-2</v>
      </c>
      <c r="N106">
        <f>_xlfn.STDEV.S('R1'!O106,'R2'!O106,'R3'!O106)</f>
        <v>9.6509442228937987E-3</v>
      </c>
    </row>
    <row r="107" spans="1:14" x14ac:dyDescent="0.25">
      <c r="A107">
        <f>-'R1'!H107</f>
        <v>28</v>
      </c>
      <c r="B107">
        <f>DEGREES(ATAN(-SIN(RADIANS(('R1'!I107)))/(COS(RADIANS(Sheet1!A107))*COS(RADIANS('R1'!I107)))))</f>
        <v>-9.0440332369115684</v>
      </c>
      <c r="C107">
        <f>AVERAGE('R1'!J107,'R2'!J107,'R3'!J107)</f>
        <v>1.1766666666666665</v>
      </c>
      <c r="D107">
        <f>AVERAGE('R1'!K107,'R2'!K107,'R3'!K107)</f>
        <v>20.800201583333333</v>
      </c>
      <c r="E107">
        <f>AVERAGE('R1'!L107,'R2'!L107,'R3'!L107)</f>
        <v>-0.62997552811827162</v>
      </c>
      <c r="F107">
        <f>AVERAGE('R1'!M107,'R2'!M107,'R3'!M107)</f>
        <v>-1.7717246480953428</v>
      </c>
      <c r="G107">
        <f>AVERAGE('R1'!N107,'R2'!N107,'R3'!N107)</f>
        <v>-0.55706270822952275</v>
      </c>
      <c r="H107">
        <f>AVERAGE('R1'!O107,'R2'!O107,'R3'!O107)</f>
        <v>-0.24483352943012848</v>
      </c>
      <c r="I107">
        <f t="shared" si="5"/>
        <v>4079.1506438425922</v>
      </c>
      <c r="K107">
        <f>_xlfn.STDEV.S('R1'!L107,'R2'!L107,'R3'!L107)</f>
        <v>5.3491600910135217E-3</v>
      </c>
      <c r="L107">
        <f>_xlfn.STDEV.S('R1'!M107,'R2'!M107,'R3'!M107)</f>
        <v>8.9839248684608491E-3</v>
      </c>
      <c r="M107">
        <f>_xlfn.STDEV.S('R1'!N107,'R2'!N107,'R3'!N107)</f>
        <v>5.9602417302325539E-3</v>
      </c>
      <c r="N107">
        <f>_xlfn.STDEV.S('R1'!O107,'R2'!O107,'R3'!O107)</f>
        <v>1.4810871309291415E-3</v>
      </c>
    </row>
    <row r="108" spans="1:14" x14ac:dyDescent="0.25">
      <c r="A108">
        <f>-'R1'!H108</f>
        <v>28</v>
      </c>
      <c r="B108">
        <f>DEGREES(ATAN(-SIN(RADIANS(('R1'!I108)))/(COS(RADIANS(Sheet1!A108))*COS(RADIANS('R1'!I108)))))</f>
        <v>-13.535556072482301</v>
      </c>
      <c r="C108">
        <f>AVERAGE('R1'!J108,'R2'!J108,'R3'!J108)</f>
        <v>1.1766666666666665</v>
      </c>
      <c r="D108">
        <f>AVERAGE('R1'!K108,'R2'!K108,'R3'!K108)</f>
        <v>21.051647333333335</v>
      </c>
      <c r="E108">
        <f>AVERAGE('R1'!L108,'R2'!L108,'R3'!L108)</f>
        <v>-0.84584049276327189</v>
      </c>
      <c r="F108">
        <f>AVERAGE('R1'!M108,'R2'!M108,'R3'!M108)</f>
        <v>-1.6770291348391044</v>
      </c>
      <c r="G108">
        <f>AVERAGE('R1'!N108,'R2'!N108,'R3'!N108)</f>
        <v>-0.56124105788502465</v>
      </c>
      <c r="H108">
        <f>AVERAGE('R1'!O108,'R2'!O108,'R3'!O108)</f>
        <v>-0.31757606322793358</v>
      </c>
      <c r="I108">
        <f t="shared" si="5"/>
        <v>4128.4619492592592</v>
      </c>
      <c r="K108">
        <f>_xlfn.STDEV.S('R1'!L108,'R2'!L108,'R3'!L108)</f>
        <v>1.4151002593029937E-3</v>
      </c>
      <c r="L108">
        <f>_xlfn.STDEV.S('R1'!M108,'R2'!M108,'R3'!M108)</f>
        <v>1.0612040422199077E-3</v>
      </c>
      <c r="M108">
        <f>_xlfn.STDEV.S('R1'!N108,'R2'!N108,'R3'!N108)</f>
        <v>1.8524994897497992E-3</v>
      </c>
      <c r="N108">
        <f>_xlfn.STDEV.S('R1'!O108,'R2'!O108,'R3'!O108)</f>
        <v>3.9054984411045E-3</v>
      </c>
    </row>
    <row r="109" spans="1:14" x14ac:dyDescent="0.25">
      <c r="A109">
        <f>-'R1'!H109</f>
        <v>28</v>
      </c>
      <c r="B109">
        <f>DEGREES(ATAN(-SIN(RADIANS(('R1'!I109)))/(COS(RADIANS(Sheet1!A109))*COS(RADIANS('R1'!I109)))))</f>
        <v>-17.991683837765329</v>
      </c>
      <c r="C109">
        <f>AVERAGE('R1'!J109,'R2'!J109,'R3'!J109)</f>
        <v>1.1766666666666665</v>
      </c>
      <c r="D109">
        <f>AVERAGE('R1'!K109,'R2'!K109,'R3'!K109)</f>
        <v>20.901796083333334</v>
      </c>
      <c r="E109">
        <f>AVERAGE('R1'!L109,'R2'!L109,'R3'!L109)</f>
        <v>-1.0547391636535963</v>
      </c>
      <c r="F109">
        <f>AVERAGE('R1'!M109,'R2'!M109,'R3'!M109)</f>
        <v>-1.6145277847581925</v>
      </c>
      <c r="G109">
        <f>AVERAGE('R1'!N109,'R2'!N109,'R3'!N109)</f>
        <v>-0.60408986852932067</v>
      </c>
      <c r="H109">
        <f>AVERAGE('R1'!O109,'R2'!O109,'R3'!O109)</f>
        <v>-0.39021649946010867</v>
      </c>
      <c r="I109">
        <f t="shared" si="5"/>
        <v>4099.0744541203703</v>
      </c>
      <c r="K109">
        <f>_xlfn.STDEV.S('R1'!L109,'R2'!L109,'R3'!L109)</f>
        <v>3.061983951366629E-3</v>
      </c>
      <c r="L109">
        <f>_xlfn.STDEV.S('R1'!M109,'R2'!M109,'R3'!M109)</f>
        <v>1.2642264224770714E-3</v>
      </c>
      <c r="M109">
        <f>_xlfn.STDEV.S('R1'!N109,'R2'!N109,'R3'!N109)</f>
        <v>1.2025933614641349E-3</v>
      </c>
      <c r="N109">
        <f>_xlfn.STDEV.S('R1'!O109,'R2'!O109,'R3'!O109)</f>
        <v>7.8912480174689673E-4</v>
      </c>
    </row>
    <row r="110" spans="1:14" x14ac:dyDescent="0.25">
      <c r="A110">
        <f>-'R1'!H110</f>
        <v>28</v>
      </c>
      <c r="B110">
        <f>DEGREES(ATAN(-SIN(RADIANS(('R1'!I110)))/(COS(RADIANS(Sheet1!A110))*COS(RADIANS('R1'!I110)))))</f>
        <v>-22.402523646885253</v>
      </c>
      <c r="C110">
        <f>AVERAGE('R1'!J110,'R2'!J110,'R3'!J110)</f>
        <v>1.1766666666666665</v>
      </c>
      <c r="D110">
        <f>AVERAGE('R1'!K110,'R2'!K110,'R3'!K110)</f>
        <v>20.708634666666665</v>
      </c>
      <c r="E110">
        <f>AVERAGE('R1'!L110,'R2'!L110,'R3'!L110)</f>
        <v>-1.2569844183410666</v>
      </c>
      <c r="F110">
        <f>AVERAGE('R1'!M110,'R2'!M110,'R3'!M110)</f>
        <v>-1.5997399880334564</v>
      </c>
      <c r="G110">
        <f>AVERAGE('R1'!N110,'R2'!N110,'R3'!N110)</f>
        <v>-0.68414344194823473</v>
      </c>
      <c r="H110">
        <f>AVERAGE('R1'!O110,'R2'!O110,'R3'!O110)</f>
        <v>-0.49092161705768184</v>
      </c>
      <c r="I110">
        <f t="shared" si="5"/>
        <v>4061.1933540740733</v>
      </c>
      <c r="K110">
        <f>_xlfn.STDEV.S('R1'!L110,'R2'!L110,'R3'!L110)</f>
        <v>5.7464649367361051E-3</v>
      </c>
      <c r="L110">
        <f>_xlfn.STDEV.S('R1'!M110,'R2'!M110,'R3'!M110)</f>
        <v>3.1327514234175137E-3</v>
      </c>
      <c r="M110">
        <f>_xlfn.STDEV.S('R1'!N110,'R2'!N110,'R3'!N110)</f>
        <v>4.444085042772045E-3</v>
      </c>
      <c r="N110">
        <f>_xlfn.STDEV.S('R1'!O110,'R2'!O110,'R3'!O110)</f>
        <v>4.8786614375993321E-3</v>
      </c>
    </row>
    <row r="111" spans="1:14" x14ac:dyDescent="0.25">
      <c r="A111">
        <f>-'R1'!H111</f>
        <v>28</v>
      </c>
      <c r="B111">
        <f>DEGREES(ATAN(-SIN(RADIANS(('R1'!I111)))/(COS(RADIANS(Sheet1!A111))*COS(RADIANS('R1'!I111)))))</f>
        <v>-26.759647654377044</v>
      </c>
      <c r="C111">
        <f>AVERAGE('R1'!J111,'R2'!J111,'R3'!J111)</f>
        <v>1.1766666666666665</v>
      </c>
      <c r="D111">
        <f>AVERAGE('R1'!K111,'R2'!K111,'R3'!K111)</f>
        <v>20.574294833333337</v>
      </c>
      <c r="E111">
        <f>AVERAGE('R1'!L111,'R2'!L111,'R3'!L111)</f>
        <v>-1.4401822236015203</v>
      </c>
      <c r="F111">
        <f>AVERAGE('R1'!M111,'R2'!M111,'R3'!M111)</f>
        <v>-1.6339735098240544</v>
      </c>
      <c r="G111">
        <f>AVERAGE('R1'!N111,'R2'!N111,'R3'!N111)</f>
        <v>-0.79595385483818737</v>
      </c>
      <c r="H111">
        <f>AVERAGE('R1'!O111,'R2'!O111,'R3'!O111)</f>
        <v>-0.61604595556023545</v>
      </c>
      <c r="I111">
        <f t="shared" si="5"/>
        <v>4034.8478200925929</v>
      </c>
      <c r="K111">
        <f>_xlfn.STDEV.S('R1'!L111,'R2'!L111,'R3'!L111)</f>
        <v>5.3915615042436291E-3</v>
      </c>
      <c r="L111">
        <f>_xlfn.STDEV.S('R1'!M111,'R2'!M111,'R3'!M111)</f>
        <v>4.8812396360523262E-3</v>
      </c>
      <c r="M111">
        <f>_xlfn.STDEV.S('R1'!N111,'R2'!N111,'R3'!N111)</f>
        <v>4.5759130973726265E-3</v>
      </c>
      <c r="N111">
        <f>_xlfn.STDEV.S('R1'!O111,'R2'!O111,'R3'!O111)</f>
        <v>2.8589771261619008E-3</v>
      </c>
    </row>
    <row r="112" spans="1:14" x14ac:dyDescent="0.25">
      <c r="A112">
        <f>-'R1'!H112</f>
        <v>28</v>
      </c>
      <c r="B112">
        <f>DEGREES(ATAN(-SIN(RADIANS(('R1'!I112)))/(COS(RADIANS(Sheet1!A112))*COS(RADIANS('R1'!I112)))))</f>
        <v>-31.056274317680661</v>
      </c>
      <c r="C112">
        <f>AVERAGE('R1'!J112,'R2'!J112,'R3'!J112)</f>
        <v>1.1766666666666665</v>
      </c>
      <c r="D112">
        <f>AVERAGE('R1'!K112,'R2'!K112,'R3'!K112)</f>
        <v>20.433326583333336</v>
      </c>
      <c r="E112">
        <f>AVERAGE('R1'!L112,'R2'!L112,'R3'!L112)</f>
        <v>-1.6177137107638655</v>
      </c>
      <c r="F112">
        <f>AVERAGE('R1'!M112,'R2'!M112,'R3'!M112)</f>
        <v>-1.7071724633444114</v>
      </c>
      <c r="G112">
        <f>AVERAGE('R1'!N112,'R2'!N112,'R3'!N112)</f>
        <v>-0.93844305564888941</v>
      </c>
      <c r="H112">
        <f>AVERAGE('R1'!O112,'R2'!O112,'R3'!O112)</f>
        <v>-0.76561650778556134</v>
      </c>
      <c r="I112">
        <f t="shared" si="5"/>
        <v>4007.2023799537033</v>
      </c>
      <c r="K112">
        <f>_xlfn.STDEV.S('R1'!L112,'R2'!L112,'R3'!L112)</f>
        <v>6.0681069013726321E-3</v>
      </c>
      <c r="L112">
        <f>_xlfn.STDEV.S('R1'!M112,'R2'!M112,'R3'!M112)</f>
        <v>4.927555660213215E-3</v>
      </c>
      <c r="M112">
        <f>_xlfn.STDEV.S('R1'!N112,'R2'!N112,'R3'!N112)</f>
        <v>3.5546154048603294E-3</v>
      </c>
      <c r="N112">
        <f>_xlfn.STDEV.S('R1'!O112,'R2'!O112,'R3'!O112)</f>
        <v>3.4866179278202985E-3</v>
      </c>
    </row>
    <row r="113" spans="1:14" x14ac:dyDescent="0.25">
      <c r="A113">
        <f>-'R1'!H113</f>
        <v>28</v>
      </c>
      <c r="B113">
        <f>DEGREES(ATAN(-SIN(RADIANS(('R1'!I113)))/(COS(RADIANS(Sheet1!A113))*COS(RADIANS('R1'!I113)))))</f>
        <v>-35.287360012327973</v>
      </c>
      <c r="C113">
        <f>AVERAGE('R1'!J113,'R2'!J113,'R3'!J113)</f>
        <v>1.1766666666666665</v>
      </c>
      <c r="D113">
        <f>AVERAGE('R1'!K113,'R2'!K113,'R3'!K113)</f>
        <v>20.32940275</v>
      </c>
      <c r="E113">
        <f>AVERAGE('R1'!L113,'R2'!L113,'R3'!L113)</f>
        <v>-1.8030492891643048</v>
      </c>
      <c r="F113">
        <f>AVERAGE('R1'!M113,'R2'!M113,'R3'!M113)</f>
        <v>-1.8008348051352252</v>
      </c>
      <c r="G113">
        <f>AVERAGE('R1'!N113,'R2'!N113,'R3'!N113)</f>
        <v>-1.1077782801996341</v>
      </c>
      <c r="H113">
        <f>AVERAGE('R1'!O113,'R2'!O113,'R3'!O113)</f>
        <v>-0.93040312872568698</v>
      </c>
      <c r="I113">
        <f t="shared" si="5"/>
        <v>3986.8217615277772</v>
      </c>
      <c r="K113">
        <f>_xlfn.STDEV.S('R1'!L113,'R2'!L113,'R3'!L113)</f>
        <v>9.2655845873479883E-3</v>
      </c>
      <c r="L113">
        <f>_xlfn.STDEV.S('R1'!M113,'R2'!M113,'R3'!M113)</f>
        <v>5.747052209316649E-3</v>
      </c>
      <c r="M113">
        <f>_xlfn.STDEV.S('R1'!N113,'R2'!N113,'R3'!N113)</f>
        <v>8.7475318647447422E-3</v>
      </c>
      <c r="N113">
        <f>_xlfn.STDEV.S('R1'!O113,'R2'!O113,'R3'!O113)</f>
        <v>5.1373050652605357E-3</v>
      </c>
    </row>
    <row r="114" spans="1:14" x14ac:dyDescent="0.25">
      <c r="A114">
        <f>-'R1'!H114</f>
        <v>28</v>
      </c>
      <c r="B114">
        <f>DEGREES(ATAN(-SIN(RADIANS(('R1'!I114)))/(COS(RADIANS(Sheet1!A114))*COS(RADIANS('R1'!I114)))))</f>
        <v>-39.449608335498439</v>
      </c>
      <c r="C114">
        <f>AVERAGE('R1'!J114,'R2'!J114,'R3'!J114)</f>
        <v>1.1766666666666665</v>
      </c>
      <c r="D114">
        <f>AVERAGE('R1'!K114,'R2'!K114,'R3'!K114)</f>
        <v>20.705346250000002</v>
      </c>
      <c r="E114">
        <f>AVERAGE('R1'!L114,'R2'!L114,'R3'!L114)</f>
        <v>-2.019673742610931</v>
      </c>
      <c r="F114">
        <f>AVERAGE('R1'!M114,'R2'!M114,'R3'!M114)</f>
        <v>-1.9311443148480418</v>
      </c>
      <c r="G114">
        <f>AVERAGE('R1'!N114,'R2'!N114,'R3'!N114)</f>
        <v>-1.3316782231613</v>
      </c>
      <c r="H114">
        <f>AVERAGE('R1'!O114,'R2'!O114,'R3'!O114)</f>
        <v>-1.1250272720051366</v>
      </c>
      <c r="I114">
        <f t="shared" si="5"/>
        <v>4060.5484590277774</v>
      </c>
      <c r="K114">
        <f>_xlfn.STDEV.S('R1'!L114,'R2'!L114,'R3'!L114)</f>
        <v>1.446206350905343E-2</v>
      </c>
      <c r="L114">
        <f>_xlfn.STDEV.S('R1'!M114,'R2'!M114,'R3'!M114)</f>
        <v>1.397510951771511E-2</v>
      </c>
      <c r="M114">
        <f>_xlfn.STDEV.S('R1'!N114,'R2'!N114,'R3'!N114)</f>
        <v>1.6988156607218911E-2</v>
      </c>
      <c r="N114">
        <f>_xlfn.STDEV.S('R1'!O114,'R2'!O114,'R3'!O114)</f>
        <v>1.1244301793136452E-2</v>
      </c>
    </row>
    <row r="115" spans="1:14" x14ac:dyDescent="0.25">
      <c r="A115">
        <f>-'R1'!H115</f>
        <v>28</v>
      </c>
      <c r="B115">
        <f>DEGREES(ATAN(-SIN(RADIANS(('R1'!I115)))/(COS(RADIANS(Sheet1!A115))*COS(RADIANS('R1'!I115)))))</f>
        <v>-43.541410263843531</v>
      </c>
      <c r="C115">
        <f>AVERAGE('R1'!J115,'R2'!J115,'R3'!J115)</f>
        <v>1.1766666666666665</v>
      </c>
      <c r="D115">
        <f>AVERAGE('R1'!K115,'R2'!K115,'R3'!K115)</f>
        <v>20.897164666666665</v>
      </c>
      <c r="E115">
        <f>AVERAGE('R1'!L115,'R2'!L115,'R3'!L115)</f>
        <v>-2.2887234221874579</v>
      </c>
      <c r="F115">
        <f>AVERAGE('R1'!M115,'R2'!M115,'R3'!M115)</f>
        <v>-2.1144173280247118</v>
      </c>
      <c r="G115">
        <f>AVERAGE('R1'!N115,'R2'!N115,'R3'!N115)</f>
        <v>-1.6371757956966768</v>
      </c>
      <c r="H115">
        <f>AVERAGE('R1'!O115,'R2'!O115,'R3'!O115)</f>
        <v>-1.3569642558897348</v>
      </c>
      <c r="I115">
        <f t="shared" si="5"/>
        <v>4098.1661818518505</v>
      </c>
      <c r="K115">
        <f>_xlfn.STDEV.S('R1'!L115,'R2'!L115,'R3'!L115)</f>
        <v>1.4946654583825283E-2</v>
      </c>
      <c r="L115">
        <f>_xlfn.STDEV.S('R1'!M115,'R2'!M115,'R3'!M115)</f>
        <v>1.0342779489094258E-2</v>
      </c>
      <c r="M115">
        <f>_xlfn.STDEV.S('R1'!N115,'R2'!N115,'R3'!N115)</f>
        <v>1.9331324932752136E-2</v>
      </c>
      <c r="N115">
        <f>_xlfn.STDEV.S('R1'!O115,'R2'!O115,'R3'!O115)</f>
        <v>8.8495092011210662E-3</v>
      </c>
    </row>
    <row r="116" spans="1:14" x14ac:dyDescent="0.25">
      <c r="A116">
        <f>-'R1'!H116</f>
        <v>28</v>
      </c>
      <c r="B116">
        <f>DEGREES(ATAN(-SIN(RADIANS(('R1'!I116)))/(COS(RADIANS(Sheet1!A116))*COS(RADIANS('R1'!I116)))))</f>
        <v>-47.562731505879128</v>
      </c>
      <c r="C116">
        <f>AVERAGE('R1'!J116,'R2'!J116,'R3'!J116)</f>
        <v>1.1749999999999998</v>
      </c>
      <c r="D116">
        <f>AVERAGE('R1'!K116,'R2'!K116,'R3'!K116)</f>
        <v>20.958494416666667</v>
      </c>
      <c r="E116">
        <f>AVERAGE('R1'!L116,'R2'!L116,'R3'!L116)</f>
        <v>-2.6350930991490826</v>
      </c>
      <c r="F116">
        <f>AVERAGE('R1'!M116,'R2'!M116,'R3'!M116)</f>
        <v>-2.3587066537960277</v>
      </c>
      <c r="G116">
        <f>AVERAGE('R1'!N116,'R2'!N116,'R3'!N116)</f>
        <v>-2.0528174929938712</v>
      </c>
      <c r="H116">
        <f>AVERAGE('R1'!O116,'R2'!O116,'R3'!O116)</f>
        <v>-1.6523325745795441</v>
      </c>
      <c r="I116">
        <f t="shared" si="5"/>
        <v>4104.3718232638885</v>
      </c>
      <c r="K116">
        <f>_xlfn.STDEV.S('R1'!L116,'R2'!L116,'R3'!L116)</f>
        <v>2.2959460872240114E-2</v>
      </c>
      <c r="L116">
        <f>_xlfn.STDEV.S('R1'!M116,'R2'!M116,'R3'!M116)</f>
        <v>1.6715177827035771E-2</v>
      </c>
      <c r="M116">
        <f>_xlfn.STDEV.S('R1'!N116,'R2'!N116,'R3'!N116)</f>
        <v>2.9022731541244767E-2</v>
      </c>
      <c r="N116">
        <f>_xlfn.STDEV.S('R1'!O116,'R2'!O116,'R3'!O116)</f>
        <v>1.1163174322575334E-2</v>
      </c>
    </row>
    <row r="117" spans="1:14" x14ac:dyDescent="0.25">
      <c r="A117">
        <f>-'R1'!H117</f>
        <v>24</v>
      </c>
      <c r="B117">
        <f>DEGREES(ATAN(-SIN(RADIANS(('R1'!I117)))/(COS(RADIANS(Sheet1!A117))*COS(RADIANS('R1'!I117)))))</f>
        <v>46.589384435425394</v>
      </c>
      <c r="C117">
        <f>AVERAGE('R1'!J117,'R2'!J117,'R3'!J117)</f>
        <v>1.1758333333333333</v>
      </c>
      <c r="D117">
        <f>AVERAGE('R1'!K117,'R2'!K117,'R3'!K117)</f>
        <v>21.320410166666665</v>
      </c>
      <c r="E117">
        <f>AVERAGE('R1'!L117,'R2'!L117,'R3'!L117)</f>
        <v>1.9244508116608199</v>
      </c>
      <c r="F117">
        <f>AVERAGE('R1'!M117,'R2'!M117,'R3'!M117)</f>
        <v>-1.644898445086513</v>
      </c>
      <c r="G117">
        <f>AVERAGE('R1'!N117,'R2'!N117,'R3'!N117)</f>
        <v>-1.1919695974927333</v>
      </c>
      <c r="H117">
        <f>AVERAGE('R1'!O117,'R2'!O117,'R3'!O117)</f>
        <v>-1.1806942863541423</v>
      </c>
      <c r="I117">
        <f t="shared" si="5"/>
        <v>4178.2081590509251</v>
      </c>
      <c r="K117">
        <f>_xlfn.STDEV.S('R1'!L117,'R2'!L117,'R3'!L117)</f>
        <v>4.8383459098080206E-3</v>
      </c>
      <c r="L117">
        <f>_xlfn.STDEV.S('R1'!M117,'R2'!M117,'R3'!M117)</f>
        <v>1.3216822064980786E-2</v>
      </c>
      <c r="M117">
        <f>_xlfn.STDEV.S('R1'!N117,'R2'!N117,'R3'!N117)</f>
        <v>1.3020347934994472E-2</v>
      </c>
      <c r="N117">
        <f>_xlfn.STDEV.S('R1'!O117,'R2'!O117,'R3'!O117)</f>
        <v>2.9930648405283758E-3</v>
      </c>
    </row>
    <row r="118" spans="1:14" x14ac:dyDescent="0.25">
      <c r="A118">
        <f>-'R1'!H118</f>
        <v>24</v>
      </c>
      <c r="B118">
        <f>DEGREES(ATAN(-SIN(RADIANS(('R1'!I118)))/(COS(RADIANS(Sheet1!A118))*COS(RADIANS('R1'!I118)))))</f>
        <v>42.567751063132313</v>
      </c>
      <c r="C118">
        <f>AVERAGE('R1'!J118,'R2'!J118,'R3'!J118)</f>
        <v>1.1766666666666665</v>
      </c>
      <c r="D118">
        <f>AVERAGE('R1'!K118,'R2'!K118,'R3'!K118)</f>
        <v>21.011700749999999</v>
      </c>
      <c r="E118">
        <f>AVERAGE('R1'!L118,'R2'!L118,'R3'!L118)</f>
        <v>1.7831677935871451</v>
      </c>
      <c r="F118">
        <f>AVERAGE('R1'!M118,'R2'!M118,'R3'!M118)</f>
        <v>-1.5523527424668895</v>
      </c>
      <c r="G118">
        <f>AVERAGE('R1'!N118,'R2'!N118,'R3'!N118)</f>
        <v>-1.0096811830619969</v>
      </c>
      <c r="H118">
        <f>AVERAGE('R1'!O118,'R2'!O118,'R3'!O118)</f>
        <v>-1.0172964949316694</v>
      </c>
      <c r="I118">
        <f t="shared" si="5"/>
        <v>4120.6279804166661</v>
      </c>
      <c r="K118">
        <f>_xlfn.STDEV.S('R1'!L118,'R2'!L118,'R3'!L118)</f>
        <v>3.5893935576502287E-3</v>
      </c>
      <c r="L118">
        <f>_xlfn.STDEV.S('R1'!M118,'R2'!M118,'R3'!M118)</f>
        <v>8.7178851320178358E-3</v>
      </c>
      <c r="M118">
        <f>_xlfn.STDEV.S('R1'!N118,'R2'!N118,'R3'!N118)</f>
        <v>7.5769227318575856E-3</v>
      </c>
      <c r="N118">
        <f>_xlfn.STDEV.S('R1'!O118,'R2'!O118,'R3'!O118)</f>
        <v>4.923172122492937E-4</v>
      </c>
    </row>
    <row r="119" spans="1:14" x14ac:dyDescent="0.25">
      <c r="A119">
        <f>-'R1'!H119</f>
        <v>24</v>
      </c>
      <c r="B119">
        <f>DEGREES(ATAN(-SIN(RADIANS(('R1'!I119)))/(COS(RADIANS(Sheet1!A119))*COS(RADIANS('R1'!I119)))))</f>
        <v>38.495223358359183</v>
      </c>
      <c r="C119">
        <f>AVERAGE('R1'!J119,'R2'!J119,'R3'!J119)</f>
        <v>1.1733333333333331</v>
      </c>
      <c r="D119">
        <f>AVERAGE('R1'!K119,'R2'!K119,'R3'!K119)</f>
        <v>20.812099833333331</v>
      </c>
      <c r="E119">
        <f>AVERAGE('R1'!L119,'R2'!L119,'R3'!L119)</f>
        <v>1.6680410622401947</v>
      </c>
      <c r="F119">
        <f>AVERAGE('R1'!M119,'R2'!M119,'R3'!M119)</f>
        <v>-1.4714249919582203</v>
      </c>
      <c r="G119">
        <f>AVERAGE('R1'!N119,'R2'!N119,'R3'!N119)</f>
        <v>-0.86569093807622377</v>
      </c>
      <c r="H119">
        <f>AVERAGE('R1'!O119,'R2'!O119,'R3'!O119)</f>
        <v>-0.86673683363476739</v>
      </c>
      <c r="I119">
        <f t="shared" si="5"/>
        <v>4069.9217451851846</v>
      </c>
      <c r="K119">
        <f>_xlfn.STDEV.S('R1'!L119,'R2'!L119,'R3'!L119)</f>
        <v>3.6945644772585599E-3</v>
      </c>
      <c r="L119">
        <f>_xlfn.STDEV.S('R1'!M119,'R2'!M119,'R3'!M119)</f>
        <v>1.0274319222608153E-2</v>
      </c>
      <c r="M119">
        <f>_xlfn.STDEV.S('R1'!N119,'R2'!N119,'R3'!N119)</f>
        <v>1.0253077906535615E-2</v>
      </c>
      <c r="N119">
        <f>_xlfn.STDEV.S('R1'!O119,'R2'!O119,'R3'!O119)</f>
        <v>5.8147529700011029E-4</v>
      </c>
    </row>
    <row r="120" spans="1:14" x14ac:dyDescent="0.25">
      <c r="A120">
        <f>-'R1'!H120</f>
        <v>24</v>
      </c>
      <c r="B120">
        <f>DEGREES(ATAN(-SIN(RADIANS(('R1'!I120)))/(COS(RADIANS(Sheet1!A120))*COS(RADIANS('R1'!I120)))))</f>
        <v>34.372309890771753</v>
      </c>
      <c r="C120">
        <f>AVERAGE('R1'!J120,'R2'!J120,'R3'!J120)</f>
        <v>1.1766666666666665</v>
      </c>
      <c r="D120">
        <f>AVERAGE('R1'!K120,'R2'!K120,'R3'!K120)</f>
        <v>20.60379</v>
      </c>
      <c r="E120">
        <f>AVERAGE('R1'!L120,'R2'!L120,'R3'!L120)</f>
        <v>1.5505862643922128</v>
      </c>
      <c r="F120">
        <f>AVERAGE('R1'!M120,'R2'!M120,'R3'!M120)</f>
        <v>-1.4153099162951925</v>
      </c>
      <c r="G120">
        <f>AVERAGE('R1'!N120,'R2'!N120,'R3'!N120)</f>
        <v>-0.74792403236614169</v>
      </c>
      <c r="H120">
        <f>AVERAGE('R1'!O120,'R2'!O120,'R3'!O120)</f>
        <v>-0.72586231096573872</v>
      </c>
      <c r="I120">
        <f t="shared" si="5"/>
        <v>4040.632149999999</v>
      </c>
      <c r="K120">
        <f>_xlfn.STDEV.S('R1'!L120,'R2'!L120,'R3'!L120)</f>
        <v>7.9144245836378676E-4</v>
      </c>
      <c r="L120">
        <f>_xlfn.STDEV.S('R1'!M120,'R2'!M120,'R3'!M120)</f>
        <v>1.137606616763407E-2</v>
      </c>
      <c r="M120">
        <f>_xlfn.STDEV.S('R1'!N120,'R2'!N120,'R3'!N120)</f>
        <v>6.8679239258369138E-3</v>
      </c>
      <c r="N120">
        <f>_xlfn.STDEV.S('R1'!O120,'R2'!O120,'R3'!O120)</f>
        <v>2.0140746170784858E-3</v>
      </c>
    </row>
    <row r="121" spans="1:14" x14ac:dyDescent="0.25">
      <c r="A121">
        <f>-'R1'!H121</f>
        <v>24</v>
      </c>
      <c r="B121">
        <f>DEGREES(ATAN(-SIN(RADIANS(('R1'!I121)))/(COS(RADIANS(Sheet1!A121))*COS(RADIANS('R1'!I121)))))</f>
        <v>30.200622081370245</v>
      </c>
      <c r="C121">
        <f>AVERAGE('R1'!J121,'R2'!J121,'R3'!J121)</f>
        <v>1.1766666666666665</v>
      </c>
      <c r="D121">
        <f>AVERAGE('R1'!K121,'R2'!K121,'R3'!K121)</f>
        <v>20.482373416666665</v>
      </c>
      <c r="E121">
        <f>AVERAGE('R1'!L121,'R2'!L121,'R3'!L121)</f>
        <v>1.4041380781548003</v>
      </c>
      <c r="F121">
        <f>AVERAGE('R1'!M121,'R2'!M121,'R3'!M121)</f>
        <v>-1.4033456165688249</v>
      </c>
      <c r="G121">
        <f>AVERAGE('R1'!N121,'R2'!N121,'R3'!N121)</f>
        <v>-0.651028042905481</v>
      </c>
      <c r="H121">
        <f>AVERAGE('R1'!O121,'R2'!O121,'R3'!O121)</f>
        <v>-0.58519523918602989</v>
      </c>
      <c r="I121">
        <f t="shared" si="5"/>
        <v>4016.8210089351842</v>
      </c>
      <c r="K121">
        <f>_xlfn.STDEV.S('R1'!L121,'R2'!L121,'R3'!L121)</f>
        <v>5.5244060152045554E-3</v>
      </c>
      <c r="L121">
        <f>_xlfn.STDEV.S('R1'!M121,'R2'!M121,'R3'!M121)</f>
        <v>1.9695369433962797E-2</v>
      </c>
      <c r="M121">
        <f>_xlfn.STDEV.S('R1'!N121,'R2'!N121,'R3'!N121)</f>
        <v>1.1033457208062303E-2</v>
      </c>
      <c r="N121">
        <f>_xlfn.STDEV.S('R1'!O121,'R2'!O121,'R3'!O121)</f>
        <v>4.469444632744477E-3</v>
      </c>
    </row>
    <row r="122" spans="1:14" x14ac:dyDescent="0.25">
      <c r="A122">
        <f>-'R1'!H122</f>
        <v>24</v>
      </c>
      <c r="B122">
        <f>DEGREES(ATAN(-SIN(RADIANS(('R1'!I122)))/(COS(RADIANS(Sheet1!A122))*COS(RADIANS('R1'!I122)))))</f>
        <v>25.982912809070061</v>
      </c>
      <c r="C122">
        <f>AVERAGE('R1'!J122,'R2'!J122,'R3'!J122)</f>
        <v>1.1766666666666665</v>
      </c>
      <c r="D122">
        <f>AVERAGE('R1'!K122,'R2'!K122,'R3'!K122)</f>
        <v>20.826501749999998</v>
      </c>
      <c r="E122">
        <f>AVERAGE('R1'!L122,'R2'!L122,'R3'!L122)</f>
        <v>1.2441014925190625</v>
      </c>
      <c r="F122">
        <f>AVERAGE('R1'!M122,'R2'!M122,'R3'!M122)</f>
        <v>-1.4249024849645782</v>
      </c>
      <c r="G122">
        <f>AVERAGE('R1'!N122,'R2'!N122,'R3'!N122)</f>
        <v>-0.57954240117549405</v>
      </c>
      <c r="H122">
        <f>AVERAGE('R1'!O122,'R2'!O122,'R3'!O122)</f>
        <v>-0.44421679103733364</v>
      </c>
      <c r="I122">
        <f t="shared" si="5"/>
        <v>4084.308398749999</v>
      </c>
      <c r="K122">
        <f>_xlfn.STDEV.S('R1'!L122,'R2'!L122,'R3'!L122)</f>
        <v>1.1550722780626238E-3</v>
      </c>
      <c r="L122">
        <f>_xlfn.STDEV.S('R1'!M122,'R2'!M122,'R3'!M122)</f>
        <v>8.0770118418875565E-3</v>
      </c>
      <c r="M122">
        <f>_xlfn.STDEV.S('R1'!N122,'R2'!N122,'R3'!N122)</f>
        <v>3.7360448148762372E-3</v>
      </c>
      <c r="N122">
        <f>_xlfn.STDEV.S('R1'!O122,'R2'!O122,'R3'!O122)</f>
        <v>1.7842462583133702E-3</v>
      </c>
    </row>
    <row r="123" spans="1:14" x14ac:dyDescent="0.25">
      <c r="A123">
        <f>-'R1'!H123</f>
        <v>24</v>
      </c>
      <c r="B123">
        <f>DEGREES(ATAN(-SIN(RADIANS(('R1'!I123)))/(COS(RADIANS(Sheet1!A123))*COS(RADIANS('R1'!I123)))))</f>
        <v>21.723080079379415</v>
      </c>
      <c r="C123">
        <f>AVERAGE('R1'!J123,'R2'!J123,'R3'!J123)</f>
        <v>1.1766666666666665</v>
      </c>
      <c r="D123">
        <f>AVERAGE('R1'!K123,'R2'!K123,'R3'!K123)</f>
        <v>21.059500666666668</v>
      </c>
      <c r="E123">
        <f>AVERAGE('R1'!L123,'R2'!L123,'R3'!L123)</f>
        <v>1.0690641654536541</v>
      </c>
      <c r="F123">
        <f>AVERAGE('R1'!M123,'R2'!M123,'R3'!M123)</f>
        <v>-1.4527046807314417</v>
      </c>
      <c r="G123">
        <f>AVERAGE('R1'!N123,'R2'!N123,'R3'!N123)</f>
        <v>-0.51219952730073637</v>
      </c>
      <c r="H123">
        <f>AVERAGE('R1'!O123,'R2'!O123,'R3'!O123)</f>
        <v>-0.32450513171557632</v>
      </c>
      <c r="I123">
        <f t="shared" si="5"/>
        <v>4130.0020751851853</v>
      </c>
      <c r="K123">
        <f>_xlfn.STDEV.S('R1'!L123,'R2'!L123,'R3'!L123)</f>
        <v>1.6137946628491284E-3</v>
      </c>
      <c r="L123">
        <f>_xlfn.STDEV.S('R1'!M123,'R2'!M123,'R3'!M123)</f>
        <v>2.9040073441360665E-3</v>
      </c>
      <c r="M123">
        <f>_xlfn.STDEV.S('R1'!N123,'R2'!N123,'R3'!N123)</f>
        <v>2.526833964440936E-3</v>
      </c>
      <c r="N123">
        <f>_xlfn.STDEV.S('R1'!O123,'R2'!O123,'R3'!O123)</f>
        <v>3.8653913997144323E-3</v>
      </c>
    </row>
    <row r="124" spans="1:14" x14ac:dyDescent="0.25">
      <c r="A124">
        <f>-'R1'!H124</f>
        <v>24</v>
      </c>
      <c r="B124">
        <f>DEGREES(ATAN(-SIN(RADIANS(('R1'!I124)))/(COS(RADIANS(Sheet1!A124))*COS(RADIANS('R1'!I124)))))</f>
        <v>17.426129149372727</v>
      </c>
      <c r="C124">
        <f>AVERAGE('R1'!J124,'R2'!J124,'R3'!J124)</f>
        <v>1.1766666666666665</v>
      </c>
      <c r="D124">
        <f>AVERAGE('R1'!K124,'R2'!K124,'R3'!K124)</f>
        <v>20.920984333333333</v>
      </c>
      <c r="E124">
        <f>AVERAGE('R1'!L124,'R2'!L124,'R3'!L124)</f>
        <v>0.88520948165262414</v>
      </c>
      <c r="F124">
        <f>AVERAGE('R1'!M124,'R2'!M124,'R3'!M124)</f>
        <v>-1.4869484758826441</v>
      </c>
      <c r="G124">
        <f>AVERAGE('R1'!N124,'R2'!N124,'R3'!N124)</f>
        <v>-0.46097607379899608</v>
      </c>
      <c r="H124">
        <f>AVERAGE('R1'!O124,'R2'!O124,'R3'!O124)</f>
        <v>-0.20907750676183726</v>
      </c>
      <c r="I124">
        <f t="shared" si="5"/>
        <v>4102.8374831481478</v>
      </c>
      <c r="K124">
        <f>_xlfn.STDEV.S('R1'!L124,'R2'!L124,'R3'!L124)</f>
        <v>3.2624521050798141E-3</v>
      </c>
      <c r="L124">
        <f>_xlfn.STDEV.S('R1'!M124,'R2'!M124,'R3'!M124)</f>
        <v>3.5705434776381979E-3</v>
      </c>
      <c r="M124">
        <f>_xlfn.STDEV.S('R1'!N124,'R2'!N124,'R3'!N124)</f>
        <v>3.8411834056515707E-3</v>
      </c>
      <c r="N124">
        <f>_xlfn.STDEV.S('R1'!O124,'R2'!O124,'R3'!O124)</f>
        <v>4.4669402796975472E-3</v>
      </c>
    </row>
    <row r="125" spans="1:14" x14ac:dyDescent="0.25">
      <c r="A125">
        <f>-'R1'!H125</f>
        <v>24</v>
      </c>
      <c r="B125">
        <f>DEGREES(ATAN(-SIN(RADIANS(('R1'!I125)))/(COS(RADIANS(Sheet1!A125))*COS(RADIANS('R1'!I125)))))</f>
        <v>13.09808863151425</v>
      </c>
      <c r="C125">
        <f>AVERAGE('R1'!J125,'R2'!J125,'R3'!J125)</f>
        <v>1.1766666666666665</v>
      </c>
      <c r="D125">
        <f>AVERAGE('R1'!K125,'R2'!K125,'R3'!K125)</f>
        <v>20.754998583333332</v>
      </c>
      <c r="E125">
        <f>AVERAGE('R1'!L125,'R2'!L125,'R3'!L125)</f>
        <v>0.68876315304663649</v>
      </c>
      <c r="F125">
        <f>AVERAGE('R1'!M125,'R2'!M125,'R3'!M125)</f>
        <v>-1.544116387109397</v>
      </c>
      <c r="G125">
        <f>AVERAGE('R1'!N125,'R2'!N125,'R3'!N125)</f>
        <v>-0.42851933595847452</v>
      </c>
      <c r="H125">
        <f>AVERAGE('R1'!O125,'R2'!O125,'R3'!O125)</f>
        <v>-0.11329390954865663</v>
      </c>
      <c r="I125">
        <f t="shared" si="5"/>
        <v>4070.2858332870364</v>
      </c>
      <c r="K125">
        <f>_xlfn.STDEV.S('R1'!L125,'R2'!L125,'R3'!L125)</f>
        <v>4.5657861301142506E-3</v>
      </c>
      <c r="L125">
        <f>_xlfn.STDEV.S('R1'!M125,'R2'!M125,'R3'!M125)</f>
        <v>8.7027739736024439E-3</v>
      </c>
      <c r="M125">
        <f>_xlfn.STDEV.S('R1'!N125,'R2'!N125,'R3'!N125)</f>
        <v>4.0275405855251904E-3</v>
      </c>
      <c r="N125">
        <f>_xlfn.STDEV.S('R1'!O125,'R2'!O125,'R3'!O125)</f>
        <v>2.6685154061014357E-3</v>
      </c>
    </row>
    <row r="126" spans="1:14" x14ac:dyDescent="0.25">
      <c r="A126">
        <f>-'R1'!H126</f>
        <v>24</v>
      </c>
      <c r="B126">
        <f>DEGREES(ATAN(-SIN(RADIANS(('R1'!I126)))/(COS(RADIANS(Sheet1!A126))*COS(RADIANS('R1'!I126)))))</f>
        <v>8.7458791850141893</v>
      </c>
      <c r="C126">
        <f>AVERAGE('R1'!J126,'R2'!J126,'R3'!J126)</f>
        <v>1.1766666666666665</v>
      </c>
      <c r="D126">
        <f>AVERAGE('R1'!K126,'R2'!K126,'R3'!K126)</f>
        <v>20.58893625</v>
      </c>
      <c r="E126">
        <f>AVERAGE('R1'!L126,'R2'!L126,'R3'!L126)</f>
        <v>0.46009421282712365</v>
      </c>
      <c r="F126">
        <f>AVERAGE('R1'!M126,'R2'!M126,'R3'!M126)</f>
        <v>-1.6265295362411736</v>
      </c>
      <c r="G126">
        <f>AVERAGE('R1'!N126,'R2'!N126,'R3'!N126)</f>
        <v>-0.41328240057513027</v>
      </c>
      <c r="H126">
        <f>AVERAGE('R1'!O126,'R2'!O126,'R3'!O126)</f>
        <v>-3.0944247486005123E-2</v>
      </c>
      <c r="I126">
        <f t="shared" si="5"/>
        <v>4037.7191645833327</v>
      </c>
      <c r="K126">
        <f>_xlfn.STDEV.S('R1'!L126,'R2'!L126,'R3'!L126)</f>
        <v>2.4927612537676749E-3</v>
      </c>
      <c r="L126">
        <f>_xlfn.STDEV.S('R1'!M126,'R2'!M126,'R3'!M126)</f>
        <v>1.8575084484687959E-3</v>
      </c>
      <c r="M126">
        <f>_xlfn.STDEV.S('R1'!N126,'R2'!N126,'R3'!N126)</f>
        <v>1.0209129433617252E-3</v>
      </c>
      <c r="N126">
        <f>_xlfn.STDEV.S('R1'!O126,'R2'!O126,'R3'!O126)</f>
        <v>2.1154368405839293E-3</v>
      </c>
    </row>
    <row r="127" spans="1:14" x14ac:dyDescent="0.25">
      <c r="A127">
        <f>-'R1'!H127</f>
        <v>24</v>
      </c>
      <c r="B127">
        <f>DEGREES(ATAN(-SIN(RADIANS(('R1'!I127)))/(COS(RADIANS(Sheet1!A127))*COS(RADIANS('R1'!I127)))))</f>
        <v>4.3771372039965373</v>
      </c>
      <c r="C127">
        <f>AVERAGE('R1'!J127,'R2'!J127,'R3'!J127)</f>
        <v>1.1766666666666665</v>
      </c>
      <c r="D127">
        <f>AVERAGE('R1'!K127,'R2'!K127,'R3'!K127)</f>
        <v>20.465494166666662</v>
      </c>
      <c r="E127">
        <f>AVERAGE('R1'!L127,'R2'!L127,'R3'!L127)</f>
        <v>0.20443688396732229</v>
      </c>
      <c r="F127">
        <f>AVERAGE('R1'!M127,'R2'!M127,'R3'!M127)</f>
        <v>-1.7295748587741981</v>
      </c>
      <c r="G127">
        <f>AVERAGE('R1'!N127,'R2'!N127,'R3'!N127)</f>
        <v>-0.41988453147273663</v>
      </c>
      <c r="H127">
        <f>AVERAGE('R1'!O127,'R2'!O127,'R3'!O127)</f>
        <v>4.4846474333105402E-2</v>
      </c>
      <c r="I127">
        <f t="shared" si="5"/>
        <v>4013.5108004629615</v>
      </c>
      <c r="K127">
        <f>_xlfn.STDEV.S('R1'!L127,'R2'!L127,'R3'!L127)</f>
        <v>5.0552482920194729E-3</v>
      </c>
      <c r="L127">
        <f>_xlfn.STDEV.S('R1'!M127,'R2'!M127,'R3'!M127)</f>
        <v>5.942946633325257E-3</v>
      </c>
      <c r="M127">
        <f>_xlfn.STDEV.S('R1'!N127,'R2'!N127,'R3'!N127)</f>
        <v>1.2026370039817228E-3</v>
      </c>
      <c r="N127">
        <f>_xlfn.STDEV.S('R1'!O127,'R2'!O127,'R3'!O127)</f>
        <v>3.6326231967024132E-3</v>
      </c>
    </row>
    <row r="128" spans="1:14" x14ac:dyDescent="0.25">
      <c r="A128">
        <f>-'R1'!H128</f>
        <v>24</v>
      </c>
      <c r="B128">
        <f>DEGREES(ATAN(-SIN(RADIANS(('R1'!I128)))/(COS(RADIANS(Sheet1!A128))*COS(RADIANS('R1'!I128)))))</f>
        <v>0</v>
      </c>
      <c r="C128">
        <f>AVERAGE('R1'!J128,'R2'!J128,'R3'!J128)</f>
        <v>1.1766666666666665</v>
      </c>
      <c r="D128">
        <f>AVERAGE('R1'!K128,'R2'!K128,'R3'!K128)</f>
        <v>20.343222333333333</v>
      </c>
      <c r="E128">
        <f>AVERAGE('R1'!L128,'R2'!L128,'R3'!L128)</f>
        <v>-8.3162905175473131E-2</v>
      </c>
      <c r="F128">
        <f>AVERAGE('R1'!M128,'R2'!M128,'R3'!M128)</f>
        <v>-1.7741854062722846</v>
      </c>
      <c r="G128">
        <f>AVERAGE('R1'!N128,'R2'!N128,'R3'!N128)</f>
        <v>-0.42263883734237062</v>
      </c>
      <c r="H128">
        <f>AVERAGE('R1'!O128,'R2'!O128,'R3'!O128)</f>
        <v>8.1078138069750713E-2</v>
      </c>
      <c r="I128">
        <f t="shared" si="5"/>
        <v>3989.5319353703699</v>
      </c>
      <c r="K128">
        <f>_xlfn.STDEV.S('R1'!L128,'R2'!L128,'R3'!L128)</f>
        <v>4.751003697172713E-3</v>
      </c>
      <c r="L128">
        <f>_xlfn.STDEV.S('R1'!M128,'R2'!M128,'R3'!M128)</f>
        <v>7.4849058409775741E-3</v>
      </c>
      <c r="M128">
        <f>_xlfn.STDEV.S('R1'!N128,'R2'!N128,'R3'!N128)</f>
        <v>7.6999325609707079E-3</v>
      </c>
      <c r="N128">
        <f>_xlfn.STDEV.S('R1'!O128,'R2'!O128,'R3'!O128)</f>
        <v>2.6495439195893741E-3</v>
      </c>
    </row>
    <row r="129" spans="1:14" x14ac:dyDescent="0.25">
      <c r="A129">
        <f>-'R1'!H129</f>
        <v>24</v>
      </c>
      <c r="B129">
        <f>DEGREES(ATAN(-SIN(RADIANS(('R1'!I129)))/(COS(RADIANS(Sheet1!A129))*COS(RADIANS('R1'!I129)))))</f>
        <v>-4.3771372039965373</v>
      </c>
      <c r="C129">
        <f>AVERAGE('R1'!J129,'R2'!J129,'R3'!J129)</f>
        <v>1.1766666666666665</v>
      </c>
      <c r="D129">
        <f>AVERAGE('R1'!K129,'R2'!K129,'R3'!K129)</f>
        <v>20.22859575</v>
      </c>
      <c r="E129">
        <f>AVERAGE('R1'!L129,'R2'!L129,'R3'!L129)</f>
        <v>-0.346559356159925</v>
      </c>
      <c r="F129">
        <f>AVERAGE('R1'!M129,'R2'!M129,'R3'!M129)</f>
        <v>-1.6519123770162114</v>
      </c>
      <c r="G129">
        <f>AVERAGE('R1'!N129,'R2'!N129,'R3'!N129)</f>
        <v>-0.39941611418582995</v>
      </c>
      <c r="H129">
        <f>AVERAGE('R1'!O129,'R2'!O129,'R3'!O129)</f>
        <v>7.5215092624421644E-3</v>
      </c>
      <c r="I129">
        <f t="shared" si="5"/>
        <v>3967.052388749999</v>
      </c>
      <c r="K129">
        <f>_xlfn.STDEV.S('R1'!L129,'R2'!L129,'R3'!L129)</f>
        <v>3.7774609544682009E-3</v>
      </c>
      <c r="L129">
        <f>_xlfn.STDEV.S('R1'!M129,'R2'!M129,'R3'!M129)</f>
        <v>4.7102871011595543E-3</v>
      </c>
      <c r="M129">
        <f>_xlfn.STDEV.S('R1'!N129,'R2'!N129,'R3'!N129)</f>
        <v>4.3868761729900152E-3</v>
      </c>
      <c r="N129">
        <f>_xlfn.STDEV.S('R1'!O129,'R2'!O129,'R3'!O129)</f>
        <v>2.2538964935454966E-3</v>
      </c>
    </row>
    <row r="130" spans="1:14" x14ac:dyDescent="0.25">
      <c r="A130">
        <f>-'R1'!H130</f>
        <v>24</v>
      </c>
      <c r="B130">
        <f>DEGREES(ATAN(-SIN(RADIANS(('R1'!I130)))/(COS(RADIANS(Sheet1!A130))*COS(RADIANS('R1'!I130)))))</f>
        <v>-8.7458791850141893</v>
      </c>
      <c r="C130">
        <f>AVERAGE('R1'!J130,'R2'!J130,'R3'!J130)</f>
        <v>1.1766666666666665</v>
      </c>
      <c r="D130">
        <f>AVERAGE('R1'!K130,'R2'!K130,'R3'!K130)</f>
        <v>20.155625666666669</v>
      </c>
      <c r="E130">
        <f>AVERAGE('R1'!L130,'R2'!L130,'R3'!L130)</f>
        <v>-0.58465991991615407</v>
      </c>
      <c r="F130">
        <f>AVERAGE('R1'!M130,'R2'!M130,'R3'!M130)</f>
        <v>-1.5506506147469163</v>
      </c>
      <c r="G130">
        <f>AVERAGE('R1'!N130,'R2'!N130,'R3'!N130)</f>
        <v>-0.3953394799854057</v>
      </c>
      <c r="H130">
        <f>AVERAGE('R1'!O130,'R2'!O130,'R3'!O130)</f>
        <v>-6.2441606763745348E-2</v>
      </c>
      <c r="I130">
        <f t="shared" si="5"/>
        <v>3952.7421446296298</v>
      </c>
      <c r="K130">
        <f>_xlfn.STDEV.S('R1'!L130,'R2'!L130,'R3'!L130)</f>
        <v>5.3383910724297979E-3</v>
      </c>
      <c r="L130">
        <f>_xlfn.STDEV.S('R1'!M130,'R2'!M130,'R3'!M130)</f>
        <v>4.3257975500590228E-3</v>
      </c>
      <c r="M130">
        <f>_xlfn.STDEV.S('R1'!N130,'R2'!N130,'R3'!N130)</f>
        <v>4.8258593531807217E-3</v>
      </c>
      <c r="N130">
        <f>_xlfn.STDEV.S('R1'!O130,'R2'!O130,'R3'!O130)</f>
        <v>5.1712749066465131E-4</v>
      </c>
    </row>
    <row r="131" spans="1:14" x14ac:dyDescent="0.25">
      <c r="A131">
        <f>-'R1'!H131</f>
        <v>24</v>
      </c>
      <c r="B131">
        <f>DEGREES(ATAN(-SIN(RADIANS(('R1'!I131)))/(COS(RADIANS(Sheet1!A131))*COS(RADIANS('R1'!I131)))))</f>
        <v>-13.09808863151425</v>
      </c>
      <c r="C131">
        <f>AVERAGE('R1'!J131,'R2'!J131,'R3'!J131)</f>
        <v>1.1766666666666665</v>
      </c>
      <c r="D131">
        <f>AVERAGE('R1'!K131,'R2'!K131,'R3'!K131)</f>
        <v>20.053440416666664</v>
      </c>
      <c r="E131">
        <f>AVERAGE('R1'!L131,'R2'!L131,'R3'!L131)</f>
        <v>-0.80821939744661109</v>
      </c>
      <c r="F131">
        <f>AVERAGE('R1'!M131,'R2'!M131,'R3'!M131)</f>
        <v>-1.472327532498098</v>
      </c>
      <c r="G131">
        <f>AVERAGE('R1'!N131,'R2'!N131,'R3'!N131)</f>
        <v>-0.42322673496427526</v>
      </c>
      <c r="H131">
        <f>AVERAGE('R1'!O131,'R2'!O131,'R3'!O131)</f>
        <v>-0.12644919071486183</v>
      </c>
      <c r="I131">
        <f t="shared" ref="I131:I194" si="6">C131*D131*0.003/(1.8*10^-5)</f>
        <v>3932.7024817129618</v>
      </c>
      <c r="K131">
        <f>_xlfn.STDEV.S('R1'!L131,'R2'!L131,'R3'!L131)</f>
        <v>1.0833493928179436E-2</v>
      </c>
      <c r="L131">
        <f>_xlfn.STDEV.S('R1'!M131,'R2'!M131,'R3'!M131)</f>
        <v>7.5382675584105083E-3</v>
      </c>
      <c r="M131">
        <f>_xlfn.STDEV.S('R1'!N131,'R2'!N131,'R3'!N131)</f>
        <v>7.4620234027477318E-3</v>
      </c>
      <c r="N131">
        <f>_xlfn.STDEV.S('R1'!O131,'R2'!O131,'R3'!O131)</f>
        <v>6.5514897752387106E-3</v>
      </c>
    </row>
    <row r="132" spans="1:14" x14ac:dyDescent="0.25">
      <c r="A132">
        <f>-'R1'!H132</f>
        <v>24</v>
      </c>
      <c r="B132">
        <f>DEGREES(ATAN(-SIN(RADIANS(('R1'!I132)))/(COS(RADIANS(Sheet1!A132))*COS(RADIANS('R1'!I132)))))</f>
        <v>-17.426129149372727</v>
      </c>
      <c r="C132">
        <f>AVERAGE('R1'!J132,'R2'!J132,'R3'!J132)</f>
        <v>1.1766666666666665</v>
      </c>
      <c r="D132">
        <f>AVERAGE('R1'!K132,'R2'!K132,'R3'!K132)</f>
        <v>19.968426583333329</v>
      </c>
      <c r="E132">
        <f>AVERAGE('R1'!L132,'R2'!L132,'R3'!L132)</f>
        <v>-1.0325372047985093</v>
      </c>
      <c r="F132">
        <f>AVERAGE('R1'!M132,'R2'!M132,'R3'!M132)</f>
        <v>-1.4253577507683266</v>
      </c>
      <c r="G132">
        <f>AVERAGE('R1'!N132,'R2'!N132,'R3'!N132)</f>
        <v>-0.48723179341995299</v>
      </c>
      <c r="H132">
        <f>AVERAGE('R1'!O132,'R2'!O132,'R3'!O132)</f>
        <v>-0.19907077586123267</v>
      </c>
      <c r="I132">
        <f t="shared" si="6"/>
        <v>3916.0303243981466</v>
      </c>
      <c r="K132">
        <f>_xlfn.STDEV.S('R1'!L132,'R2'!L132,'R3'!L132)</f>
        <v>4.5922492357362678E-3</v>
      </c>
      <c r="L132">
        <f>_xlfn.STDEV.S('R1'!M132,'R2'!M132,'R3'!M132)</f>
        <v>7.8432738521336011E-3</v>
      </c>
      <c r="M132">
        <f>_xlfn.STDEV.S('R1'!N132,'R2'!N132,'R3'!N132)</f>
        <v>6.1099666861265294E-3</v>
      </c>
      <c r="N132">
        <f>_xlfn.STDEV.S('R1'!O132,'R2'!O132,'R3'!O132)</f>
        <v>2.2658902547529601E-3</v>
      </c>
    </row>
    <row r="133" spans="1:14" x14ac:dyDescent="0.25">
      <c r="A133">
        <f>-'R1'!H133</f>
        <v>24</v>
      </c>
      <c r="B133">
        <f>DEGREES(ATAN(-SIN(RADIANS(('R1'!I133)))/(COS(RADIANS(Sheet1!A133))*COS(RADIANS('R1'!I133)))))</f>
        <v>-21.723080079379415</v>
      </c>
      <c r="C133">
        <f>AVERAGE('R1'!J133,'R2'!J133,'R3'!J133)</f>
        <v>1.1766666666666665</v>
      </c>
      <c r="D133">
        <f>AVERAGE('R1'!K133,'R2'!K133,'R3'!K133)</f>
        <v>19.937691999999998</v>
      </c>
      <c r="E133">
        <f>AVERAGE('R1'!L133,'R2'!L133,'R3'!L133)</f>
        <v>-1.2413426984902411</v>
      </c>
      <c r="F133">
        <f>AVERAGE('R1'!M133,'R2'!M133,'R3'!M133)</f>
        <v>-1.4279106024545529</v>
      </c>
      <c r="G133">
        <f>AVERAGE('R1'!N133,'R2'!N133,'R3'!N133)</f>
        <v>-0.5861491416978083</v>
      </c>
      <c r="H133">
        <f>AVERAGE('R1'!O133,'R2'!O133,'R3'!O133)</f>
        <v>-0.30481565199731658</v>
      </c>
      <c r="I133">
        <f t="shared" si="6"/>
        <v>3910.0029311111107</v>
      </c>
      <c r="K133">
        <f>_xlfn.STDEV.S('R1'!L133,'R2'!L133,'R3'!L133)</f>
        <v>6.5793708157820888E-3</v>
      </c>
      <c r="L133">
        <f>_xlfn.STDEV.S('R1'!M133,'R2'!M133,'R3'!M133)</f>
        <v>7.7216710112864607E-3</v>
      </c>
      <c r="M133">
        <f>_xlfn.STDEV.S('R1'!N133,'R2'!N133,'R3'!N133)</f>
        <v>7.1509377440170888E-3</v>
      </c>
      <c r="N133">
        <f>_xlfn.STDEV.S('R1'!O133,'R2'!O133,'R3'!O133)</f>
        <v>4.3872983332938278E-3</v>
      </c>
    </row>
    <row r="134" spans="1:14" x14ac:dyDescent="0.25">
      <c r="A134">
        <f>-'R1'!H134</f>
        <v>24</v>
      </c>
      <c r="B134">
        <f>DEGREES(ATAN(-SIN(RADIANS(('R1'!I134)))/(COS(RADIANS(Sheet1!A134))*COS(RADIANS('R1'!I134)))))</f>
        <v>-25.982912809070061</v>
      </c>
      <c r="C134">
        <f>AVERAGE('R1'!J134,'R2'!J134,'R3'!J134)</f>
        <v>1.1766666666666665</v>
      </c>
      <c r="D134">
        <f>AVERAGE('R1'!K134,'R2'!K134,'R3'!K134)</f>
        <v>20.037695750000001</v>
      </c>
      <c r="E134">
        <f>AVERAGE('R1'!L134,'R2'!L134,'R3'!L134)</f>
        <v>-1.4315966059938772</v>
      </c>
      <c r="F134">
        <f>AVERAGE('R1'!M134,'R2'!M134,'R3'!M134)</f>
        <v>-1.488395880775772</v>
      </c>
      <c r="G134">
        <f>AVERAGE('R1'!N134,'R2'!N134,'R3'!N134)</f>
        <v>-0.71281499286771177</v>
      </c>
      <c r="H134">
        <f>AVERAGE('R1'!O134,'R2'!O134,'R3'!O134)</f>
        <v>-0.45631525840160947</v>
      </c>
      <c r="I134">
        <f t="shared" si="6"/>
        <v>3929.6147776388884</v>
      </c>
      <c r="K134">
        <f>_xlfn.STDEV.S('R1'!L134,'R2'!L134,'R3'!L134)</f>
        <v>6.7343990050363223E-3</v>
      </c>
      <c r="L134">
        <f>_xlfn.STDEV.S('R1'!M134,'R2'!M134,'R3'!M134)</f>
        <v>4.7923829579732281E-3</v>
      </c>
      <c r="M134">
        <f>_xlfn.STDEV.S('R1'!N134,'R2'!N134,'R3'!N134)</f>
        <v>6.529168963033345E-3</v>
      </c>
      <c r="N134">
        <f>_xlfn.STDEV.S('R1'!O134,'R2'!O134,'R3'!O134)</f>
        <v>2.7214696089327322E-3</v>
      </c>
    </row>
    <row r="135" spans="1:14" x14ac:dyDescent="0.25">
      <c r="A135">
        <f>-'R1'!H135</f>
        <v>24</v>
      </c>
      <c r="B135">
        <f>DEGREES(ATAN(-SIN(RADIANS(('R1'!I135)))/(COS(RADIANS(Sheet1!A135))*COS(RADIANS('R1'!I135)))))</f>
        <v>-30.200622081370245</v>
      </c>
      <c r="C135">
        <f>AVERAGE('R1'!J135,'R2'!J135,'R3'!J135)</f>
        <v>1.1766666666666665</v>
      </c>
      <c r="D135">
        <f>AVERAGE('R1'!K135,'R2'!K135,'R3'!K135)</f>
        <v>20.423635916666665</v>
      </c>
      <c r="E135">
        <f>AVERAGE('R1'!L135,'R2'!L135,'R3'!L135)</f>
        <v>-1.6214500371549405</v>
      </c>
      <c r="F135">
        <f>AVERAGE('R1'!M135,'R2'!M135,'R3'!M135)</f>
        <v>-1.5682644701768134</v>
      </c>
      <c r="G135">
        <f>AVERAGE('R1'!N135,'R2'!N135,'R3'!N135)</f>
        <v>-0.8668499389322214</v>
      </c>
      <c r="H135">
        <f>AVERAGE('R1'!O135,'R2'!O135,'R3'!O135)</f>
        <v>-0.62270941618321007</v>
      </c>
      <c r="I135">
        <f t="shared" si="6"/>
        <v>4005.3019325462951</v>
      </c>
      <c r="K135">
        <f>_xlfn.STDEV.S('R1'!L135,'R2'!L135,'R3'!L135)</f>
        <v>1.6651795421474925E-2</v>
      </c>
      <c r="L135">
        <f>_xlfn.STDEV.S('R1'!M135,'R2'!M135,'R3'!M135)</f>
        <v>1.2002426132409826E-2</v>
      </c>
      <c r="M135">
        <f>_xlfn.STDEV.S('R1'!N135,'R2'!N135,'R3'!N135)</f>
        <v>1.8203008542068126E-2</v>
      </c>
      <c r="N135">
        <f>_xlfn.STDEV.S('R1'!O135,'R2'!O135,'R3'!O135)</f>
        <v>8.6208689292516238E-3</v>
      </c>
    </row>
    <row r="136" spans="1:14" x14ac:dyDescent="0.25">
      <c r="A136">
        <f>-'R1'!H136</f>
        <v>24</v>
      </c>
      <c r="B136">
        <f>DEGREES(ATAN(-SIN(RADIANS(('R1'!I136)))/(COS(RADIANS(Sheet1!A136))*COS(RADIANS('R1'!I136)))))</f>
        <v>-34.372309890771753</v>
      </c>
      <c r="C136">
        <f>AVERAGE('R1'!J136,'R2'!J136,'R3'!J136)</f>
        <v>1.1766666666666665</v>
      </c>
      <c r="D136">
        <f>AVERAGE('R1'!K136,'R2'!K136,'R3'!K136)</f>
        <v>20.667906000000002</v>
      </c>
      <c r="E136">
        <f>AVERAGE('R1'!L136,'R2'!L136,'R3'!L136)</f>
        <v>-1.8333267419812278</v>
      </c>
      <c r="F136">
        <f>AVERAGE('R1'!M136,'R2'!M136,'R3'!M136)</f>
        <v>-1.6747044337581058</v>
      </c>
      <c r="G136">
        <f>AVERAGE('R1'!N136,'R2'!N136,'R3'!N136)</f>
        <v>-1.0610040845238811</v>
      </c>
      <c r="H136">
        <f>AVERAGE('R1'!O136,'R2'!O136,'R3'!O136)</f>
        <v>-0.81064893140705818</v>
      </c>
      <c r="I136">
        <f t="shared" si="6"/>
        <v>4053.2060099999999</v>
      </c>
      <c r="K136">
        <f>_xlfn.STDEV.S('R1'!L136,'R2'!L136,'R3'!L136)</f>
        <v>1.2766832123697459E-2</v>
      </c>
      <c r="L136">
        <f>_xlfn.STDEV.S('R1'!M136,'R2'!M136,'R3'!M136)</f>
        <v>1.1431326223280424E-2</v>
      </c>
      <c r="M136">
        <f>_xlfn.STDEV.S('R1'!N136,'R2'!N136,'R3'!N136)</f>
        <v>1.47860304160437E-2</v>
      </c>
      <c r="N136">
        <f>_xlfn.STDEV.S('R1'!O136,'R2'!O136,'R3'!O136)</f>
        <v>4.5018232445075768E-3</v>
      </c>
    </row>
    <row r="137" spans="1:14" x14ac:dyDescent="0.25">
      <c r="A137">
        <f>-'R1'!H137</f>
        <v>24</v>
      </c>
      <c r="B137">
        <f>DEGREES(ATAN(-SIN(RADIANS(('R1'!I137)))/(COS(RADIANS(Sheet1!A137))*COS(RADIANS('R1'!I137)))))</f>
        <v>-38.495223358359183</v>
      </c>
      <c r="C137">
        <f>AVERAGE('R1'!J137,'R2'!J137,'R3'!J137)</f>
        <v>1.1766666666666665</v>
      </c>
      <c r="D137">
        <f>AVERAGE('R1'!K137,'R2'!K137,'R3'!K137)</f>
        <v>20.872429750000002</v>
      </c>
      <c r="E137">
        <f>AVERAGE('R1'!L137,'R2'!L137,'R3'!L137)</f>
        <v>-2.073031644198597</v>
      </c>
      <c r="F137">
        <f>AVERAGE('R1'!M137,'R2'!M137,'R3'!M137)</f>
        <v>-1.8163450076818386</v>
      </c>
      <c r="G137">
        <f>AVERAGE('R1'!N137,'R2'!N137,'R3'!N137)</f>
        <v>-1.3095672096423814</v>
      </c>
      <c r="H137">
        <f>AVERAGE('R1'!O137,'R2'!O137,'R3'!O137)</f>
        <v>-1.022777946025814</v>
      </c>
      <c r="I137">
        <f t="shared" si="6"/>
        <v>4093.3153898611108</v>
      </c>
      <c r="K137">
        <f>_xlfn.STDEV.S('R1'!L137,'R2'!L137,'R3'!L137)</f>
        <v>1.5708306921148846E-2</v>
      </c>
      <c r="L137">
        <f>_xlfn.STDEV.S('R1'!M137,'R2'!M137,'R3'!M137)</f>
        <v>1.2157425430298364E-2</v>
      </c>
      <c r="M137">
        <f>_xlfn.STDEV.S('R1'!N137,'R2'!N137,'R3'!N137)</f>
        <v>1.7242257804942852E-2</v>
      </c>
      <c r="N137">
        <f>_xlfn.STDEV.S('R1'!O137,'R2'!O137,'R3'!O137)</f>
        <v>1.0922089842346083E-2</v>
      </c>
    </row>
    <row r="138" spans="1:14" x14ac:dyDescent="0.25">
      <c r="A138">
        <f>-'R1'!H138</f>
        <v>24</v>
      </c>
      <c r="B138">
        <f>DEGREES(ATAN(-SIN(RADIANS(('R1'!I138)))/(COS(RADIANS(Sheet1!A138))*COS(RADIANS('R1'!I138)))))</f>
        <v>-42.567751063132313</v>
      </c>
      <c r="C138">
        <f>AVERAGE('R1'!J138,'R2'!J138,'R3'!J138)</f>
        <v>1.1758333333333333</v>
      </c>
      <c r="D138">
        <f>AVERAGE('R1'!K138,'R2'!K138,'R3'!K138)</f>
        <v>21.166509166666668</v>
      </c>
      <c r="E138">
        <f>AVERAGE('R1'!L138,'R2'!L138,'R3'!L138)</f>
        <v>-2.3761152119358329</v>
      </c>
      <c r="F138">
        <f>AVERAGE('R1'!M138,'R2'!M138,'R3'!M138)</f>
        <v>-2.0073086443553012</v>
      </c>
      <c r="G138">
        <f>AVERAGE('R1'!N138,'R2'!N138,'R3'!N138)</f>
        <v>-1.6436337568294854</v>
      </c>
      <c r="H138">
        <f>AVERAGE('R1'!O138,'R2'!O138,'R3'!O138)</f>
        <v>-1.2805601077419635</v>
      </c>
      <c r="I138">
        <f t="shared" si="6"/>
        <v>4148.0478380787035</v>
      </c>
      <c r="K138">
        <f>_xlfn.STDEV.S('R1'!L138,'R2'!L138,'R3'!L138)</f>
        <v>2.2391859967761465E-2</v>
      </c>
      <c r="L138">
        <f>_xlfn.STDEV.S('R1'!M138,'R2'!M138,'R3'!M138)</f>
        <v>1.9614311276520923E-2</v>
      </c>
      <c r="M138">
        <f>_xlfn.STDEV.S('R1'!N138,'R2'!N138,'R3'!N138)</f>
        <v>2.9715364982108975E-2</v>
      </c>
      <c r="N138">
        <f>_xlfn.STDEV.S('R1'!O138,'R2'!O138,'R3'!O138)</f>
        <v>1.1622376803603592E-2</v>
      </c>
    </row>
    <row r="139" spans="1:14" x14ac:dyDescent="0.25">
      <c r="A139">
        <f>-'R1'!H139</f>
        <v>24</v>
      </c>
      <c r="B139">
        <f>DEGREES(ATAN(-SIN(RADIANS(('R1'!I139)))/(COS(RADIANS(Sheet1!A139))*COS(RADIANS('R1'!I139)))))</f>
        <v>-46.589384435425394</v>
      </c>
      <c r="C139">
        <f>AVERAGE('R1'!J139,'R2'!J139,'R3'!J139)</f>
        <v>1.1749999999999998</v>
      </c>
      <c r="D139">
        <f>AVERAGE('R1'!K139,'R2'!K139,'R3'!K139)</f>
        <v>21.462000833333335</v>
      </c>
      <c r="E139">
        <f>AVERAGE('R1'!L139,'R2'!L139,'R3'!L139)</f>
        <v>-2.7418282195298231</v>
      </c>
      <c r="F139">
        <f>AVERAGE('R1'!M139,'R2'!M139,'R3'!M139)</f>
        <v>-2.2432726936155092</v>
      </c>
      <c r="G139">
        <f>AVERAGE('R1'!N139,'R2'!N139,'R3'!N139)</f>
        <v>-2.0641933954954075</v>
      </c>
      <c r="H139">
        <f>AVERAGE('R1'!O139,'R2'!O139,'R3'!O139)</f>
        <v>-1.5875290979267049</v>
      </c>
      <c r="I139">
        <f t="shared" si="6"/>
        <v>4202.9751631944437</v>
      </c>
      <c r="K139">
        <f>_xlfn.STDEV.S('R1'!L139,'R2'!L139,'R3'!L139)</f>
        <v>1.5686520091480614E-2</v>
      </c>
      <c r="L139">
        <f>_xlfn.STDEV.S('R1'!M139,'R2'!M139,'R3'!M139)</f>
        <v>1.948858080927051E-2</v>
      </c>
      <c r="M139">
        <f>_xlfn.STDEV.S('R1'!N139,'R2'!N139,'R3'!N139)</f>
        <v>1.9074553383155675E-2</v>
      </c>
      <c r="N139">
        <f>_xlfn.STDEV.S('R1'!O139,'R2'!O139,'R3'!O139)</f>
        <v>1.0160469420501179E-2</v>
      </c>
    </row>
    <row r="140" spans="1:14" x14ac:dyDescent="0.25">
      <c r="A140">
        <f>-'R1'!H140</f>
        <v>20</v>
      </c>
      <c r="B140">
        <f>DEGREES(ATAN(-SIN(RADIANS(('R1'!I140)))/(COS(RADIANS(Sheet1!A140))*COS(RADIANS('R1'!I140)))))</f>
        <v>45.781668962964282</v>
      </c>
      <c r="C140">
        <f>AVERAGE('R1'!J140,'R2'!J140,'R3'!J140)</f>
        <v>1.1766666666666665</v>
      </c>
      <c r="D140">
        <f>AVERAGE('R1'!K140,'R2'!K140,'R3'!K140)</f>
        <v>21.475501416666663</v>
      </c>
      <c r="E140">
        <f>AVERAGE('R1'!L140,'R2'!L140,'R3'!L140)</f>
        <v>2.0344240081158245</v>
      </c>
      <c r="F140">
        <f>AVERAGE('R1'!M140,'R2'!M140,'R3'!M140)</f>
        <v>-1.5294328993158295</v>
      </c>
      <c r="G140">
        <f>AVERAGE('R1'!N140,'R2'!N140,'R3'!N140)</f>
        <v>-1.2120985211997786</v>
      </c>
      <c r="H140">
        <f>AVERAGE('R1'!O140,'R2'!O140,'R3'!O140)</f>
        <v>-1.1409401711055749</v>
      </c>
      <c r="I140">
        <f t="shared" si="6"/>
        <v>4211.5844444907398</v>
      </c>
      <c r="K140">
        <f>_xlfn.STDEV.S('R1'!L140,'R2'!L140,'R3'!L140)</f>
        <v>1.803267916969384E-3</v>
      </c>
      <c r="L140">
        <f>_xlfn.STDEV.S('R1'!M140,'R2'!M140,'R3'!M140)</f>
        <v>2.6625974282849679E-3</v>
      </c>
      <c r="M140">
        <f>_xlfn.STDEV.S('R1'!N140,'R2'!N140,'R3'!N140)</f>
        <v>4.5723021609084319E-3</v>
      </c>
      <c r="N140">
        <f>_xlfn.STDEV.S('R1'!O140,'R2'!O140,'R3'!O140)</f>
        <v>6.1708156634308691E-4</v>
      </c>
    </row>
    <row r="141" spans="1:14" x14ac:dyDescent="0.25">
      <c r="A141">
        <f>-'R1'!H141</f>
        <v>20</v>
      </c>
      <c r="B141">
        <f>DEGREES(ATAN(-SIN(RADIANS(('R1'!I141)))/(COS(RADIANS(Sheet1!A141))*COS(RADIANS('R1'!I141)))))</f>
        <v>41.763297417742614</v>
      </c>
      <c r="C141">
        <f>AVERAGE('R1'!J141,'R2'!J141,'R3'!J141)</f>
        <v>1.1766666666666665</v>
      </c>
      <c r="D141">
        <f>AVERAGE('R1'!K141,'R2'!K141,'R3'!K141)</f>
        <v>21.259590583333335</v>
      </c>
      <c r="E141">
        <f>AVERAGE('R1'!L141,'R2'!L141,'R3'!L141)</f>
        <v>1.8747424956244416</v>
      </c>
      <c r="F141">
        <f>AVERAGE('R1'!M141,'R2'!M141,'R3'!M141)</f>
        <v>-1.4329395552596409</v>
      </c>
      <c r="G141">
        <f>AVERAGE('R1'!N141,'R2'!N141,'R3'!N141)</f>
        <v>-1.0124659430415841</v>
      </c>
      <c r="H141">
        <f>AVERAGE('R1'!O141,'R2'!O141,'R3'!O141)</f>
        <v>-0.95845800823423299</v>
      </c>
      <c r="I141">
        <f t="shared" si="6"/>
        <v>4169.2419310648147</v>
      </c>
      <c r="K141">
        <f>_xlfn.STDEV.S('R1'!L141,'R2'!L141,'R3'!L141)</f>
        <v>5.9527984824298127E-3</v>
      </c>
      <c r="L141">
        <f>_xlfn.STDEV.S('R1'!M141,'R2'!M141,'R3'!M141)</f>
        <v>4.7701221953074836E-3</v>
      </c>
      <c r="M141">
        <f>_xlfn.STDEV.S('R1'!N141,'R2'!N141,'R3'!N141)</f>
        <v>7.2203042439260524E-3</v>
      </c>
      <c r="N141">
        <f>_xlfn.STDEV.S('R1'!O141,'R2'!O141,'R3'!O141)</f>
        <v>3.025713796062859E-3</v>
      </c>
    </row>
    <row r="142" spans="1:14" x14ac:dyDescent="0.25">
      <c r="A142">
        <f>-'R1'!H142</f>
        <v>20</v>
      </c>
      <c r="B142">
        <f>DEGREES(ATAN(-SIN(RADIANS(('R1'!I142)))/(COS(RADIANS(Sheet1!A142))*COS(RADIANS('R1'!I142)))))</f>
        <v>37.710134449764993</v>
      </c>
      <c r="C142">
        <f>AVERAGE('R1'!J142,'R2'!J142,'R3'!J142)</f>
        <v>1.1766666666666665</v>
      </c>
      <c r="D142">
        <f>AVERAGE('R1'!K142,'R2'!K142,'R3'!K142)</f>
        <v>21.049414083333335</v>
      </c>
      <c r="E142">
        <f>AVERAGE('R1'!L142,'R2'!L142,'R3'!L142)</f>
        <v>1.7350519905573216</v>
      </c>
      <c r="F142">
        <f>AVERAGE('R1'!M142,'R2'!M142,'R3'!M142)</f>
        <v>-1.3497164562133903</v>
      </c>
      <c r="G142">
        <f>AVERAGE('R1'!N142,'R2'!N142,'R3'!N142)</f>
        <v>-0.85041910234961016</v>
      </c>
      <c r="H142">
        <f>AVERAGE('R1'!O142,'R2'!O142,'R3'!O142)</f>
        <v>-0.78729159304802998</v>
      </c>
      <c r="I142">
        <f t="shared" si="6"/>
        <v>4128.0239841203711</v>
      </c>
      <c r="K142">
        <f>_xlfn.STDEV.S('R1'!L142,'R2'!L142,'R3'!L142)</f>
        <v>2.5112130915661704E-3</v>
      </c>
      <c r="L142">
        <f>_xlfn.STDEV.S('R1'!M142,'R2'!M142,'R3'!M142)</f>
        <v>1.5787624382184123E-3</v>
      </c>
      <c r="M142">
        <f>_xlfn.STDEV.S('R1'!N142,'R2'!N142,'R3'!N142)</f>
        <v>4.8828326436293401E-3</v>
      </c>
      <c r="N142">
        <f>_xlfn.STDEV.S('R1'!O142,'R2'!O142,'R3'!O142)</f>
        <v>3.8056234806133527E-3</v>
      </c>
    </row>
    <row r="143" spans="1:14" x14ac:dyDescent="0.25">
      <c r="A143">
        <f>-'R1'!H143</f>
        <v>20</v>
      </c>
      <c r="B143">
        <f>DEGREES(ATAN(-SIN(RADIANS(('R1'!I143)))/(COS(RADIANS(Sheet1!A143))*COS(RADIANS('R1'!I143)))))</f>
        <v>33.622796746730245</v>
      </c>
      <c r="C143">
        <f>AVERAGE('R1'!J143,'R2'!J143,'R3'!J143)</f>
        <v>1.1733333333333331</v>
      </c>
      <c r="D143">
        <f>AVERAGE('R1'!K143,'R2'!K143,'R3'!K143)</f>
        <v>20.924306166666664</v>
      </c>
      <c r="E143">
        <f>AVERAGE('R1'!L143,'R2'!L143,'R3'!L143)</f>
        <v>1.6094380590740422</v>
      </c>
      <c r="F143">
        <f>AVERAGE('R1'!M143,'R2'!M143,'R3'!M143)</f>
        <v>-1.2744205233808319</v>
      </c>
      <c r="G143">
        <f>AVERAGE('R1'!N143,'R2'!N143,'R3'!N143)</f>
        <v>-0.71504501449622104</v>
      </c>
      <c r="H143">
        <f>AVERAGE('R1'!O143,'R2'!O143,'R3'!O143)</f>
        <v>-0.62451854976069787</v>
      </c>
      <c r="I143">
        <f t="shared" si="6"/>
        <v>4091.864317037036</v>
      </c>
      <c r="K143">
        <f>_xlfn.STDEV.S('R1'!L143,'R2'!L143,'R3'!L143)</f>
        <v>2.106004670471456E-3</v>
      </c>
      <c r="L143">
        <f>_xlfn.STDEV.S('R1'!M143,'R2'!M143,'R3'!M143)</f>
        <v>2.4656804333954094E-3</v>
      </c>
      <c r="M143">
        <f>_xlfn.STDEV.S('R1'!N143,'R2'!N143,'R3'!N143)</f>
        <v>2.2754652221688401E-3</v>
      </c>
      <c r="N143">
        <f>_xlfn.STDEV.S('R1'!O143,'R2'!O143,'R3'!O143)</f>
        <v>1.644756675944633E-3</v>
      </c>
    </row>
    <row r="144" spans="1:14" x14ac:dyDescent="0.25">
      <c r="A144">
        <f>-'R1'!H144</f>
        <v>20</v>
      </c>
      <c r="B144">
        <f>DEGREES(ATAN(-SIN(RADIANS(('R1'!I144)))/(COS(RADIANS(Sheet1!A144))*COS(RADIANS('R1'!I144)))))</f>
        <v>29.502629281345779</v>
      </c>
      <c r="C144">
        <f>AVERAGE('R1'!J144,'R2'!J144,'R3'!J144)</f>
        <v>1.1766666666666665</v>
      </c>
      <c r="D144">
        <f>AVERAGE('R1'!K144,'R2'!K144,'R3'!K144)</f>
        <v>20.76574325</v>
      </c>
      <c r="E144">
        <f>AVERAGE('R1'!L144,'R2'!L144,'R3'!L144)</f>
        <v>1.449877234626161</v>
      </c>
      <c r="F144">
        <f>AVERAGE('R1'!M144,'R2'!M144,'R3'!M144)</f>
        <v>-1.2342311370168719</v>
      </c>
      <c r="G144">
        <f>AVERAGE('R1'!N144,'R2'!N144,'R3'!N144)</f>
        <v>-0.59009061799768214</v>
      </c>
      <c r="H144">
        <f>AVERAGE('R1'!O144,'R2'!O144,'R3'!O144)</f>
        <v>-0.46915962758034951</v>
      </c>
      <c r="I144">
        <f t="shared" si="6"/>
        <v>4072.3929818055544</v>
      </c>
      <c r="K144">
        <f>_xlfn.STDEV.S('R1'!L144,'R2'!L144,'R3'!L144)</f>
        <v>4.1578430141844206E-3</v>
      </c>
      <c r="L144">
        <f>_xlfn.STDEV.S('R1'!M144,'R2'!M144,'R3'!M144)</f>
        <v>3.1233077568409476E-3</v>
      </c>
      <c r="M144">
        <f>_xlfn.STDEV.S('R1'!N144,'R2'!N144,'R3'!N144)</f>
        <v>3.9509417396536095E-3</v>
      </c>
      <c r="N144">
        <f>_xlfn.STDEV.S('R1'!O144,'R2'!O144,'R3'!O144)</f>
        <v>2.5149857792113352E-3</v>
      </c>
    </row>
    <row r="145" spans="1:14" x14ac:dyDescent="0.25">
      <c r="A145">
        <f>-'R1'!H145</f>
        <v>20</v>
      </c>
      <c r="B145">
        <f>DEGREES(ATAN(-SIN(RADIANS(('R1'!I145)))/(COS(RADIANS(Sheet1!A145))*COS(RADIANS('R1'!I145)))))</f>
        <v>25.351709771061881</v>
      </c>
      <c r="C145">
        <f>AVERAGE('R1'!J145,'R2'!J145,'R3'!J145)</f>
        <v>1.1733333333333331</v>
      </c>
      <c r="D145">
        <f>AVERAGE('R1'!K145,'R2'!K145,'R3'!K145)</f>
        <v>20.675485916666666</v>
      </c>
      <c r="E145">
        <f>AVERAGE('R1'!L145,'R2'!L145,'R3'!L145)</f>
        <v>1.2811273582553879</v>
      </c>
      <c r="F145">
        <f>AVERAGE('R1'!M145,'R2'!M145,'R3'!M145)</f>
        <v>-1.2400160637626096</v>
      </c>
      <c r="G145">
        <f>AVERAGE('R1'!N145,'R2'!N145,'R3'!N145)</f>
        <v>-0.50535714511631291</v>
      </c>
      <c r="H145">
        <f>AVERAGE('R1'!O145,'R2'!O145,'R3'!O145)</f>
        <v>-0.30938233532145226</v>
      </c>
      <c r="I145">
        <f t="shared" si="6"/>
        <v>4043.206134814814</v>
      </c>
      <c r="K145">
        <f>_xlfn.STDEV.S('R1'!L145,'R2'!L145,'R3'!L145)</f>
        <v>3.5570444285914827E-3</v>
      </c>
      <c r="L145">
        <f>_xlfn.STDEV.S('R1'!M145,'R2'!M145,'R3'!M145)</f>
        <v>9.0035516614068809E-3</v>
      </c>
      <c r="M145">
        <f>_xlfn.STDEV.S('R1'!N145,'R2'!N145,'R3'!N145)</f>
        <v>5.0398163107420769E-3</v>
      </c>
      <c r="N145">
        <f>_xlfn.STDEV.S('R1'!O145,'R2'!O145,'R3'!O145)</f>
        <v>3.1762010786203263E-4</v>
      </c>
    </row>
    <row r="146" spans="1:14" x14ac:dyDescent="0.25">
      <c r="A146">
        <f>-'R1'!H146</f>
        <v>20</v>
      </c>
      <c r="B146">
        <f>DEGREES(ATAN(-SIN(RADIANS(('R1'!I146)))/(COS(RADIANS(Sheet1!A146))*COS(RADIANS('R1'!I146)))))</f>
        <v>21.172832185162978</v>
      </c>
      <c r="C146">
        <f>AVERAGE('R1'!J146,'R2'!J146,'R3'!J146)</f>
        <v>1.1749999999999998</v>
      </c>
      <c r="D146">
        <f>AVERAGE('R1'!K146,'R2'!K146,'R3'!K146)</f>
        <v>20.578879000000001</v>
      </c>
      <c r="E146">
        <f>AVERAGE('R1'!L146,'R2'!L146,'R3'!L146)</f>
        <v>1.0570173544609276</v>
      </c>
      <c r="F146">
        <f>AVERAGE('R1'!M146,'R2'!M146,'R3'!M146)</f>
        <v>-1.2830604393869267</v>
      </c>
      <c r="G146">
        <f>AVERAGE('R1'!N146,'R2'!N146,'R3'!N146)</f>
        <v>-0.41908007617594262</v>
      </c>
      <c r="H146">
        <f>AVERAGE('R1'!O146,'R2'!O146,'R3'!O146)</f>
        <v>-0.16014697742739581</v>
      </c>
      <c r="I146">
        <f t="shared" si="6"/>
        <v>4030.0304708333329</v>
      </c>
      <c r="K146">
        <f>_xlfn.STDEV.S('R1'!L146,'R2'!L146,'R3'!L146)</f>
        <v>3.6405199426845277E-3</v>
      </c>
      <c r="L146">
        <f>_xlfn.STDEV.S('R1'!M146,'R2'!M146,'R3'!M146)</f>
        <v>2.5037968361859269E-3</v>
      </c>
      <c r="M146">
        <f>_xlfn.STDEV.S('R1'!N146,'R2'!N146,'R3'!N146)</f>
        <v>4.1888221319189272E-3</v>
      </c>
      <c r="N146">
        <f>_xlfn.STDEV.S('R1'!O146,'R2'!O146,'R3'!O146)</f>
        <v>6.5842077688444084E-4</v>
      </c>
    </row>
    <row r="147" spans="1:14" x14ac:dyDescent="0.25">
      <c r="A147">
        <f>-'R1'!H147</f>
        <v>20</v>
      </c>
      <c r="B147">
        <f>DEGREES(ATAN(-SIN(RADIANS(('R1'!I147)))/(COS(RADIANS(Sheet1!A147))*COS(RADIANS('R1'!I147)))))</f>
        <v>16.969467099429082</v>
      </c>
      <c r="C147">
        <f>AVERAGE('R1'!J147,'R2'!J147,'R3'!J147)</f>
        <v>1.1766666666666665</v>
      </c>
      <c r="D147">
        <f>AVERAGE('R1'!K147,'R2'!K147,'R3'!K147)</f>
        <v>20.454074833333333</v>
      </c>
      <c r="E147">
        <f>AVERAGE('R1'!L147,'R2'!L147,'R3'!L147)</f>
        <v>0.86242980858715657</v>
      </c>
      <c r="F147">
        <f>AVERAGE('R1'!M147,'R2'!M147,'R3'!M147)</f>
        <v>-1.3062395333463059</v>
      </c>
      <c r="G147">
        <f>AVERAGE('R1'!N147,'R2'!N147,'R3'!N147)</f>
        <v>-0.35299048707150754</v>
      </c>
      <c r="H147">
        <f>AVERAGE('R1'!O147,'R2'!O147,'R3'!O147)</f>
        <v>-4.0102341184669876E-2</v>
      </c>
      <c r="I147">
        <f t="shared" si="6"/>
        <v>4011.2713423148143</v>
      </c>
      <c r="K147">
        <f>_xlfn.STDEV.S('R1'!L147,'R2'!L147,'R3'!L147)</f>
        <v>1.7358921550920028E-3</v>
      </c>
      <c r="L147">
        <f>_xlfn.STDEV.S('R1'!M147,'R2'!M147,'R3'!M147)</f>
        <v>5.735261788222203E-3</v>
      </c>
      <c r="M147">
        <f>_xlfn.STDEV.S('R1'!N147,'R2'!N147,'R3'!N147)</f>
        <v>3.1952796184967348E-3</v>
      </c>
      <c r="N147">
        <f>_xlfn.STDEV.S('R1'!O147,'R2'!O147,'R3'!O147)</f>
        <v>2.9157517348138828E-3</v>
      </c>
    </row>
    <row r="148" spans="1:14" x14ac:dyDescent="0.25">
      <c r="A148">
        <f>-'R1'!H148</f>
        <v>20</v>
      </c>
      <c r="B148">
        <f>DEGREES(ATAN(-SIN(RADIANS(('R1'!I148)))/(COS(RADIANS(Sheet1!A148))*COS(RADIANS('R1'!I148)))))</f>
        <v>12.745697846757086</v>
      </c>
      <c r="C148">
        <f>AVERAGE('R1'!J148,'R2'!J148,'R3'!J148)</f>
        <v>1.1758333333333333</v>
      </c>
      <c r="D148">
        <f>AVERAGE('R1'!K148,'R2'!K148,'R3'!K148)</f>
        <v>20.368686416666666</v>
      </c>
      <c r="E148">
        <f>AVERAGE('R1'!L148,'R2'!L148,'R3'!L148)</f>
        <v>0.66300345259881122</v>
      </c>
      <c r="F148">
        <f>AVERAGE('R1'!M148,'R2'!M148,'R3'!M148)</f>
        <v>-1.3354041908420635</v>
      </c>
      <c r="G148">
        <f>AVERAGE('R1'!N148,'R2'!N148,'R3'!N148)</f>
        <v>-0.30234722259697761</v>
      </c>
      <c r="H148">
        <f>AVERAGE('R1'!O148,'R2'!O148,'R3'!O148)</f>
        <v>5.8714030360694468E-2</v>
      </c>
      <c r="I148">
        <f t="shared" si="6"/>
        <v>3991.6967408217588</v>
      </c>
      <c r="K148">
        <f>_xlfn.STDEV.S('R1'!L148,'R2'!L148,'R3'!L148)</f>
        <v>3.1305341528753707E-3</v>
      </c>
      <c r="L148">
        <f>_xlfn.STDEV.S('R1'!M148,'R2'!M148,'R3'!M148)</f>
        <v>2.8521205325704943E-3</v>
      </c>
      <c r="M148">
        <f>_xlfn.STDEV.S('R1'!N148,'R2'!N148,'R3'!N148)</f>
        <v>2.6212322505925834E-3</v>
      </c>
      <c r="N148">
        <f>_xlfn.STDEV.S('R1'!O148,'R2'!O148,'R3'!O148)</f>
        <v>2.0638662354605041E-3</v>
      </c>
    </row>
    <row r="149" spans="1:14" x14ac:dyDescent="0.25">
      <c r="A149">
        <f>-'R1'!H149</f>
        <v>20</v>
      </c>
      <c r="B149">
        <f>DEGREES(ATAN(-SIN(RADIANS(('R1'!I149)))/(COS(RADIANS(Sheet1!A149))*COS(RADIANS('R1'!I149)))))</f>
        <v>8.5061328568771426</v>
      </c>
      <c r="C149">
        <f>AVERAGE('R1'!J149,'R2'!J149,'R3'!J149)</f>
        <v>1.1766666666666665</v>
      </c>
      <c r="D149">
        <f>AVERAGE('R1'!K149,'R2'!K149,'R3'!K149)</f>
        <v>20.303357916666666</v>
      </c>
      <c r="E149">
        <f>AVERAGE('R1'!L149,'R2'!L149,'R3'!L149)</f>
        <v>0.43838203291527417</v>
      </c>
      <c r="F149">
        <f>AVERAGE('R1'!M149,'R2'!M149,'R3'!M149)</f>
        <v>-1.4009592039233747</v>
      </c>
      <c r="G149">
        <f>AVERAGE('R1'!N149,'R2'!N149,'R3'!N149)</f>
        <v>-0.2774028003818923</v>
      </c>
      <c r="H149">
        <f>AVERAGE('R1'!O149,'R2'!O149,'R3'!O149)</f>
        <v>0.13885323140839664</v>
      </c>
      <c r="I149">
        <f t="shared" si="6"/>
        <v>3981.7140803240732</v>
      </c>
      <c r="K149">
        <f>_xlfn.STDEV.S('R1'!L149,'R2'!L149,'R3'!L149)</f>
        <v>3.8536860573633292E-3</v>
      </c>
      <c r="L149">
        <f>_xlfn.STDEV.S('R1'!M149,'R2'!M149,'R3'!M149)</f>
        <v>7.3290521703249945E-3</v>
      </c>
      <c r="M149">
        <f>_xlfn.STDEV.S('R1'!N149,'R2'!N149,'R3'!N149)</f>
        <v>2.3116168240482193E-3</v>
      </c>
      <c r="N149">
        <f>_xlfn.STDEV.S('R1'!O149,'R2'!O149,'R3'!O149)</f>
        <v>4.0038789230883842E-3</v>
      </c>
    </row>
    <row r="150" spans="1:14" x14ac:dyDescent="0.25">
      <c r="A150">
        <f>-'R1'!H150</f>
        <v>20</v>
      </c>
      <c r="B150">
        <f>DEGREES(ATAN(-SIN(RADIANS(('R1'!I150)))/(COS(RADIANS(Sheet1!A150))*COS(RADIANS('R1'!I150)))))</f>
        <v>4.2557962016512016</v>
      </c>
      <c r="C150">
        <f>AVERAGE('R1'!J150,'R2'!J150,'R3'!J150)</f>
        <v>1.1758333333333333</v>
      </c>
      <c r="D150">
        <f>AVERAGE('R1'!K150,'R2'!K150,'R3'!K150)</f>
        <v>20.198124333333336</v>
      </c>
      <c r="E150">
        <f>AVERAGE('R1'!L150,'R2'!L150,'R3'!L150)</f>
        <v>0.19862548984541584</v>
      </c>
      <c r="F150">
        <f>AVERAGE('R1'!M150,'R2'!M150,'R3'!M150)</f>
        <v>-1.4823821375090844</v>
      </c>
      <c r="G150">
        <f>AVERAGE('R1'!N150,'R2'!N150,'R3'!N150)</f>
        <v>-0.26933319882977508</v>
      </c>
      <c r="H150">
        <f>AVERAGE('R1'!O150,'R2'!O150,'R3'!O150)</f>
        <v>0.21601092970205918</v>
      </c>
      <c r="I150">
        <f t="shared" si="6"/>
        <v>3958.2713103240744</v>
      </c>
      <c r="K150">
        <f>_xlfn.STDEV.S('R1'!L150,'R2'!L150,'R3'!L150)</f>
        <v>2.8464125565786013E-3</v>
      </c>
      <c r="L150">
        <f>_xlfn.STDEV.S('R1'!M150,'R2'!M150,'R3'!M150)</f>
        <v>9.2976461836491737E-3</v>
      </c>
      <c r="M150">
        <f>_xlfn.STDEV.S('R1'!N150,'R2'!N150,'R3'!N150)</f>
        <v>6.4701671370541404E-3</v>
      </c>
      <c r="N150">
        <f>_xlfn.STDEV.S('R1'!O150,'R2'!O150,'R3'!O150)</f>
        <v>1.4865616106438562E-3</v>
      </c>
    </row>
    <row r="151" spans="1:14" x14ac:dyDescent="0.25">
      <c r="A151">
        <f>-'R1'!H151</f>
        <v>20</v>
      </c>
      <c r="B151">
        <f>DEGREES(ATAN(-SIN(RADIANS(('R1'!I151)))/(COS(RADIANS(Sheet1!A151))*COS(RADIANS('R1'!I151)))))</f>
        <v>0</v>
      </c>
      <c r="C151">
        <f>AVERAGE('R1'!J151,'R2'!J151,'R3'!J151)</f>
        <v>1.1766666666666665</v>
      </c>
      <c r="D151">
        <f>AVERAGE('R1'!K151,'R2'!K151,'R3'!K151)</f>
        <v>20.428124749999998</v>
      </c>
      <c r="E151">
        <f>AVERAGE('R1'!L151,'R2'!L151,'R3'!L151)</f>
        <v>-7.2076663514262326E-2</v>
      </c>
      <c r="F151">
        <f>AVERAGE('R1'!M151,'R2'!M151,'R3'!M151)</f>
        <v>-1.5225722118959837</v>
      </c>
      <c r="G151">
        <f>AVERAGE('R1'!N151,'R2'!N151,'R3'!N151)</f>
        <v>-0.27000444145483149</v>
      </c>
      <c r="H151">
        <f>AVERAGE('R1'!O151,'R2'!O151,'R3'!O151)</f>
        <v>0.25575025200857754</v>
      </c>
      <c r="I151">
        <f t="shared" si="6"/>
        <v>4006.1822426388881</v>
      </c>
      <c r="K151">
        <f>_xlfn.STDEV.S('R1'!L151,'R2'!L151,'R3'!L151)</f>
        <v>5.3381034357686706E-3</v>
      </c>
      <c r="L151">
        <f>_xlfn.STDEV.S('R1'!M151,'R2'!M151,'R3'!M151)</f>
        <v>4.1006065486890149E-3</v>
      </c>
      <c r="M151">
        <f>_xlfn.STDEV.S('R1'!N151,'R2'!N151,'R3'!N151)</f>
        <v>3.5577506127474979E-3</v>
      </c>
      <c r="N151">
        <f>_xlfn.STDEV.S('R1'!O151,'R2'!O151,'R3'!O151)</f>
        <v>3.1284423647384911E-3</v>
      </c>
    </row>
    <row r="152" spans="1:14" x14ac:dyDescent="0.25">
      <c r="A152">
        <f>-'R1'!H152</f>
        <v>20</v>
      </c>
      <c r="B152">
        <f>DEGREES(ATAN(-SIN(RADIANS(('R1'!I152)))/(COS(RADIANS(Sheet1!A152))*COS(RADIANS('R1'!I152)))))</f>
        <v>-4.2557962016512016</v>
      </c>
      <c r="C152">
        <f>AVERAGE('R1'!J152,'R2'!J152,'R3'!J152)</f>
        <v>1.1766666666666665</v>
      </c>
      <c r="D152">
        <f>AVERAGE('R1'!K152,'R2'!K152,'R3'!K152)</f>
        <v>20.803712666666666</v>
      </c>
      <c r="E152">
        <f>AVERAGE('R1'!L152,'R2'!L152,'R3'!L152)</f>
        <v>-0.32736695778813479</v>
      </c>
      <c r="F152">
        <f>AVERAGE('R1'!M152,'R2'!M152,'R3'!M152)</f>
        <v>-1.4156630841194666</v>
      </c>
      <c r="G152">
        <f>AVERAGE('R1'!N152,'R2'!N152,'R3'!N152)</f>
        <v>-0.2548208294014947</v>
      </c>
      <c r="H152">
        <f>AVERAGE('R1'!O152,'R2'!O152,'R3'!O152)</f>
        <v>0.17892260915047906</v>
      </c>
      <c r="I152">
        <f t="shared" si="6"/>
        <v>4079.8392062962948</v>
      </c>
      <c r="K152">
        <f>_xlfn.STDEV.S('R1'!L152,'R2'!L152,'R3'!L152)</f>
        <v>9.4220149036995816E-3</v>
      </c>
      <c r="L152">
        <f>_xlfn.STDEV.S('R1'!M152,'R2'!M152,'R3'!M152)</f>
        <v>4.3272003647953335E-3</v>
      </c>
      <c r="M152">
        <f>_xlfn.STDEV.S('R1'!N152,'R2'!N152,'R3'!N152)</f>
        <v>5.1525760089170293E-3</v>
      </c>
      <c r="N152">
        <f>_xlfn.STDEV.S('R1'!O152,'R2'!O152,'R3'!O152)</f>
        <v>5.183431622883124E-3</v>
      </c>
    </row>
    <row r="153" spans="1:14" x14ac:dyDescent="0.25">
      <c r="A153">
        <f>-'R1'!H153</f>
        <v>20</v>
      </c>
      <c r="B153">
        <f>DEGREES(ATAN(-SIN(RADIANS(('R1'!I153)))/(COS(RADIANS(Sheet1!A153))*COS(RADIANS('R1'!I153)))))</f>
        <v>-8.5061328568771426</v>
      </c>
      <c r="C153">
        <f>AVERAGE('R1'!J153,'R2'!J153,'R3'!J153)</f>
        <v>1.1766666666666665</v>
      </c>
      <c r="D153">
        <f>AVERAGE('R1'!K153,'R2'!K153,'R3'!K153)</f>
        <v>20.71214458333333</v>
      </c>
      <c r="E153">
        <f>AVERAGE('R1'!L153,'R2'!L153,'R3'!L153)</f>
        <v>-0.56027557848203835</v>
      </c>
      <c r="F153">
        <f>AVERAGE('R1'!M153,'R2'!M153,'R3'!M153)</f>
        <v>-1.3274354998513485</v>
      </c>
      <c r="G153">
        <f>AVERAGE('R1'!N153,'R2'!N153,'R3'!N153)</f>
        <v>-0.26570791547920031</v>
      </c>
      <c r="H153">
        <f>AVERAGE('R1'!O153,'R2'!O153,'R3'!O153)</f>
        <v>0.11573568857794581</v>
      </c>
      <c r="I153">
        <f t="shared" si="6"/>
        <v>4061.8816877314798</v>
      </c>
      <c r="K153">
        <f>_xlfn.STDEV.S('R1'!L153,'R2'!L153,'R3'!L153)</f>
        <v>8.6786646954151517E-3</v>
      </c>
      <c r="L153">
        <f>_xlfn.STDEV.S('R1'!M153,'R2'!M153,'R3'!M153)</f>
        <v>3.9302778355877702E-3</v>
      </c>
      <c r="M153">
        <f>_xlfn.STDEV.S('R1'!N153,'R2'!N153,'R3'!N153)</f>
        <v>5.9970952240118343E-3</v>
      </c>
      <c r="N153">
        <f>_xlfn.STDEV.S('R1'!O153,'R2'!O153,'R3'!O153)</f>
        <v>2.8641155691808617E-3</v>
      </c>
    </row>
    <row r="154" spans="1:14" x14ac:dyDescent="0.25">
      <c r="A154">
        <f>-'R1'!H154</f>
        <v>20</v>
      </c>
      <c r="B154">
        <f>DEGREES(ATAN(-SIN(RADIANS(('R1'!I154)))/(COS(RADIANS(Sheet1!A154))*COS(RADIANS('R1'!I154)))))</f>
        <v>-12.745697846757086</v>
      </c>
      <c r="C154">
        <f>AVERAGE('R1'!J154,'R2'!J154,'R3'!J154)</f>
        <v>1.1766666666666665</v>
      </c>
      <c r="D154">
        <f>AVERAGE('R1'!K154,'R2'!K154,'R3'!K154)</f>
        <v>20.977980500000001</v>
      </c>
      <c r="E154">
        <f>AVERAGE('R1'!L154,'R2'!L154,'R3'!L154)</f>
        <v>-0.78611475630657779</v>
      </c>
      <c r="F154">
        <f>AVERAGE('R1'!M154,'R2'!M154,'R3'!M154)</f>
        <v>-1.2531658624902011</v>
      </c>
      <c r="G154">
        <f>AVERAGE('R1'!N154,'R2'!N154,'R3'!N154)</f>
        <v>-0.30253347776431311</v>
      </c>
      <c r="H154">
        <f>AVERAGE('R1'!O154,'R2'!O154,'R3'!O154)</f>
        <v>6.6331488887306611E-2</v>
      </c>
      <c r="I154">
        <f t="shared" si="6"/>
        <v>4114.0150647222217</v>
      </c>
      <c r="K154">
        <f>_xlfn.STDEV.S('R1'!L154,'R2'!L154,'R3'!L154)</f>
        <v>7.51345057638729E-3</v>
      </c>
      <c r="L154">
        <f>_xlfn.STDEV.S('R1'!M154,'R2'!M154,'R3'!M154)</f>
        <v>1.2564505578981546E-3</v>
      </c>
      <c r="M154">
        <f>_xlfn.STDEV.S('R1'!N154,'R2'!N154,'R3'!N154)</f>
        <v>4.7648335401793522E-3</v>
      </c>
      <c r="N154">
        <f>_xlfn.STDEV.S('R1'!O154,'R2'!O154,'R3'!O154)</f>
        <v>6.2462494520400215E-3</v>
      </c>
    </row>
    <row r="155" spans="1:14" x14ac:dyDescent="0.25">
      <c r="A155">
        <f>-'R1'!H155</f>
        <v>20</v>
      </c>
      <c r="B155">
        <f>DEGREES(ATAN(-SIN(RADIANS(('R1'!I155)))/(COS(RADIANS(Sheet1!A155))*COS(RADIANS('R1'!I155)))))</f>
        <v>-16.969467099429082</v>
      </c>
      <c r="C155">
        <f>AVERAGE('R1'!J155,'R2'!J155,'R3'!J155)</f>
        <v>1.1766666666666665</v>
      </c>
      <c r="D155">
        <f>AVERAGE('R1'!K155,'R2'!K155,'R3'!K155)</f>
        <v>21.267398833333335</v>
      </c>
      <c r="E155">
        <f>AVERAGE('R1'!L155,'R2'!L155,'R3'!L155)</f>
        <v>-1.0171164307027649</v>
      </c>
      <c r="F155">
        <f>AVERAGE('R1'!M155,'R2'!M155,'R3'!M155)</f>
        <v>-1.2142075533876897</v>
      </c>
      <c r="G155">
        <f>AVERAGE('R1'!N155,'R2'!N155,'R3'!N155)</f>
        <v>-0.37966996305765671</v>
      </c>
      <c r="H155">
        <f>AVERAGE('R1'!O155,'R2'!O155,'R3'!O155)</f>
        <v>-6.1893625948188256E-3</v>
      </c>
      <c r="I155">
        <f t="shared" si="6"/>
        <v>4170.7732156481488</v>
      </c>
      <c r="K155">
        <f>_xlfn.STDEV.S('R1'!L155,'R2'!L155,'R3'!L155)</f>
        <v>1.1625914150750894E-2</v>
      </c>
      <c r="L155">
        <f>_xlfn.STDEV.S('R1'!M155,'R2'!M155,'R3'!M155)</f>
        <v>4.5317255673096657E-3</v>
      </c>
      <c r="M155">
        <f>_xlfn.STDEV.S('R1'!N155,'R2'!N155,'R3'!N155)</f>
        <v>7.6408230795613355E-3</v>
      </c>
      <c r="N155">
        <f>_xlfn.STDEV.S('R1'!O155,'R2'!O155,'R3'!O155)</f>
        <v>5.9686010561960778E-3</v>
      </c>
    </row>
    <row r="156" spans="1:14" x14ac:dyDescent="0.25">
      <c r="A156">
        <f>-'R1'!H156</f>
        <v>20</v>
      </c>
      <c r="B156">
        <f>DEGREES(ATAN(-SIN(RADIANS(('R1'!I156)))/(COS(RADIANS(Sheet1!A156))*COS(RADIANS('R1'!I156)))))</f>
        <v>-21.172832185162978</v>
      </c>
      <c r="C156">
        <f>AVERAGE('R1'!J156,'R2'!J156,'R3'!J156)</f>
        <v>1.1766666666666665</v>
      </c>
      <c r="D156">
        <f>AVERAGE('R1'!K156,'R2'!K156,'R3'!K156)</f>
        <v>21.064774583333335</v>
      </c>
      <c r="E156">
        <f>AVERAGE('R1'!L156,'R2'!L156,'R3'!L156)</f>
        <v>-1.236568549087991</v>
      </c>
      <c r="F156">
        <f>AVERAGE('R1'!M156,'R2'!M156,'R3'!M156)</f>
        <v>-1.2377965100916413</v>
      </c>
      <c r="G156">
        <f>AVERAGE('R1'!N156,'R2'!N156,'R3'!N156)</f>
        <v>-0.49435180596940986</v>
      </c>
      <c r="H156">
        <f>AVERAGE('R1'!O156,'R2'!O156,'R3'!O156)</f>
        <v>-0.13168486960149547</v>
      </c>
      <c r="I156">
        <f t="shared" si="6"/>
        <v>4131.0363488425928</v>
      </c>
      <c r="K156">
        <f>_xlfn.STDEV.S('R1'!L156,'R2'!L156,'R3'!L156)</f>
        <v>7.1155530927653355E-3</v>
      </c>
      <c r="L156">
        <f>_xlfn.STDEV.S('R1'!M156,'R2'!M156,'R3'!M156)</f>
        <v>6.3795613647708279E-3</v>
      </c>
      <c r="M156">
        <f>_xlfn.STDEV.S('R1'!N156,'R2'!N156,'R3'!N156)</f>
        <v>7.9979167788357969E-3</v>
      </c>
      <c r="N156">
        <f>_xlfn.STDEV.S('R1'!O156,'R2'!O156,'R3'!O156)</f>
        <v>1.4616405265265048E-3</v>
      </c>
    </row>
    <row r="157" spans="1:14" x14ac:dyDescent="0.25">
      <c r="A157">
        <f>-'R1'!H157</f>
        <v>20</v>
      </c>
      <c r="B157">
        <f>DEGREES(ATAN(-SIN(RADIANS(('R1'!I157)))/(COS(RADIANS(Sheet1!A157))*COS(RADIANS('R1'!I157)))))</f>
        <v>-25.351709771061881</v>
      </c>
      <c r="C157">
        <f>AVERAGE('R1'!J157,'R2'!J157,'R3'!J157)</f>
        <v>1.1766666666666665</v>
      </c>
      <c r="D157">
        <f>AVERAGE('R1'!K157,'R2'!K157,'R3'!K157)</f>
        <v>20.875660833333331</v>
      </c>
      <c r="E157">
        <f>AVERAGE('R1'!L157,'R2'!L157,'R3'!L157)</f>
        <v>-1.4375833232625819</v>
      </c>
      <c r="F157">
        <f>AVERAGE('R1'!M157,'R2'!M157,'R3'!M157)</f>
        <v>-1.3049706491941782</v>
      </c>
      <c r="G157">
        <f>AVERAGE('R1'!N157,'R2'!N157,'R3'!N157)</f>
        <v>-0.63489740376636028</v>
      </c>
      <c r="H157">
        <f>AVERAGE('R1'!O157,'R2'!O157,'R3'!O157)</f>
        <v>-0.29472986939602436</v>
      </c>
      <c r="I157">
        <f t="shared" si="6"/>
        <v>4093.9490412037026</v>
      </c>
      <c r="K157">
        <f>_xlfn.STDEV.S('R1'!L157,'R2'!L157,'R3'!L157)</f>
        <v>1.2437531028647116E-2</v>
      </c>
      <c r="L157">
        <f>_xlfn.STDEV.S('R1'!M157,'R2'!M157,'R3'!M157)</f>
        <v>1.0099368944464308E-2</v>
      </c>
      <c r="M157">
        <f>_xlfn.STDEV.S('R1'!N157,'R2'!N157,'R3'!N157)</f>
        <v>1.0902869750824327E-2</v>
      </c>
      <c r="N157">
        <f>_xlfn.STDEV.S('R1'!O157,'R2'!O157,'R3'!O157)</f>
        <v>2.9488079309638992E-3</v>
      </c>
    </row>
    <row r="158" spans="1:14" x14ac:dyDescent="0.25">
      <c r="A158">
        <f>-'R1'!H158</f>
        <v>20</v>
      </c>
      <c r="B158">
        <f>DEGREES(ATAN(-SIN(RADIANS(('R1'!I158)))/(COS(RADIANS(Sheet1!A158))*COS(RADIANS('R1'!I158)))))</f>
        <v>-29.502629281345779</v>
      </c>
      <c r="C158">
        <f>AVERAGE('R1'!J158,'R2'!J158,'R3'!J158)</f>
        <v>1.1758333333333333</v>
      </c>
      <c r="D158">
        <f>AVERAGE('R1'!K158,'R2'!K158,'R3'!K158)</f>
        <v>20.684518666666666</v>
      </c>
      <c r="E158">
        <f>AVERAGE('R1'!L158,'R2'!L158,'R3'!L158)</f>
        <v>-1.6443571629587872</v>
      </c>
      <c r="F158">
        <f>AVERAGE('R1'!M158,'R2'!M158,'R3'!M158)</f>
        <v>-1.4046413972121228</v>
      </c>
      <c r="G158">
        <f>AVERAGE('R1'!N158,'R2'!N158,'R3'!N158)</f>
        <v>-0.80942793738563867</v>
      </c>
      <c r="H158">
        <f>AVERAGE('R1'!O158,'R2'!O158,'R3'!O158)</f>
        <v>-0.48474221504919002</v>
      </c>
      <c r="I158">
        <f t="shared" si="6"/>
        <v>4053.5910887037039</v>
      </c>
      <c r="K158">
        <f>_xlfn.STDEV.S('R1'!L158,'R2'!L158,'R3'!L158)</f>
        <v>1.0739436601742406E-2</v>
      </c>
      <c r="L158">
        <f>_xlfn.STDEV.S('R1'!M158,'R2'!M158,'R3'!M158)</f>
        <v>1.1245545229700612E-2</v>
      </c>
      <c r="M158">
        <f>_xlfn.STDEV.S('R1'!N158,'R2'!N158,'R3'!N158)</f>
        <v>1.1914569384831267E-2</v>
      </c>
      <c r="N158">
        <f>_xlfn.STDEV.S('R1'!O158,'R2'!O158,'R3'!O158)</f>
        <v>5.1915738223303294E-3</v>
      </c>
    </row>
    <row r="159" spans="1:14" x14ac:dyDescent="0.25">
      <c r="A159">
        <f>-'R1'!H159</f>
        <v>20</v>
      </c>
      <c r="B159">
        <f>DEGREES(ATAN(-SIN(RADIANS(('R1'!I159)))/(COS(RADIANS(Sheet1!A159))*COS(RADIANS('R1'!I159)))))</f>
        <v>-33.622796746730245</v>
      </c>
      <c r="C159">
        <f>AVERAGE('R1'!J159,'R2'!J159,'R3'!J159)</f>
        <v>1.1766666666666665</v>
      </c>
      <c r="D159">
        <f>AVERAGE('R1'!K159,'R2'!K159,'R3'!K159)</f>
        <v>20.551379916666665</v>
      </c>
      <c r="E159">
        <f>AVERAGE('R1'!L159,'R2'!L159,'R3'!L159)</f>
        <v>-1.8758861902167148</v>
      </c>
      <c r="F159">
        <f>AVERAGE('R1'!M159,'R2'!M159,'R3'!M159)</f>
        <v>-1.5240905960122868</v>
      </c>
      <c r="G159">
        <f>AVERAGE('R1'!N159,'R2'!N159,'R3'!N159)</f>
        <v>-1.0257382952497671</v>
      </c>
      <c r="H159">
        <f>AVERAGE('R1'!O159,'R2'!O159,'R3'!O159)</f>
        <v>-0.69061038898376292</v>
      </c>
      <c r="I159">
        <f t="shared" si="6"/>
        <v>4030.3539503240736</v>
      </c>
      <c r="K159">
        <f>_xlfn.STDEV.S('R1'!L159,'R2'!L159,'R3'!L159)</f>
        <v>1.4562989461397544E-2</v>
      </c>
      <c r="L159">
        <f>_xlfn.STDEV.S('R1'!M159,'R2'!M159,'R3'!M159)</f>
        <v>1.4952175255127759E-2</v>
      </c>
      <c r="M159">
        <f>_xlfn.STDEV.S('R1'!N159,'R2'!N159,'R3'!N159)</f>
        <v>2.0261275727558106E-2</v>
      </c>
      <c r="N159">
        <f>_xlfn.STDEV.S('R1'!O159,'R2'!O159,'R3'!O159)</f>
        <v>1.1258523398907224E-2</v>
      </c>
    </row>
    <row r="160" spans="1:14" x14ac:dyDescent="0.25">
      <c r="A160">
        <f>-'R1'!H160</f>
        <v>20</v>
      </c>
      <c r="B160">
        <f>DEGREES(ATAN(-SIN(RADIANS(('R1'!I160)))/(COS(RADIANS(Sheet1!A160))*COS(RADIANS('R1'!I160)))))</f>
        <v>-37.710134449764993</v>
      </c>
      <c r="C160">
        <f>AVERAGE('R1'!J160,'R2'!J160,'R3'!J160)</f>
        <v>1.1766666666666665</v>
      </c>
      <c r="D160">
        <f>AVERAGE('R1'!K160,'R2'!K160,'R3'!K160)</f>
        <v>20.457973333333332</v>
      </c>
      <c r="E160">
        <f>AVERAGE('R1'!L160,'R2'!L160,'R3'!L160)</f>
        <v>-2.1496422742860841</v>
      </c>
      <c r="F160">
        <f>AVERAGE('R1'!M160,'R2'!M160,'R3'!M160)</f>
        <v>-1.6728749721320746</v>
      </c>
      <c r="G160">
        <f>AVERAGE('R1'!N160,'R2'!N160,'R3'!N160)</f>
        <v>-1.3025054685946251</v>
      </c>
      <c r="H160">
        <f>AVERAGE('R1'!O160,'R2'!O160,'R3'!O160)</f>
        <v>-0.91966952265820334</v>
      </c>
      <c r="I160">
        <f t="shared" si="6"/>
        <v>4012.0358814814804</v>
      </c>
      <c r="K160">
        <f>_xlfn.STDEV.S('R1'!L160,'R2'!L160,'R3'!L160)</f>
        <v>1.4891037760836352E-2</v>
      </c>
      <c r="L160">
        <f>_xlfn.STDEV.S('R1'!M160,'R2'!M160,'R3'!M160)</f>
        <v>1.3782711052375435E-2</v>
      </c>
      <c r="M160">
        <f>_xlfn.STDEV.S('R1'!N160,'R2'!N160,'R3'!N160)</f>
        <v>1.9828752914899547E-2</v>
      </c>
      <c r="N160">
        <f>_xlfn.STDEV.S('R1'!O160,'R2'!O160,'R3'!O160)</f>
        <v>9.8051973844573738E-3</v>
      </c>
    </row>
    <row r="161" spans="1:14" x14ac:dyDescent="0.25">
      <c r="A161">
        <f>-'R1'!H161</f>
        <v>20</v>
      </c>
      <c r="B161">
        <f>DEGREES(ATAN(-SIN(RADIANS(('R1'!I161)))/(COS(RADIANS(Sheet1!A161))*COS(RADIANS('R1'!I161)))))</f>
        <v>-41.763297417742614</v>
      </c>
      <c r="C161">
        <f>AVERAGE('R1'!J161,'R2'!J161,'R3'!J161)</f>
        <v>1.1758333333333333</v>
      </c>
      <c r="D161">
        <f>AVERAGE('R1'!K161,'R2'!K161,'R3'!K161)</f>
        <v>20.778552083333334</v>
      </c>
      <c r="E161">
        <f>AVERAGE('R1'!L161,'R2'!L161,'R3'!L161)</f>
        <v>-2.4744882502863601</v>
      </c>
      <c r="F161">
        <f>AVERAGE('R1'!M161,'R2'!M161,'R3'!M161)</f>
        <v>-1.8446917334758475</v>
      </c>
      <c r="G161">
        <f>AVERAGE('R1'!N161,'R2'!N161,'R3'!N161)</f>
        <v>-1.6394258691140491</v>
      </c>
      <c r="H161">
        <f>AVERAGE('R1'!O161,'R2'!O161,'R3'!O161)</f>
        <v>-1.1912498894464214</v>
      </c>
      <c r="I161">
        <f t="shared" si="6"/>
        <v>4072.0190263310183</v>
      </c>
      <c r="K161">
        <f>_xlfn.STDEV.S('R1'!L161,'R2'!L161,'R3'!L161)</f>
        <v>1.135177684026722E-2</v>
      </c>
      <c r="L161">
        <f>_xlfn.STDEV.S('R1'!M161,'R2'!M161,'R3'!M161)</f>
        <v>1.2171099114125273E-2</v>
      </c>
      <c r="M161">
        <f>_xlfn.STDEV.S('R1'!N161,'R2'!N161,'R3'!N161)</f>
        <v>1.437955013626176E-2</v>
      </c>
      <c r="N161">
        <f>_xlfn.STDEV.S('R1'!O161,'R2'!O161,'R3'!O161)</f>
        <v>5.0025755174304002E-3</v>
      </c>
    </row>
    <row r="162" spans="1:14" x14ac:dyDescent="0.25">
      <c r="A162">
        <f>-'R1'!H162</f>
        <v>20</v>
      </c>
      <c r="B162">
        <f>DEGREES(ATAN(-SIN(RADIANS(('R1'!I162)))/(COS(RADIANS(Sheet1!A162))*COS(RADIANS('R1'!I162)))))</f>
        <v>-45.781668962964282</v>
      </c>
      <c r="C162">
        <f>AVERAGE('R1'!J162,'R2'!J162,'R3'!J162)</f>
        <v>1.1758333333333333</v>
      </c>
      <c r="D162">
        <f>AVERAGE('R1'!K162,'R2'!K162,'R3'!K162)</f>
        <v>21.088581749999999</v>
      </c>
      <c r="E162">
        <f>AVERAGE('R1'!L162,'R2'!L162,'R3'!L162)</f>
        <v>-2.917211245910567</v>
      </c>
      <c r="F162">
        <f>AVERAGE('R1'!M162,'R2'!M162,'R3'!M162)</f>
        <v>-2.0828623388986194</v>
      </c>
      <c r="G162">
        <f>AVERAGE('R1'!N162,'R2'!N162,'R3'!N162)</f>
        <v>-2.1210317383090045</v>
      </c>
      <c r="H162">
        <f>AVERAGE('R1'!O162,'R2'!O162,'R3'!O162)</f>
        <v>-1.5373698972821135</v>
      </c>
      <c r="I162">
        <f t="shared" si="6"/>
        <v>4132.7762290624996</v>
      </c>
      <c r="K162">
        <f>_xlfn.STDEV.S('R1'!L162,'R2'!L162,'R3'!L162)</f>
        <v>1.6846444493059543E-2</v>
      </c>
      <c r="L162">
        <f>_xlfn.STDEV.S('R1'!M162,'R2'!M162,'R3'!M162)</f>
        <v>4.8798437915636298E-3</v>
      </c>
      <c r="M162">
        <f>_xlfn.STDEV.S('R1'!N162,'R2'!N162,'R3'!N162)</f>
        <v>1.8244853249831133E-2</v>
      </c>
      <c r="N162">
        <f>_xlfn.STDEV.S('R1'!O162,'R2'!O162,'R3'!O162)</f>
        <v>1.0131902233580983E-2</v>
      </c>
    </row>
    <row r="163" spans="1:14" x14ac:dyDescent="0.25">
      <c r="A163">
        <f>-'R1'!H163</f>
        <v>16</v>
      </c>
      <c r="B163">
        <f>DEGREES(ATAN(-SIN(RADIANS(('R1'!I163)))/(COS(RADIANS(Sheet1!A163))*COS(RADIANS('R1'!I163)))))</f>
        <v>45.131634150601585</v>
      </c>
      <c r="C163">
        <f>AVERAGE('R1'!J163,'R2'!J163,'R3'!J163)</f>
        <v>1.1766666666666665</v>
      </c>
      <c r="D163">
        <f>AVERAGE('R1'!K163,'R2'!K163,'R3'!K163)</f>
        <v>20.797325749999999</v>
      </c>
      <c r="E163">
        <f>AVERAGE('R1'!L163,'R2'!L163,'R3'!L163)</f>
        <v>2.2044192497413042</v>
      </c>
      <c r="F163">
        <f>AVERAGE('R1'!M163,'R2'!M163,'R3'!M163)</f>
        <v>-1.3857809837256638</v>
      </c>
      <c r="G163">
        <f>AVERAGE('R1'!N163,'R2'!N163,'R3'!N163)</f>
        <v>-1.2785488685228006</v>
      </c>
      <c r="H163">
        <f>AVERAGE('R1'!O163,'R2'!O163,'R3'!O163)</f>
        <v>-1.1162721283361015</v>
      </c>
      <c r="I163">
        <f t="shared" si="6"/>
        <v>4078.586660972222</v>
      </c>
      <c r="K163">
        <f>_xlfn.STDEV.S('R1'!L163,'R2'!L163,'R3'!L163)</f>
        <v>8.0266023680641025E-3</v>
      </c>
      <c r="L163">
        <f>_xlfn.STDEV.S('R1'!M163,'R2'!M163,'R3'!M163)</f>
        <v>7.8747733246355243E-4</v>
      </c>
      <c r="M163">
        <f>_xlfn.STDEV.S('R1'!N163,'R2'!N163,'R3'!N163)</f>
        <v>7.8368181312715775E-3</v>
      </c>
      <c r="N163">
        <f>_xlfn.STDEV.S('R1'!O163,'R2'!O163,'R3'!O163)</f>
        <v>2.7172860870225265E-3</v>
      </c>
    </row>
    <row r="164" spans="1:14" x14ac:dyDescent="0.25">
      <c r="A164">
        <f>-'R1'!H164</f>
        <v>16</v>
      </c>
      <c r="B164">
        <f>DEGREES(ATAN(-SIN(RADIANS(('R1'!I164)))/(COS(RADIANS(Sheet1!A164))*COS(RADIANS('R1'!I164)))))</f>
        <v>41.118191358294368</v>
      </c>
      <c r="C164">
        <f>AVERAGE('R1'!J164,'R2'!J164,'R3'!J164)</f>
        <v>1.1766666666666665</v>
      </c>
      <c r="D164">
        <f>AVERAGE('R1'!K164,'R2'!K164,'R3'!K164)</f>
        <v>20.631323249999998</v>
      </c>
      <c r="E164">
        <f>AVERAGE('R1'!L164,'R2'!L164,'R3'!L164)</f>
        <v>2.0003848300139668</v>
      </c>
      <c r="F164">
        <f>AVERAGE('R1'!M164,'R2'!M164,'R3'!M164)</f>
        <v>-1.2791388233140575</v>
      </c>
      <c r="G164">
        <f>AVERAGE('R1'!N164,'R2'!N164,'R3'!N164)</f>
        <v>-1.0365932357922987</v>
      </c>
      <c r="H164">
        <f>AVERAGE('R1'!O164,'R2'!O164,'R3'!O164)</f>
        <v>-0.90482839019732919</v>
      </c>
      <c r="I164">
        <f t="shared" si="6"/>
        <v>4046.0317262499993</v>
      </c>
      <c r="K164">
        <f>_xlfn.STDEV.S('R1'!L164,'R2'!L164,'R3'!L164)</f>
        <v>5.9011072712988801E-3</v>
      </c>
      <c r="L164">
        <f>_xlfn.STDEV.S('R1'!M164,'R2'!M164,'R3'!M164)</f>
        <v>3.8850707145427475E-4</v>
      </c>
      <c r="M164">
        <f>_xlfn.STDEV.S('R1'!N164,'R2'!N164,'R3'!N164)</f>
        <v>6.3602293693876596E-3</v>
      </c>
      <c r="N164">
        <f>_xlfn.STDEV.S('R1'!O164,'R2'!O164,'R3'!O164)</f>
        <v>3.0544213295385174E-3</v>
      </c>
    </row>
    <row r="165" spans="1:14" x14ac:dyDescent="0.25">
      <c r="A165">
        <f>-'R1'!H165</f>
        <v>16</v>
      </c>
      <c r="B165">
        <f>DEGREES(ATAN(-SIN(RADIANS(('R1'!I165)))/(COS(RADIANS(Sheet1!A165))*COS(RADIANS('R1'!I165)))))</f>
        <v>37.082782431142171</v>
      </c>
      <c r="C165">
        <f>AVERAGE('R1'!J165,'R2'!J165,'R3'!J165)</f>
        <v>1.1766666666666665</v>
      </c>
      <c r="D165">
        <f>AVERAGE('R1'!K165,'R2'!K165,'R3'!K165)</f>
        <v>20.490552583333333</v>
      </c>
      <c r="E165">
        <f>AVERAGE('R1'!L165,'R2'!L165,'R3'!L165)</f>
        <v>1.8239134707422426</v>
      </c>
      <c r="F165">
        <f>AVERAGE('R1'!M165,'R2'!M165,'R3'!M165)</f>
        <v>-1.1961315229014511</v>
      </c>
      <c r="G165">
        <f>AVERAGE('R1'!N165,'R2'!N165,'R3'!N165)</f>
        <v>-0.84563787482066699</v>
      </c>
      <c r="H165">
        <f>AVERAGE('R1'!O165,'R2'!O165,'R3'!O165)</f>
        <v>-0.71608060112109018</v>
      </c>
      <c r="I165">
        <f t="shared" si="6"/>
        <v>4018.4250343981475</v>
      </c>
      <c r="K165">
        <f>_xlfn.STDEV.S('R1'!L165,'R2'!L165,'R3'!L165)</f>
        <v>3.625784984692878E-3</v>
      </c>
      <c r="L165">
        <f>_xlfn.STDEV.S('R1'!M165,'R2'!M165,'R3'!M165)</f>
        <v>3.2112648378738069E-3</v>
      </c>
      <c r="M165">
        <f>_xlfn.STDEV.S('R1'!N165,'R2'!N165,'R3'!N165)</f>
        <v>5.0632808397308984E-3</v>
      </c>
      <c r="N165">
        <f>_xlfn.STDEV.S('R1'!O165,'R2'!O165,'R3'!O165)</f>
        <v>3.6272380954818191E-3</v>
      </c>
    </row>
    <row r="166" spans="1:14" x14ac:dyDescent="0.25">
      <c r="A166">
        <f>-'R1'!H166</f>
        <v>16</v>
      </c>
      <c r="B166">
        <f>DEGREES(ATAN(-SIN(RADIANS(('R1'!I166)))/(COS(RADIANS(Sheet1!A166))*COS(RADIANS('R1'!I166)))))</f>
        <v>33.025931133441695</v>
      </c>
      <c r="C166">
        <f>AVERAGE('R1'!J166,'R2'!J166,'R3'!J166)</f>
        <v>1.1766666666666665</v>
      </c>
      <c r="D166">
        <f>AVERAGE('R1'!K166,'R2'!K166,'R3'!K166)</f>
        <v>20.363143416666666</v>
      </c>
      <c r="E166">
        <f>AVERAGE('R1'!L166,'R2'!L166,'R3'!L166)</f>
        <v>1.6617086528145144</v>
      </c>
      <c r="F166">
        <f>AVERAGE('R1'!M166,'R2'!M166,'R3'!M166)</f>
        <v>-1.1210190095950239</v>
      </c>
      <c r="G166">
        <f>AVERAGE('R1'!N166,'R2'!N166,'R3'!N166)</f>
        <v>-0.68508791318012163</v>
      </c>
      <c r="H166">
        <f>AVERAGE('R1'!O166,'R2'!O166,'R3'!O166)</f>
        <v>-0.53291864014524315</v>
      </c>
      <c r="I166">
        <f t="shared" si="6"/>
        <v>3993.4386811574068</v>
      </c>
      <c r="K166">
        <f>_xlfn.STDEV.S('R1'!L166,'R2'!L166,'R3'!L166)</f>
        <v>4.8247117914497987E-3</v>
      </c>
      <c r="L166">
        <f>_xlfn.STDEV.S('R1'!M166,'R2'!M166,'R3'!M166)</f>
        <v>4.1255794362709741E-3</v>
      </c>
      <c r="M166">
        <f>_xlfn.STDEV.S('R1'!N166,'R2'!N166,'R3'!N166)</f>
        <v>3.822439755071252E-3</v>
      </c>
      <c r="N166">
        <f>_xlfn.STDEV.S('R1'!O166,'R2'!O166,'R3'!O166)</f>
        <v>2.9076579157882227E-3</v>
      </c>
    </row>
    <row r="167" spans="1:14" x14ac:dyDescent="0.25">
      <c r="A167">
        <f>-'R1'!H167</f>
        <v>16</v>
      </c>
      <c r="B167">
        <f>DEGREES(ATAN(-SIN(RADIANS(('R1'!I167)))/(COS(RADIANS(Sheet1!A167))*COS(RADIANS('R1'!I167)))))</f>
        <v>28.948605633454871</v>
      </c>
      <c r="C167">
        <f>AVERAGE('R1'!J167,'R2'!J167,'R3'!J167)</f>
        <v>1.1766666666666665</v>
      </c>
      <c r="D167">
        <f>AVERAGE('R1'!K167,'R2'!K167,'R3'!K167)</f>
        <v>20.421060749999999</v>
      </c>
      <c r="E167">
        <f>AVERAGE('R1'!L167,'R2'!L167,'R3'!L167)</f>
        <v>1.4950110153387783</v>
      </c>
      <c r="F167">
        <f>AVERAGE('R1'!M167,'R2'!M167,'R3'!M167)</f>
        <v>-1.0745521705675467</v>
      </c>
      <c r="G167">
        <f>AVERAGE('R1'!N167,'R2'!N167,'R3'!N167)</f>
        <v>-0.55012624141740707</v>
      </c>
      <c r="H167">
        <f>AVERAGE('R1'!O167,'R2'!O167,'R3'!O167)</f>
        <v>-0.36247205875776167</v>
      </c>
      <c r="I167">
        <f t="shared" si="6"/>
        <v>4004.7969137499986</v>
      </c>
      <c r="K167">
        <f>_xlfn.STDEV.S('R1'!L167,'R2'!L167,'R3'!L167)</f>
        <v>2.7404943429966289E-3</v>
      </c>
      <c r="L167">
        <f>_xlfn.STDEV.S('R1'!M167,'R2'!M167,'R3'!M167)</f>
        <v>1.7504750577401447E-3</v>
      </c>
      <c r="M167">
        <f>_xlfn.STDEV.S('R1'!N167,'R2'!N167,'R3'!N167)</f>
        <v>4.0933709650014033E-3</v>
      </c>
      <c r="N167">
        <f>_xlfn.STDEV.S('R1'!O167,'R2'!O167,'R3'!O167)</f>
        <v>4.2011860673127387E-3</v>
      </c>
    </row>
    <row r="168" spans="1:14" x14ac:dyDescent="0.25">
      <c r="A168">
        <f>-'R1'!H168</f>
        <v>16</v>
      </c>
      <c r="B168">
        <f>DEGREES(ATAN(-SIN(RADIANS(('R1'!I168)))/(COS(RADIANS(Sheet1!A168))*COS(RADIANS('R1'!I168)))))</f>
        <v>24.852211192112133</v>
      </c>
      <c r="C168">
        <f>AVERAGE('R1'!J168,'R2'!J168,'R3'!J168)</f>
        <v>1.1766666666666665</v>
      </c>
      <c r="D168">
        <f>AVERAGE('R1'!K168,'R2'!K168,'R3'!K168)</f>
        <v>20.851643333333335</v>
      </c>
      <c r="E168">
        <f>AVERAGE('R1'!L168,'R2'!L168,'R3'!L168)</f>
        <v>1.3187619664388952</v>
      </c>
      <c r="F168">
        <f>AVERAGE('R1'!M168,'R2'!M168,'R3'!M168)</f>
        <v>-1.0440313593035464</v>
      </c>
      <c r="G168">
        <f>AVERAGE('R1'!N168,'R2'!N168,'R3'!N168)</f>
        <v>-0.43663964276972006</v>
      </c>
      <c r="H168">
        <f>AVERAGE('R1'!O168,'R2'!O168,'R3'!O168)</f>
        <v>-0.19267786163604805</v>
      </c>
      <c r="I168">
        <f t="shared" si="6"/>
        <v>4089.2389425925921</v>
      </c>
      <c r="K168">
        <f>_xlfn.STDEV.S('R1'!L168,'R2'!L168,'R3'!L168)</f>
        <v>5.3930087091243056E-3</v>
      </c>
      <c r="L168">
        <f>_xlfn.STDEV.S('R1'!M168,'R2'!M168,'R3'!M168)</f>
        <v>6.7027279853949778E-3</v>
      </c>
      <c r="M168">
        <f>_xlfn.STDEV.S('R1'!N168,'R2'!N168,'R3'!N168)</f>
        <v>1.0599026889916673E-3</v>
      </c>
      <c r="N168">
        <f>_xlfn.STDEV.S('R1'!O168,'R2'!O168,'R3'!O168)</f>
        <v>9.2889215829589447E-4</v>
      </c>
    </row>
    <row r="169" spans="1:14" x14ac:dyDescent="0.25">
      <c r="A169">
        <f>-'R1'!H169</f>
        <v>16</v>
      </c>
      <c r="B169">
        <f>DEGREES(ATAN(-SIN(RADIANS(('R1'!I169)))/(COS(RADIANS(Sheet1!A169))*COS(RADIANS('R1'!I169)))))</f>
        <v>20.738571475352053</v>
      </c>
      <c r="C169">
        <f>AVERAGE('R1'!J169,'R2'!J169,'R3'!J169)</f>
        <v>1.1766666666666665</v>
      </c>
      <c r="D169">
        <f>AVERAGE('R1'!K169,'R2'!K169,'R3'!K169)</f>
        <v>20.944077666666669</v>
      </c>
      <c r="E169">
        <f>AVERAGE('R1'!L169,'R2'!L169,'R3'!L169)</f>
        <v>1.1136207091382186</v>
      </c>
      <c r="F169">
        <f>AVERAGE('R1'!M169,'R2'!M169,'R3'!M169)</f>
        <v>-1.0490775900067624</v>
      </c>
      <c r="G169">
        <f>AVERAGE('R1'!N169,'R2'!N169,'R3'!N169)</f>
        <v>-0.34071528882301405</v>
      </c>
      <c r="H169">
        <f>AVERAGE('R1'!O169,'R2'!O169,'R3'!O169)</f>
        <v>-3.6305962610068389E-2</v>
      </c>
      <c r="I169">
        <f t="shared" si="6"/>
        <v>4107.3663424074075</v>
      </c>
      <c r="K169">
        <f>_xlfn.STDEV.S('R1'!L169,'R2'!L169,'R3'!L169)</f>
        <v>2.1930568728729923E-3</v>
      </c>
      <c r="L169">
        <f>_xlfn.STDEV.S('R1'!M169,'R2'!M169,'R3'!M169)</f>
        <v>6.4962202667038695E-3</v>
      </c>
      <c r="M169">
        <f>_xlfn.STDEV.S('R1'!N169,'R2'!N169,'R3'!N169)</f>
        <v>2.3069632147948169E-3</v>
      </c>
      <c r="N169">
        <f>_xlfn.STDEV.S('R1'!O169,'R2'!O169,'R3'!O169)</f>
        <v>4.129438167292096E-3</v>
      </c>
    </row>
    <row r="170" spans="1:14" x14ac:dyDescent="0.25">
      <c r="A170">
        <f>-'R1'!H170</f>
        <v>16</v>
      </c>
      <c r="B170">
        <f>DEGREES(ATAN(-SIN(RADIANS(('R1'!I170)))/(COS(RADIANS(Sheet1!A170))*COS(RADIANS('R1'!I170)))))</f>
        <v>16.609898016932938</v>
      </c>
      <c r="C170">
        <f>AVERAGE('R1'!J170,'R2'!J170,'R3'!J170)</f>
        <v>1.1766666666666665</v>
      </c>
      <c r="D170">
        <f>AVERAGE('R1'!K170,'R2'!K170,'R3'!K170)</f>
        <v>21.109015000000003</v>
      </c>
      <c r="E170">
        <f>AVERAGE('R1'!L170,'R2'!L170,'R3'!L170)</f>
        <v>0.88913590965268785</v>
      </c>
      <c r="F170">
        <f>AVERAGE('R1'!M170,'R2'!M170,'R3'!M170)</f>
        <v>-1.0810443041813727</v>
      </c>
      <c r="G170">
        <f>AVERAGE('R1'!N170,'R2'!N170,'R3'!N170)</f>
        <v>-0.26304033517894654</v>
      </c>
      <c r="H170">
        <f>AVERAGE('R1'!O170,'R2'!O170,'R3'!O170)</f>
        <v>0.10024487705573509</v>
      </c>
      <c r="I170">
        <f t="shared" si="6"/>
        <v>4139.7123861111113</v>
      </c>
      <c r="K170">
        <f>_xlfn.STDEV.S('R1'!L170,'R2'!L170,'R3'!L170)</f>
        <v>7.2222602667956501E-3</v>
      </c>
      <c r="L170">
        <f>_xlfn.STDEV.S('R1'!M170,'R2'!M170,'R3'!M170)</f>
        <v>9.4640480382379103E-3</v>
      </c>
      <c r="M170">
        <f>_xlfn.STDEV.S('R1'!N170,'R2'!N170,'R3'!N170)</f>
        <v>2.4826834954641305E-3</v>
      </c>
      <c r="N170">
        <f>_xlfn.STDEV.S('R1'!O170,'R2'!O170,'R3'!O170)</f>
        <v>2.8035956313414464E-3</v>
      </c>
    </row>
    <row r="171" spans="1:14" x14ac:dyDescent="0.25">
      <c r="A171">
        <f>-'R1'!H171</f>
        <v>16</v>
      </c>
      <c r="B171">
        <f>DEGREES(ATAN(-SIN(RADIANS(('R1'!I171)))/(COS(RADIANS(Sheet1!A171))*COS(RADIANS('R1'!I171)))))</f>
        <v>12.468747879350856</v>
      </c>
      <c r="C171">
        <f>AVERAGE('R1'!J171,'R2'!J171,'R3'!J171)</f>
        <v>1.1766666666666665</v>
      </c>
      <c r="D171">
        <f>AVERAGE('R1'!K171,'R2'!K171,'R3'!K171)</f>
        <v>21.43645875</v>
      </c>
      <c r="E171">
        <f>AVERAGE('R1'!L171,'R2'!L171,'R3'!L171)</f>
        <v>0.67067768640654657</v>
      </c>
      <c r="F171">
        <f>AVERAGE('R1'!M171,'R2'!M171,'R3'!M171)</f>
        <v>-1.1088697110018606</v>
      </c>
      <c r="G171">
        <f>AVERAGE('R1'!N171,'R2'!N171,'R3'!N171)</f>
        <v>-0.20376295521139112</v>
      </c>
      <c r="H171">
        <f>AVERAGE('R1'!O171,'R2'!O171,'R3'!O171)</f>
        <v>0.21579582058461258</v>
      </c>
      <c r="I171">
        <f t="shared" si="6"/>
        <v>4203.9277437499986</v>
      </c>
      <c r="K171">
        <f>_xlfn.STDEV.S('R1'!L171,'R2'!L171,'R3'!L171)</f>
        <v>4.3260960423006046E-3</v>
      </c>
      <c r="L171">
        <f>_xlfn.STDEV.S('R1'!M171,'R2'!M171,'R3'!M171)</f>
        <v>1.7467301517239955E-3</v>
      </c>
      <c r="M171">
        <f>_xlfn.STDEV.S('R1'!N171,'R2'!N171,'R3'!N171)</f>
        <v>2.8338895592294553E-3</v>
      </c>
      <c r="N171">
        <f>_xlfn.STDEV.S('R1'!O171,'R2'!O171,'R3'!O171)</f>
        <v>3.7479988205139504E-3</v>
      </c>
    </row>
    <row r="172" spans="1:14" x14ac:dyDescent="0.25">
      <c r="A172">
        <f>-'R1'!H172</f>
        <v>16</v>
      </c>
      <c r="B172">
        <f>DEGREES(ATAN(-SIN(RADIANS(('R1'!I172)))/(COS(RADIANS(Sheet1!A172))*COS(RADIANS('R1'!I172)))))</f>
        <v>8.3179701536192301</v>
      </c>
      <c r="C172">
        <f>AVERAGE('R1'!J172,'R2'!J172,'R3'!J172)</f>
        <v>1.1749999999999998</v>
      </c>
      <c r="D172">
        <f>AVERAGE('R1'!K172,'R2'!K172,'R3'!K172)</f>
        <v>21.234341916666668</v>
      </c>
      <c r="E172">
        <f>AVERAGE('R1'!L172,'R2'!L172,'R3'!L172)</f>
        <v>0.44662308368149023</v>
      </c>
      <c r="F172">
        <f>AVERAGE('R1'!M172,'R2'!M172,'R3'!M172)</f>
        <v>-1.1591056027861126</v>
      </c>
      <c r="G172">
        <f>AVERAGE('R1'!N172,'R2'!N172,'R3'!N172)</f>
        <v>-0.16825188044804121</v>
      </c>
      <c r="H172">
        <f>AVERAGE('R1'!O172,'R2'!O172,'R3'!O172)</f>
        <v>0.30635216618170075</v>
      </c>
      <c r="I172">
        <f t="shared" si="6"/>
        <v>4158.391958680555</v>
      </c>
      <c r="K172">
        <f>_xlfn.STDEV.S('R1'!L172,'R2'!L172,'R3'!L172)</f>
        <v>4.1368488961946942E-3</v>
      </c>
      <c r="L172">
        <f>_xlfn.STDEV.S('R1'!M172,'R2'!M172,'R3'!M172)</f>
        <v>1.1003237504119747E-2</v>
      </c>
      <c r="M172">
        <f>_xlfn.STDEV.S('R1'!N172,'R2'!N172,'R3'!N172)</f>
        <v>4.4556094244551361E-3</v>
      </c>
      <c r="N172">
        <f>_xlfn.STDEV.S('R1'!O172,'R2'!O172,'R3'!O172)</f>
        <v>1.0590069014912204E-3</v>
      </c>
    </row>
    <row r="173" spans="1:14" x14ac:dyDescent="0.25">
      <c r="A173">
        <f>-'R1'!H173</f>
        <v>16</v>
      </c>
      <c r="B173">
        <f>DEGREES(ATAN(-SIN(RADIANS(('R1'!I173)))/(COS(RADIANS(Sheet1!A173))*COS(RADIANS('R1'!I173)))))</f>
        <v>4.1606425592731879</v>
      </c>
      <c r="C173">
        <f>AVERAGE('R1'!J173,'R2'!J173,'R3'!J173)</f>
        <v>1.1749999999999998</v>
      </c>
      <c r="D173">
        <f>AVERAGE('R1'!K173,'R2'!K173,'R3'!K173)</f>
        <v>21.054000916666666</v>
      </c>
      <c r="E173">
        <f>AVERAGE('R1'!L173,'R2'!L173,'R3'!L173)</f>
        <v>0.20176016634077606</v>
      </c>
      <c r="F173">
        <f>AVERAGE('R1'!M173,'R2'!M173,'R3'!M173)</f>
        <v>-1.23591628334209</v>
      </c>
      <c r="G173">
        <f>AVERAGE('R1'!N173,'R2'!N173,'R3'!N173)</f>
        <v>-0.15632229628032512</v>
      </c>
      <c r="H173">
        <f>AVERAGE('R1'!O173,'R2'!O173,'R3'!O173)</f>
        <v>0.39500653964457649</v>
      </c>
      <c r="I173">
        <f t="shared" si="6"/>
        <v>4123.0751795138885</v>
      </c>
      <c r="K173">
        <f>_xlfn.STDEV.S('R1'!L173,'R2'!L173,'R3'!L173)</f>
        <v>6.519321942867801E-3</v>
      </c>
      <c r="L173">
        <f>_xlfn.STDEV.S('R1'!M173,'R2'!M173,'R3'!M173)</f>
        <v>1.0697609468234415E-2</v>
      </c>
      <c r="M173">
        <f>_xlfn.STDEV.S('R1'!N173,'R2'!N173,'R3'!N173)</f>
        <v>6.1004724231173892E-3</v>
      </c>
      <c r="N173">
        <f>_xlfn.STDEV.S('R1'!O173,'R2'!O173,'R3'!O173)</f>
        <v>2.3607033494020243E-3</v>
      </c>
    </row>
    <row r="174" spans="1:14" x14ac:dyDescent="0.25">
      <c r="A174">
        <f>-'R1'!H174</f>
        <v>16</v>
      </c>
      <c r="B174">
        <f>DEGREES(ATAN(-SIN(RADIANS(('R1'!I174)))/(COS(RADIANS(Sheet1!A174))*COS(RADIANS('R1'!I174)))))</f>
        <v>0</v>
      </c>
      <c r="C174">
        <f>AVERAGE('R1'!J174,'R2'!J174,'R3'!J174)</f>
        <v>1.1749999999999998</v>
      </c>
      <c r="D174">
        <f>AVERAGE('R1'!K174,'R2'!K174,'R3'!K174)</f>
        <v>20.907302749999996</v>
      </c>
      <c r="E174">
        <f>AVERAGE('R1'!L174,'R2'!L174,'R3'!L174)</f>
        <v>-6.5752041693724061E-2</v>
      </c>
      <c r="F174">
        <f>AVERAGE('R1'!M174,'R2'!M174,'R3'!M174)</f>
        <v>-1.2761166640041883</v>
      </c>
      <c r="G174">
        <f>AVERAGE('R1'!N174,'R2'!N174,'R3'!N174)</f>
        <v>-0.15516858472758557</v>
      </c>
      <c r="H174">
        <f>AVERAGE('R1'!O174,'R2'!O174,'R3'!O174)</f>
        <v>0.44468694992172558</v>
      </c>
      <c r="I174">
        <f t="shared" si="6"/>
        <v>4094.3467885416649</v>
      </c>
      <c r="K174">
        <f>_xlfn.STDEV.S('R1'!L174,'R2'!L174,'R3'!L174)</f>
        <v>4.8623718426120616E-3</v>
      </c>
      <c r="L174">
        <f>_xlfn.STDEV.S('R1'!M174,'R2'!M174,'R3'!M174)</f>
        <v>1.0299753364101777E-2</v>
      </c>
      <c r="M174">
        <f>_xlfn.STDEV.S('R1'!N174,'R2'!N174,'R3'!N174)</f>
        <v>3.8925548885437879E-3</v>
      </c>
      <c r="N174">
        <f>_xlfn.STDEV.S('R1'!O174,'R2'!O174,'R3'!O174)</f>
        <v>2.1367845275736953E-3</v>
      </c>
    </row>
    <row r="175" spans="1:14" x14ac:dyDescent="0.25">
      <c r="A175">
        <f>-'R1'!H175</f>
        <v>16</v>
      </c>
      <c r="B175">
        <f>DEGREES(ATAN(-SIN(RADIANS(('R1'!I175)))/(COS(RADIANS(Sheet1!A175))*COS(RADIANS('R1'!I175)))))</f>
        <v>-4.1606425592731879</v>
      </c>
      <c r="C175">
        <f>AVERAGE('R1'!J175,'R2'!J175,'R3'!J175)</f>
        <v>1.1766666666666665</v>
      </c>
      <c r="D175">
        <f>AVERAGE('R1'!K175,'R2'!K175,'R3'!K175)</f>
        <v>20.722710000000003</v>
      </c>
      <c r="E175">
        <f>AVERAGE('R1'!L175,'R2'!L175,'R3'!L175)</f>
        <v>-0.32175282975364239</v>
      </c>
      <c r="F175">
        <f>AVERAGE('R1'!M175,'R2'!M175,'R3'!M175)</f>
        <v>-1.1892860024835352</v>
      </c>
      <c r="G175">
        <f>AVERAGE('R1'!N175,'R2'!N175,'R3'!N175)</f>
        <v>-0.15449606656305856</v>
      </c>
      <c r="H175">
        <f>AVERAGE('R1'!O175,'R2'!O175,'R3'!O175)</f>
        <v>0.36468461735351809</v>
      </c>
      <c r="I175">
        <f t="shared" si="6"/>
        <v>4063.9536833333332</v>
      </c>
      <c r="K175">
        <f>_xlfn.STDEV.S('R1'!L175,'R2'!L175,'R3'!L175)</f>
        <v>5.2168408276269656E-3</v>
      </c>
      <c r="L175">
        <f>_xlfn.STDEV.S('R1'!M175,'R2'!M175,'R3'!M175)</f>
        <v>8.9151028834368647E-3</v>
      </c>
      <c r="M175">
        <f>_xlfn.STDEV.S('R1'!N175,'R2'!N175,'R3'!N175)</f>
        <v>7.066641313159594E-3</v>
      </c>
      <c r="N175">
        <f>_xlfn.STDEV.S('R1'!O175,'R2'!O175,'R3'!O175)</f>
        <v>4.5831859045093919E-3</v>
      </c>
    </row>
    <row r="176" spans="1:14" x14ac:dyDescent="0.25">
      <c r="A176">
        <f>-'R1'!H176</f>
        <v>16</v>
      </c>
      <c r="B176">
        <f>DEGREES(ATAN(-SIN(RADIANS(('R1'!I176)))/(COS(RADIANS(Sheet1!A176))*COS(RADIANS('R1'!I176)))))</f>
        <v>-8.3179701536192301</v>
      </c>
      <c r="C176">
        <f>AVERAGE('R1'!J176,'R2'!J176,'R3'!J176)</f>
        <v>1.1766666666666665</v>
      </c>
      <c r="D176">
        <f>AVERAGE('R1'!K176,'R2'!K176,'R3'!K176)</f>
        <v>20.634994833333334</v>
      </c>
      <c r="E176">
        <f>AVERAGE('R1'!L176,'R2'!L176,'R3'!L176)</f>
        <v>-0.56647018406895988</v>
      </c>
      <c r="F176">
        <f>AVERAGE('R1'!M176,'R2'!M176,'R3'!M176)</f>
        <v>-1.095912145867219</v>
      </c>
      <c r="G176">
        <f>AVERAGE('R1'!N176,'R2'!N176,'R3'!N176)</f>
        <v>-0.17246526248273766</v>
      </c>
      <c r="H176">
        <f>AVERAGE('R1'!O176,'R2'!O176,'R3'!O176)</f>
        <v>0.30795844466837574</v>
      </c>
      <c r="I176">
        <f t="shared" si="6"/>
        <v>4046.7517645370367</v>
      </c>
      <c r="K176">
        <f>_xlfn.STDEV.S('R1'!L176,'R2'!L176,'R3'!L176)</f>
        <v>6.7436369455188072E-3</v>
      </c>
      <c r="L176">
        <f>_xlfn.STDEV.S('R1'!M176,'R2'!M176,'R3'!M176)</f>
        <v>5.3359699542678343E-3</v>
      </c>
      <c r="M176">
        <f>_xlfn.STDEV.S('R1'!N176,'R2'!N176,'R3'!N176)</f>
        <v>4.3307202124577039E-3</v>
      </c>
      <c r="N176">
        <f>_xlfn.STDEV.S('R1'!O176,'R2'!O176,'R3'!O176)</f>
        <v>5.9544112005192294E-3</v>
      </c>
    </row>
    <row r="177" spans="1:14" x14ac:dyDescent="0.25">
      <c r="A177">
        <f>-'R1'!H177</f>
        <v>16</v>
      </c>
      <c r="B177">
        <f>DEGREES(ATAN(-SIN(RADIANS(('R1'!I177)))/(COS(RADIANS(Sheet1!A177))*COS(RADIANS('R1'!I177)))))</f>
        <v>-12.468747879350856</v>
      </c>
      <c r="C177">
        <f>AVERAGE('R1'!J177,'R2'!J177,'R3'!J177)</f>
        <v>1.1766666666666665</v>
      </c>
      <c r="D177">
        <f>AVERAGE('R1'!K177,'R2'!K177,'R3'!K177)</f>
        <v>20.504247333333328</v>
      </c>
      <c r="E177">
        <f>AVERAGE('R1'!L177,'R2'!L177,'R3'!L177)</f>
        <v>-0.80887425692210357</v>
      </c>
      <c r="F177">
        <f>AVERAGE('R1'!M177,'R2'!M177,'R3'!M177)</f>
        <v>-1.0169001047415016</v>
      </c>
      <c r="G177">
        <f>AVERAGE('R1'!N177,'R2'!N177,'R3'!N177)</f>
        <v>-0.21717992366136105</v>
      </c>
      <c r="H177">
        <f>AVERAGE('R1'!O177,'R2'!O177,'R3'!O177)</f>
        <v>0.25390599750189841</v>
      </c>
      <c r="I177">
        <f t="shared" si="6"/>
        <v>4021.1107270370362</v>
      </c>
      <c r="K177">
        <f>_xlfn.STDEV.S('R1'!L177,'R2'!L177,'R3'!L177)</f>
        <v>8.1701384223037601E-3</v>
      </c>
      <c r="L177">
        <f>_xlfn.STDEV.S('R1'!M177,'R2'!M177,'R3'!M177)</f>
        <v>4.4616716109952374E-3</v>
      </c>
      <c r="M177">
        <f>_xlfn.STDEV.S('R1'!N177,'R2'!N177,'R3'!N177)</f>
        <v>4.7171604542331404E-3</v>
      </c>
      <c r="N177">
        <f>_xlfn.STDEV.S('R1'!O177,'R2'!O177,'R3'!O177)</f>
        <v>6.281195136287495E-3</v>
      </c>
    </row>
    <row r="178" spans="1:14" x14ac:dyDescent="0.25">
      <c r="A178">
        <f>-'R1'!H178</f>
        <v>16</v>
      </c>
      <c r="B178">
        <f>DEGREES(ATAN(-SIN(RADIANS(('R1'!I178)))/(COS(RADIANS(Sheet1!A178))*COS(RADIANS('R1'!I178)))))</f>
        <v>-16.609898016932938</v>
      </c>
      <c r="C178">
        <f>AVERAGE('R1'!J178,'R2'!J178,'R3'!J178)</f>
        <v>1.1766666666666665</v>
      </c>
      <c r="D178">
        <f>AVERAGE('R1'!K178,'R2'!K178,'R3'!K178)</f>
        <v>20.386632083333332</v>
      </c>
      <c r="E178">
        <f>AVERAGE('R1'!L178,'R2'!L178,'R3'!L178)</f>
        <v>-1.0341396885381944</v>
      </c>
      <c r="F178">
        <f>AVERAGE('R1'!M178,'R2'!M178,'R3'!M178)</f>
        <v>-0.99663035504928743</v>
      </c>
      <c r="G178">
        <f>AVERAGE('R1'!N178,'R2'!N178,'R3'!N178)</f>
        <v>-0.30143772864739143</v>
      </c>
      <c r="H178">
        <f>AVERAGE('R1'!O178,'R2'!O178,'R3'!O178)</f>
        <v>0.15621744546009103</v>
      </c>
      <c r="I178">
        <f t="shared" si="6"/>
        <v>3998.0450696759249</v>
      </c>
      <c r="K178">
        <f>_xlfn.STDEV.S('R1'!L178,'R2'!L178,'R3'!L178)</f>
        <v>8.4944207901379108E-3</v>
      </c>
      <c r="L178">
        <f>_xlfn.STDEV.S('R1'!M178,'R2'!M178,'R3'!M178)</f>
        <v>1.1244678201441826E-2</v>
      </c>
      <c r="M178">
        <f>_xlfn.STDEV.S('R1'!N178,'R2'!N178,'R3'!N178)</f>
        <v>6.4854945410222483E-3</v>
      </c>
      <c r="N178">
        <f>_xlfn.STDEV.S('R1'!O178,'R2'!O178,'R3'!O178)</f>
        <v>7.8255965180802061E-3</v>
      </c>
    </row>
    <row r="179" spans="1:14" x14ac:dyDescent="0.25">
      <c r="A179">
        <f>-'R1'!H179</f>
        <v>16</v>
      </c>
      <c r="B179">
        <f>DEGREES(ATAN(-SIN(RADIANS(('R1'!I179)))/(COS(RADIANS(Sheet1!A179))*COS(RADIANS('R1'!I179)))))</f>
        <v>-20.738571475352053</v>
      </c>
      <c r="C179">
        <f>AVERAGE('R1'!J179,'R2'!J179,'R3'!J179)</f>
        <v>1.1766666666666665</v>
      </c>
      <c r="D179">
        <f>AVERAGE('R1'!K179,'R2'!K179,'R3'!K179)</f>
        <v>20.33345816666667</v>
      </c>
      <c r="E179">
        <f>AVERAGE('R1'!L179,'R2'!L179,'R3'!L179)</f>
        <v>-1.2436240032616159</v>
      </c>
      <c r="F179">
        <f>AVERAGE('R1'!M179,'R2'!M179,'R3'!M179)</f>
        <v>-1.0308368475099647</v>
      </c>
      <c r="G179">
        <f>AVERAGE('R1'!N179,'R2'!N179,'R3'!N179)</f>
        <v>-0.4161821803655561</v>
      </c>
      <c r="H179">
        <f>AVERAGE('R1'!O179,'R2'!O179,'R3'!O179)</f>
        <v>1.5634865592093039E-2</v>
      </c>
      <c r="I179">
        <f t="shared" si="6"/>
        <v>3987.6170737962966</v>
      </c>
      <c r="K179">
        <f>_xlfn.STDEV.S('R1'!L179,'R2'!L179,'R3'!L179)</f>
        <v>3.5360010911251612E-3</v>
      </c>
      <c r="L179">
        <f>_xlfn.STDEV.S('R1'!M179,'R2'!M179,'R3'!M179)</f>
        <v>9.468548432675571E-3</v>
      </c>
      <c r="M179">
        <f>_xlfn.STDEV.S('R1'!N179,'R2'!N179,'R3'!N179)</f>
        <v>3.7239803960226704E-3</v>
      </c>
      <c r="N179">
        <f>_xlfn.STDEV.S('R1'!O179,'R2'!O179,'R3'!O179)</f>
        <v>3.6025178539971169E-3</v>
      </c>
    </row>
    <row r="180" spans="1:14" x14ac:dyDescent="0.25">
      <c r="A180">
        <f>-'R1'!H180</f>
        <v>16</v>
      </c>
      <c r="B180">
        <f>DEGREES(ATAN(-SIN(RADIANS(('R1'!I180)))/(COS(RADIANS(Sheet1!A180))*COS(RADIANS('R1'!I180)))))</f>
        <v>-24.852211192112133</v>
      </c>
      <c r="C180">
        <f>AVERAGE('R1'!J180,'R2'!J180,'R3'!J180)</f>
        <v>1.1766666666666665</v>
      </c>
      <c r="D180">
        <f>AVERAGE('R1'!K180,'R2'!K180,'R3'!K180)</f>
        <v>20.213602416666664</v>
      </c>
      <c r="E180">
        <f>AVERAGE('R1'!L180,'R2'!L180,'R3'!L180)</f>
        <v>-1.4565140222964816</v>
      </c>
      <c r="F180">
        <f>AVERAGE('R1'!M180,'R2'!M180,'R3'!M180)</f>
        <v>-1.102131101941989</v>
      </c>
      <c r="G180">
        <f>AVERAGE('R1'!N180,'R2'!N180,'R3'!N180)</f>
        <v>-0.56627942696011113</v>
      </c>
      <c r="H180">
        <f>AVERAGE('R1'!O180,'R2'!O180,'R3'!O180)</f>
        <v>-0.16181235770270908</v>
      </c>
      <c r="I180">
        <f t="shared" si="6"/>
        <v>3964.1120294907396</v>
      </c>
      <c r="K180">
        <f>_xlfn.STDEV.S('R1'!L180,'R2'!L180,'R3'!L180)</f>
        <v>5.9132552287230718E-3</v>
      </c>
      <c r="L180">
        <f>_xlfn.STDEV.S('R1'!M180,'R2'!M180,'R3'!M180)</f>
        <v>9.8416117345269446E-3</v>
      </c>
      <c r="M180">
        <f>_xlfn.STDEV.S('R1'!N180,'R2'!N180,'R3'!N180)</f>
        <v>8.6072966096697647E-3</v>
      </c>
      <c r="N180">
        <f>_xlfn.STDEV.S('R1'!O180,'R2'!O180,'R3'!O180)</f>
        <v>7.9860735991574665E-3</v>
      </c>
    </row>
    <row r="181" spans="1:14" x14ac:dyDescent="0.25">
      <c r="A181">
        <f>-'R1'!H181</f>
        <v>16</v>
      </c>
      <c r="B181">
        <f>DEGREES(ATAN(-SIN(RADIANS(('R1'!I181)))/(COS(RADIANS(Sheet1!A181))*COS(RADIANS('R1'!I181)))))</f>
        <v>-28.948605633454871</v>
      </c>
      <c r="C181">
        <f>AVERAGE('R1'!J181,'R2'!J181,'R3'!J181)</f>
        <v>1.1766666666666665</v>
      </c>
      <c r="D181">
        <f>AVERAGE('R1'!K181,'R2'!K181,'R3'!K181)</f>
        <v>20.136299249999997</v>
      </c>
      <c r="E181">
        <f>AVERAGE('R1'!L181,'R2'!L181,'R3'!L181)</f>
        <v>-1.6836789060650321</v>
      </c>
      <c r="F181">
        <f>AVERAGE('R1'!M181,'R2'!M181,'R3'!M181)</f>
        <v>-1.1923406288042855</v>
      </c>
      <c r="G181">
        <f>AVERAGE('R1'!N181,'R2'!N181,'R3'!N181)</f>
        <v>-0.74894628573383282</v>
      </c>
      <c r="H181">
        <f>AVERAGE('R1'!O181,'R2'!O181,'R3'!O181)</f>
        <v>-0.36161778782494552</v>
      </c>
      <c r="I181">
        <f t="shared" si="6"/>
        <v>3948.9520195833329</v>
      </c>
      <c r="K181">
        <f>_xlfn.STDEV.S('R1'!L181,'R2'!L181,'R3'!L181)</f>
        <v>1.0128538676711357E-2</v>
      </c>
      <c r="L181">
        <f>_xlfn.STDEV.S('R1'!M181,'R2'!M181,'R3'!M181)</f>
        <v>1.119431806630009E-2</v>
      </c>
      <c r="M181">
        <f>_xlfn.STDEV.S('R1'!N181,'R2'!N181,'R3'!N181)</f>
        <v>1.4870247103568926E-2</v>
      </c>
      <c r="N181">
        <f>_xlfn.STDEV.S('R1'!O181,'R2'!O181,'R3'!O181)</f>
        <v>8.4610698845260287E-3</v>
      </c>
    </row>
    <row r="182" spans="1:14" x14ac:dyDescent="0.25">
      <c r="A182">
        <f>-'R1'!H182</f>
        <v>16</v>
      </c>
      <c r="B182">
        <f>DEGREES(ATAN(-SIN(RADIANS(('R1'!I182)))/(COS(RADIANS(Sheet1!A182))*COS(RADIANS('R1'!I182)))))</f>
        <v>-33.025931133441695</v>
      </c>
      <c r="C182">
        <f>AVERAGE('R1'!J182,'R2'!J182,'R3'!J182)</f>
        <v>1.1766666666666665</v>
      </c>
      <c r="D182">
        <f>AVERAGE('R1'!K182,'R2'!K182,'R3'!K182)</f>
        <v>20.073045083333334</v>
      </c>
      <c r="E182">
        <f>AVERAGE('R1'!L182,'R2'!L182,'R3'!L182)</f>
        <v>-1.9460931102531152</v>
      </c>
      <c r="F182">
        <f>AVERAGE('R1'!M182,'R2'!M182,'R3'!M182)</f>
        <v>-1.3033062495819507</v>
      </c>
      <c r="G182">
        <f>AVERAGE('R1'!N182,'R2'!N182,'R3'!N182)</f>
        <v>-0.98277792656657781</v>
      </c>
      <c r="H182">
        <f>AVERAGE('R1'!O182,'R2'!O182,'R3'!O182)</f>
        <v>-0.58253084184542248</v>
      </c>
      <c r="I182">
        <f t="shared" si="6"/>
        <v>3936.5471746759258</v>
      </c>
      <c r="K182">
        <f>_xlfn.STDEV.S('R1'!L182,'R2'!L182,'R3'!L182)</f>
        <v>9.0184518360744911E-3</v>
      </c>
      <c r="L182">
        <f>_xlfn.STDEV.S('R1'!M182,'R2'!M182,'R3'!M182)</f>
        <v>2.2067098239639153E-2</v>
      </c>
      <c r="M182">
        <f>_xlfn.STDEV.S('R1'!N182,'R2'!N182,'R3'!N182)</f>
        <v>1.9576459342348522E-2</v>
      </c>
      <c r="N182">
        <f>_xlfn.STDEV.S('R1'!O182,'R2'!O182,'R3'!O182)</f>
        <v>8.8989562160123482E-3</v>
      </c>
    </row>
    <row r="183" spans="1:14" x14ac:dyDescent="0.25">
      <c r="A183">
        <f>-'R1'!H183</f>
        <v>16</v>
      </c>
      <c r="B183">
        <f>DEGREES(ATAN(-SIN(RADIANS(('R1'!I183)))/(COS(RADIANS(Sheet1!A183))*COS(RADIANS('R1'!I183)))))</f>
        <v>-37.082782431142171</v>
      </c>
      <c r="C183">
        <f>AVERAGE('R1'!J183,'R2'!J183,'R3'!J183)</f>
        <v>1.1766666666666665</v>
      </c>
      <c r="D183">
        <f>AVERAGE('R1'!K183,'R2'!K183,'R3'!K183)</f>
        <v>19.987412666666668</v>
      </c>
      <c r="E183">
        <f>AVERAGE('R1'!L183,'R2'!L183,'R3'!L183)</f>
        <v>-2.2708211428759828</v>
      </c>
      <c r="F183">
        <f>AVERAGE('R1'!M183,'R2'!M183,'R3'!M183)</f>
        <v>-1.452526779765239</v>
      </c>
      <c r="G183">
        <f>AVERAGE('R1'!N183,'R2'!N183,'R3'!N183)</f>
        <v>-1.2954963187850996</v>
      </c>
      <c r="H183">
        <f>AVERAGE('R1'!O183,'R2'!O183,'R3'!O183)</f>
        <v>-0.83343367317885608</v>
      </c>
      <c r="I183">
        <f t="shared" si="6"/>
        <v>3919.7537062962965</v>
      </c>
      <c r="K183">
        <f>_xlfn.STDEV.S('R1'!L183,'R2'!L183,'R3'!L183)</f>
        <v>9.0566578710817545E-3</v>
      </c>
      <c r="L183">
        <f>_xlfn.STDEV.S('R1'!M183,'R2'!M183,'R3'!M183)</f>
        <v>1.2926902324639174E-2</v>
      </c>
      <c r="M183">
        <f>_xlfn.STDEV.S('R1'!N183,'R2'!N183,'R3'!N183)</f>
        <v>1.1907716457431846E-2</v>
      </c>
      <c r="N183">
        <f>_xlfn.STDEV.S('R1'!O183,'R2'!O183,'R3'!O183)</f>
        <v>2.8236170140021563E-3</v>
      </c>
    </row>
    <row r="184" spans="1:14" x14ac:dyDescent="0.25">
      <c r="A184">
        <f>-'R1'!H184</f>
        <v>16</v>
      </c>
      <c r="B184">
        <f>DEGREES(ATAN(-SIN(RADIANS(('R1'!I184)))/(COS(RADIANS(Sheet1!A184))*COS(RADIANS('R1'!I184)))))</f>
        <v>-41.118191358294368</v>
      </c>
      <c r="C184">
        <f>AVERAGE('R1'!J184,'R2'!J184,'R3'!J184)</f>
        <v>1.1766666666666665</v>
      </c>
      <c r="D184">
        <f>AVERAGE('R1'!K184,'R2'!K184,'R3'!K184)</f>
        <v>19.941692083333333</v>
      </c>
      <c r="E184">
        <f>AVERAGE('R1'!L184,'R2'!L184,'R3'!L184)</f>
        <v>-2.705275627427719</v>
      </c>
      <c r="F184">
        <f>AVERAGE('R1'!M184,'R2'!M184,'R3'!M184)</f>
        <v>-1.658169474391527</v>
      </c>
      <c r="G184">
        <f>AVERAGE('R1'!N184,'R2'!N184,'R3'!N184)</f>
        <v>-1.7359956775385939</v>
      </c>
      <c r="H184">
        <f>AVERAGE('R1'!O184,'R2'!O184,'R3'!O184)</f>
        <v>-1.1471733211287718</v>
      </c>
      <c r="I184">
        <f t="shared" si="6"/>
        <v>3910.7873918981477</v>
      </c>
      <c r="K184">
        <f>_xlfn.STDEV.S('R1'!L184,'R2'!L184,'R3'!L184)</f>
        <v>9.5539853845159617E-3</v>
      </c>
      <c r="L184">
        <f>_xlfn.STDEV.S('R1'!M184,'R2'!M184,'R3'!M184)</f>
        <v>1.5045920281922E-2</v>
      </c>
      <c r="M184">
        <f>_xlfn.STDEV.S('R1'!N184,'R2'!N184,'R3'!N184)</f>
        <v>1.7229731433434547E-2</v>
      </c>
      <c r="N184">
        <f>_xlfn.STDEV.S('R1'!O184,'R2'!O184,'R3'!O184)</f>
        <v>8.0052481120967672E-3</v>
      </c>
    </row>
    <row r="185" spans="1:14" x14ac:dyDescent="0.25">
      <c r="A185">
        <f>-'R1'!H185</f>
        <v>16</v>
      </c>
      <c r="B185">
        <f>DEGREES(ATAN(-SIN(RADIANS(('R1'!I185)))/(COS(RADIANS(Sheet1!A185))*COS(RADIANS('R1'!I185)))))</f>
        <v>-45.131634150601585</v>
      </c>
      <c r="C185">
        <f>AVERAGE('R1'!J185,'R2'!J185,'R3'!J185)</f>
        <v>1.1766666666666665</v>
      </c>
      <c r="D185">
        <f>AVERAGE('R1'!K185,'R2'!K185,'R3'!K185)</f>
        <v>19.856153166666669</v>
      </c>
      <c r="E185">
        <f>AVERAGE('R1'!L185,'R2'!L185,'R3'!L185)</f>
        <v>-3.2918262862525083</v>
      </c>
      <c r="F185">
        <f>AVERAGE('R1'!M185,'R2'!M185,'R3'!M185)</f>
        <v>-1.9386613410796034</v>
      </c>
      <c r="G185">
        <f>AVERAGE('R1'!N185,'R2'!N185,'R3'!N185)</f>
        <v>-2.3551371677908279</v>
      </c>
      <c r="H185">
        <f>AVERAGE('R1'!O185,'R2'!O185,'R3'!O185)</f>
        <v>-1.5581919739890358</v>
      </c>
      <c r="I185">
        <f t="shared" si="6"/>
        <v>3894.012259907408</v>
      </c>
      <c r="K185">
        <f>_xlfn.STDEV.S('R1'!L185,'R2'!L185,'R3'!L185)</f>
        <v>5.3781245165839793E-3</v>
      </c>
      <c r="L185">
        <f>_xlfn.STDEV.S('R1'!M185,'R2'!M185,'R3'!M185)</f>
        <v>1.1977894527502569E-2</v>
      </c>
      <c r="M185">
        <f>_xlfn.STDEV.S('R1'!N185,'R2'!N185,'R3'!N185)</f>
        <v>1.3865566559077908E-2</v>
      </c>
      <c r="N185">
        <f>_xlfn.STDEV.S('R1'!O185,'R2'!O185,'R3'!O185)</f>
        <v>6.752989554713899E-3</v>
      </c>
    </row>
    <row r="186" spans="1:14" x14ac:dyDescent="0.25">
      <c r="A186">
        <f>-'R1'!H186</f>
        <v>12</v>
      </c>
      <c r="B186">
        <f>DEGREES(ATAN(-SIN(RADIANS(('R1'!I186)))/(COS(RADIANS(Sheet1!A186))*COS(RADIANS('R1'!I186)))))</f>
        <v>44.632773428056808</v>
      </c>
      <c r="C186">
        <f>AVERAGE('R1'!J186,'R2'!J186,'R3'!J186)</f>
        <v>1.1766666666666665</v>
      </c>
      <c r="D186">
        <f>AVERAGE('R1'!K186,'R2'!K186,'R3'!K186)</f>
        <v>19.774423083333332</v>
      </c>
      <c r="E186">
        <f>AVERAGE('R1'!L186,'R2'!L186,'R3'!L186)</f>
        <v>2.4214884732385347</v>
      </c>
      <c r="F186">
        <f>AVERAGE('R1'!M186,'R2'!M186,'R3'!M186)</f>
        <v>-1.1984599729504521</v>
      </c>
      <c r="G186">
        <f>AVERAGE('R1'!N186,'R2'!N186,'R3'!N186)</f>
        <v>-1.3705480272433341</v>
      </c>
      <c r="H186">
        <f>AVERAGE('R1'!O186,'R2'!O186,'R3'!O186)</f>
        <v>-1.10047116745347</v>
      </c>
      <c r="I186">
        <f t="shared" si="6"/>
        <v>3877.9840824537027</v>
      </c>
      <c r="K186">
        <f>_xlfn.STDEV.S('R1'!L186,'R2'!L186,'R3'!L186)</f>
        <v>6.9865695102581766E-3</v>
      </c>
      <c r="L186">
        <f>_xlfn.STDEV.S('R1'!M186,'R2'!M186,'R3'!M186)</f>
        <v>3.2940205679492275E-3</v>
      </c>
      <c r="M186">
        <f>_xlfn.STDEV.S('R1'!N186,'R2'!N186,'R3'!N186)</f>
        <v>4.9558873700554906E-3</v>
      </c>
      <c r="N186">
        <f>_xlfn.STDEV.S('R1'!O186,'R2'!O186,'R3'!O186)</f>
        <v>5.3931563228851037E-3</v>
      </c>
    </row>
    <row r="187" spans="1:14" x14ac:dyDescent="0.25">
      <c r="A187">
        <f>-'R1'!H187</f>
        <v>12</v>
      </c>
      <c r="B187">
        <f>DEGREES(ATAN(-SIN(RADIANS(('R1'!I187)))/(COS(RADIANS(Sheet1!A187))*COS(RADIANS('R1'!I187)))))</f>
        <v>40.624498244732152</v>
      </c>
      <c r="C187">
        <f>AVERAGE('R1'!J187,'R2'!J187,'R3'!J187)</f>
        <v>1.1749999999999998</v>
      </c>
      <c r="D187">
        <f>AVERAGE('R1'!K187,'R2'!K187,'R3'!K187)</f>
        <v>19.847077166666665</v>
      </c>
      <c r="E187">
        <f>AVERAGE('R1'!L187,'R2'!L187,'R3'!L187)</f>
        <v>2.163761116171111</v>
      </c>
      <c r="F187">
        <f>AVERAGE('R1'!M187,'R2'!M187,'R3'!M187)</f>
        <v>-1.0817342807990664</v>
      </c>
      <c r="G187">
        <f>AVERAGE('R1'!N187,'R2'!N187,'R3'!N187)</f>
        <v>-1.0778638202031472</v>
      </c>
      <c r="H187">
        <f>AVERAGE('R1'!O187,'R2'!O187,'R3'!O187)</f>
        <v>-0.86109961462181939</v>
      </c>
      <c r="I187">
        <f t="shared" si="6"/>
        <v>3886.719278472221</v>
      </c>
      <c r="K187">
        <f>_xlfn.STDEV.S('R1'!L187,'R2'!L187,'R3'!L187)</f>
        <v>5.3611777016549147E-3</v>
      </c>
      <c r="L187">
        <f>_xlfn.STDEV.S('R1'!M187,'R2'!M187,'R3'!M187)</f>
        <v>3.2262781521522452E-3</v>
      </c>
      <c r="M187">
        <f>_xlfn.STDEV.S('R1'!N187,'R2'!N187,'R3'!N187)</f>
        <v>5.475407222324198E-3</v>
      </c>
      <c r="N187">
        <f>_xlfn.STDEV.S('R1'!O187,'R2'!O187,'R3'!O187)</f>
        <v>4.2827417509561207E-3</v>
      </c>
    </row>
    <row r="188" spans="1:14" x14ac:dyDescent="0.25">
      <c r="A188">
        <f>-'R1'!H188</f>
        <v>12</v>
      </c>
      <c r="B188">
        <f>DEGREES(ATAN(-SIN(RADIANS(('R1'!I188)))/(COS(RADIANS(Sheet1!A188))*COS(RADIANS('R1'!I188)))))</f>
        <v>36.604002006988381</v>
      </c>
      <c r="C188">
        <f>AVERAGE('R1'!J188,'R2'!J188,'R3'!J188)</f>
        <v>1.1766666666666665</v>
      </c>
      <c r="D188">
        <f>AVERAGE('R1'!K188,'R2'!K188,'R3'!K188)</f>
        <v>20.600081333333332</v>
      </c>
      <c r="E188">
        <f>AVERAGE('R1'!L188,'R2'!L188,'R3'!L188)</f>
        <v>1.9522594274869698</v>
      </c>
      <c r="F188">
        <f>AVERAGE('R1'!M188,'R2'!M188,'R3'!M188)</f>
        <v>-0.98494589443952629</v>
      </c>
      <c r="G188">
        <f>AVERAGE('R1'!N188,'R2'!N188,'R3'!N188)</f>
        <v>-0.84943782344154128</v>
      </c>
      <c r="H188">
        <f>AVERAGE('R1'!O188,'R2'!O188,'R3'!O188)</f>
        <v>-0.65782381110485366</v>
      </c>
      <c r="I188">
        <f t="shared" si="6"/>
        <v>4039.9048392592586</v>
      </c>
      <c r="K188">
        <f>_xlfn.STDEV.S('R1'!L188,'R2'!L188,'R3'!L188)</f>
        <v>2.4812469262904761E-3</v>
      </c>
      <c r="L188">
        <f>_xlfn.STDEV.S('R1'!M188,'R2'!M188,'R3'!M188)</f>
        <v>1.9804635200305425E-3</v>
      </c>
      <c r="M188">
        <f>_xlfn.STDEV.S('R1'!N188,'R2'!N188,'R3'!N188)</f>
        <v>3.7629447483682535E-3</v>
      </c>
      <c r="N188">
        <f>_xlfn.STDEV.S('R1'!O188,'R2'!O188,'R3'!O188)</f>
        <v>1.705898438869908E-3</v>
      </c>
    </row>
    <row r="189" spans="1:14" x14ac:dyDescent="0.25">
      <c r="A189">
        <f>-'R1'!H189</f>
        <v>12</v>
      </c>
      <c r="B189">
        <f>DEGREES(ATAN(-SIN(RADIANS(('R1'!I189)))/(COS(RADIANS(Sheet1!A189))*COS(RADIANS('R1'!I189)))))</f>
        <v>32.571632726288172</v>
      </c>
      <c r="C189">
        <f>AVERAGE('R1'!J189,'R2'!J189,'R3'!J189)</f>
        <v>1.1766666666666665</v>
      </c>
      <c r="D189">
        <f>AVERAGE('R1'!K189,'R2'!K189,'R3'!K189)</f>
        <v>21.291815000000003</v>
      </c>
      <c r="E189">
        <f>AVERAGE('R1'!L189,'R2'!L189,'R3'!L189)</f>
        <v>1.753094720298991</v>
      </c>
      <c r="F189">
        <f>AVERAGE('R1'!M189,'R2'!M189,'R3'!M189)</f>
        <v>-0.90826128968443198</v>
      </c>
      <c r="G189">
        <f>AVERAGE('R1'!N189,'R2'!N189,'R3'!N189)</f>
        <v>-0.65901730036679862</v>
      </c>
      <c r="H189">
        <f>AVERAGE('R1'!O189,'R2'!O189,'R3'!O189)</f>
        <v>-0.46636294794957478</v>
      </c>
      <c r="I189">
        <f t="shared" si="6"/>
        <v>4175.5614972222229</v>
      </c>
      <c r="K189">
        <f>_xlfn.STDEV.S('R1'!L189,'R2'!L189,'R3'!L189)</f>
        <v>4.4695417303202215E-3</v>
      </c>
      <c r="L189">
        <f>_xlfn.STDEV.S('R1'!M189,'R2'!M189,'R3'!M189)</f>
        <v>3.9462533093066994E-3</v>
      </c>
      <c r="M189">
        <f>_xlfn.STDEV.S('R1'!N189,'R2'!N189,'R3'!N189)</f>
        <v>5.7811648046662183E-3</v>
      </c>
      <c r="N189">
        <f>_xlfn.STDEV.S('R1'!O189,'R2'!O189,'R3'!O189)</f>
        <v>1.0811692726870362E-3</v>
      </c>
    </row>
    <row r="190" spans="1:14" x14ac:dyDescent="0.25">
      <c r="A190">
        <f>-'R1'!H190</f>
        <v>12</v>
      </c>
      <c r="B190">
        <f>DEGREES(ATAN(-SIN(RADIANS(('R1'!I190)))/(COS(RADIANS(Sheet1!A190))*COS(RADIANS('R1'!I190)))))</f>
        <v>28.527978326363606</v>
      </c>
      <c r="C190">
        <f>AVERAGE('R1'!J190,'R2'!J190,'R3'!J190)</f>
        <v>1.1766666666666665</v>
      </c>
      <c r="D190">
        <f>AVERAGE('R1'!K190,'R2'!K190,'R3'!K190)</f>
        <v>21.184028166666668</v>
      </c>
      <c r="E190">
        <f>AVERAGE('R1'!L190,'R2'!L190,'R3'!L190)</f>
        <v>1.5639374667810557</v>
      </c>
      <c r="F190">
        <f>AVERAGE('R1'!M190,'R2'!M190,'R3'!M190)</f>
        <v>-0.86142931387215238</v>
      </c>
      <c r="G190">
        <f>AVERAGE('R1'!N190,'R2'!N190,'R3'!N190)</f>
        <v>-0.50945749045179778</v>
      </c>
      <c r="H190">
        <f>AVERAGE('R1'!O190,'R2'!O190,'R3'!O190)</f>
        <v>-0.28517402171080236</v>
      </c>
      <c r="I190">
        <f t="shared" si="6"/>
        <v>4154.4233015740738</v>
      </c>
      <c r="K190">
        <f>_xlfn.STDEV.S('R1'!L190,'R2'!L190,'R3'!L190)</f>
        <v>5.8521207417680512E-3</v>
      </c>
      <c r="L190">
        <f>_xlfn.STDEV.S('R1'!M190,'R2'!M190,'R3'!M190)</f>
        <v>3.4126441035652669E-3</v>
      </c>
      <c r="M190">
        <f>_xlfn.STDEV.S('R1'!N190,'R2'!N190,'R3'!N190)</f>
        <v>2.4211611973108229E-3</v>
      </c>
      <c r="N190">
        <f>_xlfn.STDEV.S('R1'!O190,'R2'!O190,'R3'!O190)</f>
        <v>4.6678867423197053E-3</v>
      </c>
    </row>
    <row r="191" spans="1:14" x14ac:dyDescent="0.25">
      <c r="A191">
        <f>-'R1'!H191</f>
        <v>12</v>
      </c>
      <c r="B191">
        <f>DEGREES(ATAN(-SIN(RADIANS(('R1'!I191)))/(COS(RADIANS(Sheet1!A191))*COS(RADIANS('R1'!I191)))))</f>
        <v>24.473858605038014</v>
      </c>
      <c r="C191">
        <f>AVERAGE('R1'!J191,'R2'!J191,'R3'!J191)</f>
        <v>1.1766666666666665</v>
      </c>
      <c r="D191">
        <f>AVERAGE('R1'!K191,'R2'!K191,'R3'!K191)</f>
        <v>21.427478833333328</v>
      </c>
      <c r="E191">
        <f>AVERAGE('R1'!L191,'R2'!L191,'R3'!L191)</f>
        <v>1.379084707830885</v>
      </c>
      <c r="F191">
        <f>AVERAGE('R1'!M191,'R2'!M191,'R3'!M191)</f>
        <v>-0.82149678738252696</v>
      </c>
      <c r="G191">
        <f>AVERAGE('R1'!N191,'R2'!N191,'R3'!N191)</f>
        <v>-0.38288443828032487</v>
      </c>
      <c r="H191">
        <f>AVERAGE('R1'!O191,'R2'!O191,'R3'!O191)</f>
        <v>-0.10852349196196258</v>
      </c>
      <c r="I191">
        <f t="shared" si="6"/>
        <v>4202.1666823148134</v>
      </c>
      <c r="K191">
        <f>_xlfn.STDEV.S('R1'!L191,'R2'!L191,'R3'!L191)</f>
        <v>2.2549122618254307E-3</v>
      </c>
      <c r="L191">
        <f>_xlfn.STDEV.S('R1'!M191,'R2'!M191,'R3'!M191)</f>
        <v>3.5536143061979972E-3</v>
      </c>
      <c r="M191">
        <f>_xlfn.STDEV.S('R1'!N191,'R2'!N191,'R3'!N191)</f>
        <v>3.4052142781648498E-3</v>
      </c>
      <c r="N191">
        <f>_xlfn.STDEV.S('R1'!O191,'R2'!O191,'R3'!O191)</f>
        <v>2.861457704133884E-3</v>
      </c>
    </row>
    <row r="192" spans="1:14" x14ac:dyDescent="0.25">
      <c r="A192">
        <f>-'R1'!H192</f>
        <v>12</v>
      </c>
      <c r="B192">
        <f>DEGREES(ATAN(-SIN(RADIANS(('R1'!I192)))/(COS(RADIANS(Sheet1!A192))*COS(RADIANS('R1'!I192)))))</f>
        <v>20.410311753659691</v>
      </c>
      <c r="C192">
        <f>AVERAGE('R1'!J192,'R2'!J192,'R3'!J192)</f>
        <v>1.1741666666666666</v>
      </c>
      <c r="D192">
        <f>AVERAGE('R1'!K192,'R2'!K192,'R3'!K192)</f>
        <v>21.691788750000001</v>
      </c>
      <c r="E192">
        <f>AVERAGE('R1'!L192,'R2'!L192,'R3'!L192)</f>
        <v>1.1791149339319353</v>
      </c>
      <c r="F192">
        <f>AVERAGE('R1'!M192,'R2'!M192,'R3'!M192)</f>
        <v>-0.8085880500044792</v>
      </c>
      <c r="G192">
        <f>AVERAGE('R1'!N192,'R2'!N192,'R3'!N192)</f>
        <v>-0.27959934557296329</v>
      </c>
      <c r="H192">
        <f>AVERAGE('R1'!O192,'R2'!O192,'R3'!O192)</f>
        <v>5.390208205298902E-2</v>
      </c>
      <c r="I192">
        <f t="shared" si="6"/>
        <v>4244.9625484374992</v>
      </c>
      <c r="K192">
        <f>_xlfn.STDEV.S('R1'!L192,'R2'!L192,'R3'!L192)</f>
        <v>4.5051859523371242E-3</v>
      </c>
      <c r="L192">
        <f>_xlfn.STDEV.S('R1'!M192,'R2'!M192,'R3'!M192)</f>
        <v>1.215417421024453E-2</v>
      </c>
      <c r="M192">
        <f>_xlfn.STDEV.S('R1'!N192,'R2'!N192,'R3'!N192)</f>
        <v>3.1518414494073155E-3</v>
      </c>
      <c r="N192">
        <f>_xlfn.STDEV.S('R1'!O192,'R2'!O192,'R3'!O192)</f>
        <v>1.0846825372479855E-3</v>
      </c>
    </row>
    <row r="193" spans="1:14" x14ac:dyDescent="0.25">
      <c r="A193">
        <f>-'R1'!H193</f>
        <v>12</v>
      </c>
      <c r="B193">
        <f>DEGREES(ATAN(-SIN(RADIANS(('R1'!I193)))/(COS(RADIANS(Sheet1!A193))*COS(RADIANS('R1'!I193)))))</f>
        <v>16.338575476506957</v>
      </c>
      <c r="C193">
        <f>AVERAGE('R1'!J193,'R2'!J193,'R3'!J193)</f>
        <v>1.1766666666666665</v>
      </c>
      <c r="D193">
        <f>AVERAGE('R1'!K193,'R2'!K193,'R3'!K193)</f>
        <v>21.384243999999999</v>
      </c>
      <c r="E193">
        <f>AVERAGE('R1'!L193,'R2'!L193,'R3'!L193)</f>
        <v>0.95798677189321724</v>
      </c>
      <c r="F193">
        <f>AVERAGE('R1'!M193,'R2'!M193,'R3'!M193)</f>
        <v>-0.82722593202125916</v>
      </c>
      <c r="G193">
        <f>AVERAGE('R1'!N193,'R2'!N193,'R3'!N193)</f>
        <v>-0.19645275473348237</v>
      </c>
      <c r="H193">
        <f>AVERAGE('R1'!O193,'R2'!O193,'R3'!O193)</f>
        <v>0.2040177460216317</v>
      </c>
      <c r="I193">
        <f t="shared" si="6"/>
        <v>4193.6878511111108</v>
      </c>
      <c r="K193">
        <f>_xlfn.STDEV.S('R1'!L193,'R2'!L193,'R3'!L193)</f>
        <v>9.5107673038231158E-3</v>
      </c>
      <c r="L193">
        <f>_xlfn.STDEV.S('R1'!M193,'R2'!M193,'R3'!M193)</f>
        <v>6.9327991883883656E-3</v>
      </c>
      <c r="M193">
        <f>_xlfn.STDEV.S('R1'!N193,'R2'!N193,'R3'!N193)</f>
        <v>4.2171142014240008E-3</v>
      </c>
      <c r="N193">
        <f>_xlfn.STDEV.S('R1'!O193,'R2'!O193,'R3'!O193)</f>
        <v>7.5441019575489725E-3</v>
      </c>
    </row>
    <row r="194" spans="1:14" x14ac:dyDescent="0.25">
      <c r="A194">
        <f>-'R1'!H194</f>
        <v>12</v>
      </c>
      <c r="B194">
        <f>DEGREES(ATAN(-SIN(RADIANS(('R1'!I194)))/(COS(RADIANS(Sheet1!A194))*COS(RADIANS('R1'!I194)))))</f>
        <v>12.260062948059348</v>
      </c>
      <c r="C194">
        <f>AVERAGE('R1'!J194,'R2'!J194,'R3'!J194)</f>
        <v>1.1749999999999998</v>
      </c>
      <c r="D194">
        <f>AVERAGE('R1'!K194,'R2'!K194,'R3'!K194)</f>
        <v>21.174424166666668</v>
      </c>
      <c r="E194">
        <f>AVERAGE('R1'!L194,'R2'!L194,'R3'!L194)</f>
        <v>0.72607545688495423</v>
      </c>
      <c r="F194">
        <f>AVERAGE('R1'!M194,'R2'!M194,'R3'!M194)</f>
        <v>-0.86454284467068865</v>
      </c>
      <c r="G194">
        <f>AVERAGE('R1'!N194,'R2'!N194,'R3'!N194)</f>
        <v>-0.13972989767711433</v>
      </c>
      <c r="H194">
        <f>AVERAGE('R1'!O194,'R2'!O194,'R3'!O194)</f>
        <v>0.35461573413161318</v>
      </c>
      <c r="I194">
        <f t="shared" si="6"/>
        <v>4146.6580659722222</v>
      </c>
      <c r="K194">
        <f>_xlfn.STDEV.S('R1'!L194,'R2'!L194,'R3'!L194)</f>
        <v>4.98213341489056E-3</v>
      </c>
      <c r="L194">
        <f>_xlfn.STDEV.S('R1'!M194,'R2'!M194,'R3'!M194)</f>
        <v>5.9038137083625812E-3</v>
      </c>
      <c r="M194">
        <f>_xlfn.STDEV.S('R1'!N194,'R2'!N194,'R3'!N194)</f>
        <v>7.0352040652091037E-4</v>
      </c>
      <c r="N194">
        <f>_xlfn.STDEV.S('R1'!O194,'R2'!O194,'R3'!O194)</f>
        <v>7.7835792230852309E-4</v>
      </c>
    </row>
    <row r="195" spans="1:14" x14ac:dyDescent="0.25">
      <c r="A195">
        <f>-'R1'!H195</f>
        <v>12</v>
      </c>
      <c r="B195">
        <f>DEGREES(ATAN(-SIN(RADIANS(('R1'!I195)))/(COS(RADIANS(Sheet1!A195))*COS(RADIANS('R1'!I195)))))</f>
        <v>8.1763340518815415</v>
      </c>
      <c r="C195">
        <f>AVERAGE('R1'!J195,'R2'!J195,'R3'!J195)</f>
        <v>1.1741666666666666</v>
      </c>
      <c r="D195">
        <f>AVERAGE('R1'!K195,'R2'!K195,'R3'!K195)</f>
        <v>21.046980250000001</v>
      </c>
      <c r="E195">
        <f>AVERAGE('R1'!L195,'R2'!L195,'R3'!L195)</f>
        <v>0.48398489752629076</v>
      </c>
      <c r="F195">
        <f>AVERAGE('R1'!M195,'R2'!M195,'R3'!M195)</f>
        <v>-0.91641322500916844</v>
      </c>
      <c r="G195">
        <f>AVERAGE('R1'!N195,'R2'!N195,'R3'!N195)</f>
        <v>-9.9442992700223318E-2</v>
      </c>
      <c r="H195">
        <f>AVERAGE('R1'!O195,'R2'!O195,'R3'!O195)</f>
        <v>0.47906481947390622</v>
      </c>
      <c r="I195">
        <f t="shared" ref="I195:I258" si="7">C195*D195*0.003/(1.8*10^-5)</f>
        <v>4118.777107256944</v>
      </c>
      <c r="K195">
        <f>_xlfn.STDEV.S('R1'!L195,'R2'!L195,'R3'!L195)</f>
        <v>6.2403957633298396E-3</v>
      </c>
      <c r="L195">
        <f>_xlfn.STDEV.S('R1'!M195,'R2'!M195,'R3'!M195)</f>
        <v>7.2173978565932394E-3</v>
      </c>
      <c r="M195">
        <f>_xlfn.STDEV.S('R1'!N195,'R2'!N195,'R3'!N195)</f>
        <v>4.1523063512331612E-3</v>
      </c>
      <c r="N195">
        <f>_xlfn.STDEV.S('R1'!O195,'R2'!O195,'R3'!O195)</f>
        <v>8.1788068045871454E-4</v>
      </c>
    </row>
    <row r="196" spans="1:14" x14ac:dyDescent="0.25">
      <c r="A196">
        <f>-'R1'!H196</f>
        <v>12</v>
      </c>
      <c r="B196">
        <f>DEGREES(ATAN(-SIN(RADIANS(('R1'!I196)))/(COS(RADIANS(Sheet1!A196))*COS(RADIANS('R1'!I196)))))</f>
        <v>4.0890625478299265</v>
      </c>
      <c r="C196">
        <f>AVERAGE('R1'!J196,'R2'!J196,'R3'!J196)</f>
        <v>1.1749999999999998</v>
      </c>
      <c r="D196">
        <f>AVERAGE('R1'!K196,'R2'!K196,'R3'!K196)</f>
        <v>20.857923</v>
      </c>
      <c r="E196">
        <f>AVERAGE('R1'!L196,'R2'!L196,'R3'!L196)</f>
        <v>0.22525427363242903</v>
      </c>
      <c r="F196">
        <f>AVERAGE('R1'!M196,'R2'!M196,'R3'!M196)</f>
        <v>-0.97847562828031232</v>
      </c>
      <c r="G196">
        <f>AVERAGE('R1'!N196,'R2'!N196,'R3'!N196)</f>
        <v>-8.1349181504091553E-2</v>
      </c>
      <c r="H196">
        <f>AVERAGE('R1'!O196,'R2'!O196,'R3'!O196)</f>
        <v>0.58902770480709721</v>
      </c>
      <c r="I196">
        <f t="shared" si="7"/>
        <v>4084.6765874999992</v>
      </c>
      <c r="K196">
        <f>_xlfn.STDEV.S('R1'!L196,'R2'!L196,'R3'!L196)</f>
        <v>7.028420824668829E-4</v>
      </c>
      <c r="L196">
        <f>_xlfn.STDEV.S('R1'!M196,'R2'!M196,'R3'!M196)</f>
        <v>2.9898182643394236E-3</v>
      </c>
      <c r="M196">
        <f>_xlfn.STDEV.S('R1'!N196,'R2'!N196,'R3'!N196)</f>
        <v>1.6798855852886033E-3</v>
      </c>
      <c r="N196">
        <f>_xlfn.STDEV.S('R1'!O196,'R2'!O196,'R3'!O196)</f>
        <v>3.5423250461228311E-3</v>
      </c>
    </row>
    <row r="197" spans="1:14" x14ac:dyDescent="0.25">
      <c r="A197">
        <f>-'R1'!H197</f>
        <v>12</v>
      </c>
      <c r="B197">
        <f>DEGREES(ATAN(-SIN(RADIANS(('R1'!I197)))/(COS(RADIANS(Sheet1!A197))*COS(RADIANS('R1'!I197)))))</f>
        <v>0</v>
      </c>
      <c r="C197">
        <f>AVERAGE('R1'!J197,'R2'!J197,'R3'!J197)</f>
        <v>1.1766666666666665</v>
      </c>
      <c r="D197">
        <f>AVERAGE('R1'!K197,'R2'!K197,'R3'!K197)</f>
        <v>20.710244166666666</v>
      </c>
      <c r="E197">
        <f>AVERAGE('R1'!L197,'R2'!L197,'R3'!L197)</f>
        <v>-5.7004275386871306E-2</v>
      </c>
      <c r="F197">
        <f>AVERAGE('R1'!M197,'R2'!M197,'R3'!M197)</f>
        <v>-1.0142088723715499</v>
      </c>
      <c r="G197">
        <f>AVERAGE('R1'!N197,'R2'!N197,'R3'!N197)</f>
        <v>-7.2909145158876837E-2</v>
      </c>
      <c r="H197">
        <f>AVERAGE('R1'!O197,'R2'!O197,'R3'!O197)</f>
        <v>0.65349038221169531</v>
      </c>
      <c r="I197">
        <f t="shared" si="7"/>
        <v>4061.5089949074072</v>
      </c>
      <c r="K197">
        <f>_xlfn.STDEV.S('R1'!L197,'R2'!L197,'R3'!L197)</f>
        <v>3.0949844960763608E-3</v>
      </c>
      <c r="L197">
        <f>_xlfn.STDEV.S('R1'!M197,'R2'!M197,'R3'!M197)</f>
        <v>4.3684824873998843E-3</v>
      </c>
      <c r="M197">
        <f>_xlfn.STDEV.S('R1'!N197,'R2'!N197,'R3'!N197)</f>
        <v>8.8670978771993991E-4</v>
      </c>
      <c r="N197">
        <f>_xlfn.STDEV.S('R1'!O197,'R2'!O197,'R3'!O197)</f>
        <v>2.7798315101226598E-3</v>
      </c>
    </row>
    <row r="198" spans="1:14" x14ac:dyDescent="0.25">
      <c r="A198">
        <f>-'R1'!H198</f>
        <v>12</v>
      </c>
      <c r="B198">
        <f>DEGREES(ATAN(-SIN(RADIANS(('R1'!I198)))/(COS(RADIANS(Sheet1!A198))*COS(RADIANS('R1'!I198)))))</f>
        <v>-4.0890625478299265</v>
      </c>
      <c r="C198">
        <f>AVERAGE('R1'!J198,'R2'!J198,'R3'!J198)</f>
        <v>1.1766666666666665</v>
      </c>
      <c r="D198">
        <f>AVERAGE('R1'!K198,'R2'!K198,'R3'!K198)</f>
        <v>20.633808416666664</v>
      </c>
      <c r="E198">
        <f>AVERAGE('R1'!L198,'R2'!L198,'R3'!L198)</f>
        <v>-0.33610182138691719</v>
      </c>
      <c r="F198">
        <f>AVERAGE('R1'!M198,'R2'!M198,'R3'!M198)</f>
        <v>-0.93098685429393824</v>
      </c>
      <c r="G198">
        <f>AVERAGE('R1'!N198,'R2'!N198,'R3'!N198)</f>
        <v>-7.6703822353843057E-2</v>
      </c>
      <c r="H198">
        <f>AVERAGE('R1'!O198,'R2'!O198,'R3'!O198)</f>
        <v>0.55757256901502306</v>
      </c>
      <c r="I198">
        <f t="shared" si="7"/>
        <v>4046.5190950462957</v>
      </c>
      <c r="K198">
        <f>_xlfn.STDEV.S('R1'!L198,'R2'!L198,'R3'!L198)</f>
        <v>2.2349640016826257E-3</v>
      </c>
      <c r="L198">
        <f>_xlfn.STDEV.S('R1'!M198,'R2'!M198,'R3'!M198)</f>
        <v>5.3772130575762116E-3</v>
      </c>
      <c r="M198">
        <f>_xlfn.STDEV.S('R1'!N198,'R2'!N198,'R3'!N198)</f>
        <v>2.774198610758399E-3</v>
      </c>
      <c r="N198">
        <f>_xlfn.STDEV.S('R1'!O198,'R2'!O198,'R3'!O198)</f>
        <v>5.6442668761683291E-3</v>
      </c>
    </row>
    <row r="199" spans="1:14" x14ac:dyDescent="0.25">
      <c r="A199">
        <f>-'R1'!H199</f>
        <v>12</v>
      </c>
      <c r="B199">
        <f>DEGREES(ATAN(-SIN(RADIANS(('R1'!I199)))/(COS(RADIANS(Sheet1!A199))*COS(RADIANS('R1'!I199)))))</f>
        <v>-8.1763340518815415</v>
      </c>
      <c r="C199">
        <f>AVERAGE('R1'!J199,'R2'!J199,'R3'!J199)</f>
        <v>1.175</v>
      </c>
      <c r="D199">
        <f>AVERAGE('R1'!K199,'R2'!K199,'R3'!K199)</f>
        <v>20.525786916666664</v>
      </c>
      <c r="E199">
        <f>AVERAGE('R1'!L199,'R2'!L199,'R3'!L199)</f>
        <v>-0.5944576419981854</v>
      </c>
      <c r="F199">
        <f>AVERAGE('R1'!M199,'R2'!M199,'R3'!M199)</f>
        <v>-0.84406514420103995</v>
      </c>
      <c r="G199">
        <f>AVERAGE('R1'!N199,'R2'!N199,'R3'!N199)</f>
        <v>-9.9789573279327692E-2</v>
      </c>
      <c r="H199">
        <f>AVERAGE('R1'!O199,'R2'!O199,'R3'!O199)</f>
        <v>0.47889983169814282</v>
      </c>
      <c r="I199">
        <f t="shared" si="7"/>
        <v>4019.6332711805558</v>
      </c>
      <c r="K199">
        <f>_xlfn.STDEV.S('R1'!L199,'R2'!L199,'R3'!L199)</f>
        <v>2.3362101161454262E-3</v>
      </c>
      <c r="L199">
        <f>_xlfn.STDEV.S('R1'!M199,'R2'!M199,'R3'!M199)</f>
        <v>1.1212619145888472E-2</v>
      </c>
      <c r="M199">
        <f>_xlfn.STDEV.S('R1'!N199,'R2'!N199,'R3'!N199)</f>
        <v>1.5021314039422641E-3</v>
      </c>
      <c r="N199">
        <f>_xlfn.STDEV.S('R1'!O199,'R2'!O199,'R3'!O199)</f>
        <v>9.6876325788208904E-3</v>
      </c>
    </row>
    <row r="200" spans="1:14" x14ac:dyDescent="0.25">
      <c r="A200">
        <f>-'R1'!H200</f>
        <v>12</v>
      </c>
      <c r="B200">
        <f>DEGREES(ATAN(-SIN(RADIANS(('R1'!I200)))/(COS(RADIANS(Sheet1!A200))*COS(RADIANS('R1'!I200)))))</f>
        <v>-12.260062948059348</v>
      </c>
      <c r="C200">
        <f>AVERAGE('R1'!J200,'R2'!J200,'R3'!J200)</f>
        <v>1.1741666666666666</v>
      </c>
      <c r="D200">
        <f>AVERAGE('R1'!K200,'R2'!K200,'R3'!K200)</f>
        <v>20.461721166666667</v>
      </c>
      <c r="E200">
        <f>AVERAGE('R1'!L200,'R2'!L200,'R3'!L200)</f>
        <v>-0.83157849684835961</v>
      </c>
      <c r="F200">
        <f>AVERAGE('R1'!M200,'R2'!M200,'R3'!M200)</f>
        <v>-0.78106601312410462</v>
      </c>
      <c r="G200">
        <f>AVERAGE('R1'!N200,'R2'!N200,'R3'!N200)</f>
        <v>-0.1430401311053556</v>
      </c>
      <c r="H200">
        <f>AVERAGE('R1'!O200,'R2'!O200,'R3'!O200)</f>
        <v>0.38568373319621857</v>
      </c>
      <c r="I200">
        <f t="shared" si="7"/>
        <v>4004.2451560879622</v>
      </c>
      <c r="K200">
        <f>_xlfn.STDEV.S('R1'!L200,'R2'!L200,'R3'!L200)</f>
        <v>2.1816794475801979E-3</v>
      </c>
      <c r="L200">
        <f>_xlfn.STDEV.S('R1'!M200,'R2'!M200,'R3'!M200)</f>
        <v>4.2567614073828223E-3</v>
      </c>
      <c r="M200">
        <f>_xlfn.STDEV.S('R1'!N200,'R2'!N200,'R3'!N200)</f>
        <v>2.7105584973204826E-3</v>
      </c>
      <c r="N200">
        <f>_xlfn.STDEV.S('R1'!O200,'R2'!O200,'R3'!O200)</f>
        <v>5.2583402051736032E-3</v>
      </c>
    </row>
    <row r="201" spans="1:14" x14ac:dyDescent="0.25">
      <c r="A201">
        <f>-'R1'!H201</f>
        <v>12</v>
      </c>
      <c r="B201">
        <f>DEGREES(ATAN(-SIN(RADIANS(('R1'!I201)))/(COS(RADIANS(Sheet1!A201))*COS(RADIANS('R1'!I201)))))</f>
        <v>-16.338575476506957</v>
      </c>
      <c r="C201">
        <f>AVERAGE('R1'!J201,'R2'!J201,'R3'!J201)</f>
        <v>1.1766666666666665</v>
      </c>
      <c r="D201">
        <f>AVERAGE('R1'!K201,'R2'!K201,'R3'!K201)</f>
        <v>20.34618</v>
      </c>
      <c r="E201">
        <f>AVERAGE('R1'!L201,'R2'!L201,'R3'!L201)</f>
        <v>-1.0589821131403392</v>
      </c>
      <c r="F201">
        <f>AVERAGE('R1'!M201,'R2'!M201,'R3'!M201)</f>
        <v>-0.764243780418286</v>
      </c>
      <c r="G201">
        <f>AVERAGE('R1'!N201,'R2'!N201,'R3'!N201)</f>
        <v>-0.22627051600679948</v>
      </c>
      <c r="H201">
        <f>AVERAGE('R1'!O201,'R2'!O201,'R3'!O201)</f>
        <v>0.26234036019510965</v>
      </c>
      <c r="I201">
        <f t="shared" si="7"/>
        <v>3990.1119666666664</v>
      </c>
      <c r="K201">
        <f>_xlfn.STDEV.S('R1'!L201,'R2'!L201,'R3'!L201)</f>
        <v>5.379282937796488E-3</v>
      </c>
      <c r="L201">
        <f>_xlfn.STDEV.S('R1'!M201,'R2'!M201,'R3'!M201)</f>
        <v>6.5951154133557918E-3</v>
      </c>
      <c r="M201">
        <f>_xlfn.STDEV.S('R1'!N201,'R2'!N201,'R3'!N201)</f>
        <v>3.0242984734274014E-3</v>
      </c>
      <c r="N201">
        <f>_xlfn.STDEV.S('R1'!O201,'R2'!O201,'R3'!O201)</f>
        <v>7.9867330636216229E-3</v>
      </c>
    </row>
    <row r="202" spans="1:14" x14ac:dyDescent="0.25">
      <c r="A202">
        <f>-'R1'!H202</f>
        <v>12</v>
      </c>
      <c r="B202">
        <f>DEGREES(ATAN(-SIN(RADIANS(('R1'!I202)))/(COS(RADIANS(Sheet1!A202))*COS(RADIANS('R1'!I202)))))</f>
        <v>-20.410311753659691</v>
      </c>
      <c r="C202">
        <f>AVERAGE('R1'!J202,'R2'!J202,'R3'!J202)</f>
        <v>1.1766666666666665</v>
      </c>
      <c r="D202">
        <f>AVERAGE('R1'!K202,'R2'!K202,'R3'!K202)</f>
        <v>20.251180083333335</v>
      </c>
      <c r="E202">
        <f>AVERAGE('R1'!L202,'R2'!L202,'R3'!L202)</f>
        <v>-1.2797019823096787</v>
      </c>
      <c r="F202">
        <f>AVERAGE('R1'!M202,'R2'!M202,'R3'!M202)</f>
        <v>-0.7842843348212063</v>
      </c>
      <c r="G202">
        <f>AVERAGE('R1'!N202,'R2'!N202,'R3'!N202)</f>
        <v>-0.34269667241690671</v>
      </c>
      <c r="H202">
        <f>AVERAGE('R1'!O202,'R2'!O202,'R3'!O202)</f>
        <v>0.11016847843295334</v>
      </c>
      <c r="I202">
        <f t="shared" si="7"/>
        <v>3971.4814274537034</v>
      </c>
      <c r="K202">
        <f>_xlfn.STDEV.S('R1'!L202,'R2'!L202,'R3'!L202)</f>
        <v>3.6625175024033721E-3</v>
      </c>
      <c r="L202">
        <f>_xlfn.STDEV.S('R1'!M202,'R2'!M202,'R3'!M202)</f>
        <v>7.5775700753670438E-3</v>
      </c>
      <c r="M202">
        <f>_xlfn.STDEV.S('R1'!N202,'R2'!N202,'R3'!N202)</f>
        <v>5.0394645048223692E-3</v>
      </c>
      <c r="N202">
        <f>_xlfn.STDEV.S('R1'!O202,'R2'!O202,'R3'!O202)</f>
        <v>5.7328953490486858E-3</v>
      </c>
    </row>
    <row r="203" spans="1:14" x14ac:dyDescent="0.25">
      <c r="A203">
        <f>-'R1'!H203</f>
        <v>12</v>
      </c>
      <c r="B203">
        <f>DEGREES(ATAN(-SIN(RADIANS(('R1'!I203)))/(COS(RADIANS(Sheet1!A203))*COS(RADIANS('R1'!I203)))))</f>
        <v>-24.473858605038014</v>
      </c>
      <c r="C203">
        <f>AVERAGE('R1'!J203,'R2'!J203,'R3'!J203)</f>
        <v>1.1766666666666665</v>
      </c>
      <c r="D203">
        <f>AVERAGE('R1'!K203,'R2'!K203,'R3'!K203)</f>
        <v>20.205579166666666</v>
      </c>
      <c r="E203">
        <f>AVERAGE('R1'!L203,'R2'!L203,'R3'!L203)</f>
        <v>-1.4972579310720118</v>
      </c>
      <c r="F203">
        <f>AVERAGE('R1'!M203,'R2'!M203,'R3'!M203)</f>
        <v>-0.83916629821635647</v>
      </c>
      <c r="G203">
        <f>AVERAGE('R1'!N203,'R2'!N203,'R3'!N203)</f>
        <v>-0.48382887614188891</v>
      </c>
      <c r="H203">
        <f>AVERAGE('R1'!O203,'R2'!O203,'R3'!O203)</f>
        <v>-7.3146387103197499E-2</v>
      </c>
      <c r="I203">
        <f t="shared" si="7"/>
        <v>3962.538581018518</v>
      </c>
      <c r="K203">
        <f>_xlfn.STDEV.S('R1'!L203,'R2'!L203,'R3'!L203)</f>
        <v>9.5995073913965352E-3</v>
      </c>
      <c r="L203">
        <f>_xlfn.STDEV.S('R1'!M203,'R2'!M203,'R3'!M203)</f>
        <v>1.0089577917069445E-2</v>
      </c>
      <c r="M203">
        <f>_xlfn.STDEV.S('R1'!N203,'R2'!N203,'R3'!N203)</f>
        <v>1.0729225421481548E-2</v>
      </c>
      <c r="N203">
        <f>_xlfn.STDEV.S('R1'!O203,'R2'!O203,'R3'!O203)</f>
        <v>7.2643380316434842E-3</v>
      </c>
    </row>
    <row r="204" spans="1:14" x14ac:dyDescent="0.25">
      <c r="A204">
        <f>-'R1'!H204</f>
        <v>12</v>
      </c>
      <c r="B204">
        <f>DEGREES(ATAN(-SIN(RADIANS(('R1'!I204)))/(COS(RADIANS(Sheet1!A204))*COS(RADIANS('R1'!I204)))))</f>
        <v>-28.527978326363606</v>
      </c>
      <c r="C204">
        <f>AVERAGE('R1'!J204,'R2'!J204,'R3'!J204)</f>
        <v>1.1766666666666665</v>
      </c>
      <c r="D204">
        <f>AVERAGE('R1'!K204,'R2'!K204,'R3'!K204)</f>
        <v>20.108008249999997</v>
      </c>
      <c r="E204">
        <f>AVERAGE('R1'!L204,'R2'!L204,'R3'!L204)</f>
        <v>-1.7553299898579457</v>
      </c>
      <c r="F204">
        <f>AVERAGE('R1'!M204,'R2'!M204,'R3'!M204)</f>
        <v>-0.91123159250640329</v>
      </c>
      <c r="G204">
        <f>AVERAGE('R1'!N204,'R2'!N204,'R3'!N204)</f>
        <v>-0.67882144060493965</v>
      </c>
      <c r="H204">
        <f>AVERAGE('R1'!O204,'R2'!O204,'R3'!O204)</f>
        <v>-0.28840699469094938</v>
      </c>
      <c r="I204">
        <f t="shared" si="7"/>
        <v>3943.403840138888</v>
      </c>
      <c r="K204">
        <f>_xlfn.STDEV.S('R1'!L204,'R2'!L204,'R3'!L204)</f>
        <v>4.85651341932528E-3</v>
      </c>
      <c r="L204">
        <f>_xlfn.STDEV.S('R1'!M204,'R2'!M204,'R3'!M204)</f>
        <v>1.0978382509204521E-2</v>
      </c>
      <c r="M204">
        <f>_xlfn.STDEV.S('R1'!N204,'R2'!N204,'R3'!N204)</f>
        <v>5.2311714798491281E-3</v>
      </c>
      <c r="N204">
        <f>_xlfn.STDEV.S('R1'!O204,'R2'!O204,'R3'!O204)</f>
        <v>2.3690498854157505E-3</v>
      </c>
    </row>
    <row r="205" spans="1:14" x14ac:dyDescent="0.25">
      <c r="A205">
        <f>-'R1'!H205</f>
        <v>12</v>
      </c>
      <c r="B205">
        <f>DEGREES(ATAN(-SIN(RADIANS(('R1'!I205)))/(COS(RADIANS(Sheet1!A205))*COS(RADIANS('R1'!I205)))))</f>
        <v>-32.571632726288172</v>
      </c>
      <c r="C205">
        <f>AVERAGE('R1'!J205,'R2'!J205,'R3'!J205)</f>
        <v>1.1766666666666665</v>
      </c>
      <c r="D205">
        <f>AVERAGE('R1'!K205,'R2'!K205,'R3'!K205)</f>
        <v>20.280328833333332</v>
      </c>
      <c r="E205">
        <f>AVERAGE('R1'!L205,'R2'!L205,'R3'!L205)</f>
        <v>-2.053802024522648</v>
      </c>
      <c r="F205">
        <f>AVERAGE('R1'!M205,'R2'!M205,'R3'!M205)</f>
        <v>-1.0074667919632574</v>
      </c>
      <c r="G205">
        <f>AVERAGE('R1'!N205,'R2'!N205,'R3'!N205)</f>
        <v>-0.93160893229725428</v>
      </c>
      <c r="H205">
        <f>AVERAGE('R1'!O205,'R2'!O205,'R3'!O205)</f>
        <v>-0.51813506206772886</v>
      </c>
      <c r="I205">
        <f t="shared" si="7"/>
        <v>3977.1978212037025</v>
      </c>
      <c r="K205">
        <f>_xlfn.STDEV.S('R1'!L205,'R2'!L205,'R3'!L205)</f>
        <v>1.3975997825725327E-2</v>
      </c>
      <c r="L205">
        <f>_xlfn.STDEV.S('R1'!M205,'R2'!M205,'R3'!M205)</f>
        <v>1.5871608610352476E-2</v>
      </c>
      <c r="M205">
        <f>_xlfn.STDEV.S('R1'!N205,'R2'!N205,'R3'!N205)</f>
        <v>1.717186567984404E-2</v>
      </c>
      <c r="N205">
        <f>_xlfn.STDEV.S('R1'!O205,'R2'!O205,'R3'!O205)</f>
        <v>7.8182827760532748E-3</v>
      </c>
    </row>
    <row r="206" spans="1:14" x14ac:dyDescent="0.25">
      <c r="A206">
        <f>-'R1'!H206</f>
        <v>12</v>
      </c>
      <c r="B206">
        <f>DEGREES(ATAN(-SIN(RADIANS(('R1'!I206)))/(COS(RADIANS(Sheet1!A206))*COS(RADIANS('R1'!I206)))))</f>
        <v>-36.604002006988381</v>
      </c>
      <c r="C206">
        <f>AVERAGE('R1'!J206,'R2'!J206,'R3'!J206)</f>
        <v>1.1766666666666665</v>
      </c>
      <c r="D206">
        <f>AVERAGE('R1'!K206,'R2'!K206,'R3'!K206)</f>
        <v>20.707587</v>
      </c>
      <c r="E206">
        <f>AVERAGE('R1'!L206,'R2'!L206,'R3'!L206)</f>
        <v>-2.4329137335443738</v>
      </c>
      <c r="F206">
        <f>AVERAGE('R1'!M206,'R2'!M206,'R3'!M206)</f>
        <v>-1.1320807379461213</v>
      </c>
      <c r="G206">
        <f>AVERAGE('R1'!N206,'R2'!N206,'R3'!N206)</f>
        <v>-1.2763106683735101</v>
      </c>
      <c r="H206">
        <f>AVERAGE('R1'!O206,'R2'!O206,'R3'!O206)</f>
        <v>-0.77382403442932945</v>
      </c>
      <c r="I206">
        <f t="shared" si="7"/>
        <v>4060.9878949999998</v>
      </c>
      <c r="K206">
        <f>_xlfn.STDEV.S('R1'!L206,'R2'!L206,'R3'!L206)</f>
        <v>1.7196039072947828E-2</v>
      </c>
      <c r="L206">
        <f>_xlfn.STDEV.S('R1'!M206,'R2'!M206,'R3'!M206)</f>
        <v>2.0095295930721648E-2</v>
      </c>
      <c r="M206">
        <f>_xlfn.STDEV.S('R1'!N206,'R2'!N206,'R3'!N206)</f>
        <v>2.2996037722911228E-2</v>
      </c>
      <c r="N206">
        <f>_xlfn.STDEV.S('R1'!O206,'R2'!O206,'R3'!O206)</f>
        <v>8.9154541211360003E-3</v>
      </c>
    </row>
    <row r="207" spans="1:14" x14ac:dyDescent="0.25">
      <c r="A207">
        <f>-'R1'!H207</f>
        <v>12</v>
      </c>
      <c r="B207">
        <f>DEGREES(ATAN(-SIN(RADIANS(('R1'!I207)))/(COS(RADIANS(Sheet1!A207))*COS(RADIANS('R1'!I207)))))</f>
        <v>-40.624498244732152</v>
      </c>
      <c r="C207">
        <f>AVERAGE('R1'!J207,'R2'!J207,'R3'!J207)</f>
        <v>1.1766666666666665</v>
      </c>
      <c r="D207">
        <f>AVERAGE('R1'!K207,'R2'!K207,'R3'!K207)</f>
        <v>20.675977833333331</v>
      </c>
      <c r="E207">
        <f>AVERAGE('R1'!L207,'R2'!L207,'R3'!L207)</f>
        <v>-2.9784457260415813</v>
      </c>
      <c r="F207">
        <f>AVERAGE('R1'!M207,'R2'!M207,'R3'!M207)</f>
        <v>-1.335248486577324</v>
      </c>
      <c r="G207">
        <f>AVERAGE('R1'!N207,'R2'!N207,'R3'!N207)</f>
        <v>-1.8065515433731114</v>
      </c>
      <c r="H207">
        <f>AVERAGE('R1'!O207,'R2'!O207,'R3'!O207)</f>
        <v>-1.111203338338095</v>
      </c>
      <c r="I207">
        <f t="shared" si="7"/>
        <v>4054.7889862037023</v>
      </c>
      <c r="K207">
        <f>_xlfn.STDEV.S('R1'!L207,'R2'!L207,'R3'!L207)</f>
        <v>2.3135874769717894E-2</v>
      </c>
      <c r="L207">
        <f>_xlfn.STDEV.S('R1'!M207,'R2'!M207,'R3'!M207)</f>
        <v>1.5039071794632817E-2</v>
      </c>
      <c r="M207">
        <f>_xlfn.STDEV.S('R1'!N207,'R2'!N207,'R3'!N207)</f>
        <v>2.4957360968246176E-2</v>
      </c>
      <c r="N207">
        <f>_xlfn.STDEV.S('R1'!O207,'R2'!O207,'R3'!O207)</f>
        <v>9.5795878400005349E-3</v>
      </c>
    </row>
    <row r="208" spans="1:14" x14ac:dyDescent="0.25">
      <c r="A208">
        <f>-'R1'!H208</f>
        <v>12</v>
      </c>
      <c r="B208">
        <f>DEGREES(ATAN(-SIN(RADIANS(('R1'!I208)))/(COS(RADIANS(Sheet1!A208))*COS(RADIANS('R1'!I208)))))</f>
        <v>-44.632773428056808</v>
      </c>
      <c r="C208">
        <f>AVERAGE('R1'!J208,'R2'!J208,'R3'!J208)</f>
        <v>1.1766666666666665</v>
      </c>
      <c r="D208">
        <f>AVERAGE('R1'!K208,'R2'!K208,'R3'!K208)</f>
        <v>20.869434083333331</v>
      </c>
      <c r="E208">
        <f>AVERAGE('R1'!L208,'R2'!L208,'R3'!L208)</f>
        <v>-3.755232975701384</v>
      </c>
      <c r="F208">
        <f>AVERAGE('R1'!M208,'R2'!M208,'R3'!M208)</f>
        <v>-1.6337560863107472</v>
      </c>
      <c r="G208">
        <f>AVERAGE('R1'!N208,'R2'!N208,'R3'!N208)</f>
        <v>-2.5909637516866315</v>
      </c>
      <c r="H208">
        <f>AVERAGE('R1'!O208,'R2'!O208,'R3'!O208)</f>
        <v>-1.5853552426723325</v>
      </c>
      <c r="I208">
        <f t="shared" si="7"/>
        <v>4092.7279063425917</v>
      </c>
      <c r="K208">
        <f>_xlfn.STDEV.S('R1'!L208,'R2'!L208,'R3'!L208)</f>
        <v>2.4583901525701793E-2</v>
      </c>
      <c r="L208">
        <f>_xlfn.STDEV.S('R1'!M208,'R2'!M208,'R3'!M208)</f>
        <v>3.3767254783718226E-2</v>
      </c>
      <c r="M208">
        <f>_xlfn.STDEV.S('R1'!N208,'R2'!N208,'R3'!N208)</f>
        <v>3.4209017716138677E-2</v>
      </c>
      <c r="N208">
        <f>_xlfn.STDEV.S('R1'!O208,'R2'!O208,'R3'!O208)</f>
        <v>1.4222518880865159E-2</v>
      </c>
    </row>
    <row r="209" spans="1:14" x14ac:dyDescent="0.25">
      <c r="A209">
        <f>-'R1'!H209</f>
        <v>8</v>
      </c>
      <c r="B209">
        <f>DEGREES(ATAN(-SIN(RADIANS(('R1'!I209)))/(COS(RADIANS(Sheet1!A209))*COS(RADIANS('R1'!I209)))))</f>
        <v>44.280037446618948</v>
      </c>
      <c r="C209">
        <f>AVERAGE('R1'!J209,'R2'!J209,'R3'!J209)</f>
        <v>1.1766666666666665</v>
      </c>
      <c r="D209">
        <f>AVERAGE('R1'!K209,'R2'!K209,'R3'!K209)</f>
        <v>21.137061250000002</v>
      </c>
      <c r="E209">
        <f>AVERAGE('R1'!L209,'R2'!L209,'R3'!L209)</f>
        <v>2.7025971431376932</v>
      </c>
      <c r="F209">
        <f>AVERAGE('R1'!M209,'R2'!M209,'R3'!M209)</f>
        <v>-0.93651652675595987</v>
      </c>
      <c r="G209">
        <f>AVERAGE('R1'!N209,'R2'!N209,'R3'!N209)</f>
        <v>-1.487368311606686</v>
      </c>
      <c r="H209">
        <f>AVERAGE('R1'!O209,'R2'!O209,'R3'!O209)</f>
        <v>-1.0998936997169633</v>
      </c>
      <c r="I209">
        <f t="shared" si="7"/>
        <v>4145.2125673611108</v>
      </c>
      <c r="K209">
        <f>_xlfn.STDEV.S('R1'!L209,'R2'!L209,'R3'!L209)</f>
        <v>2.4717787948763479E-2</v>
      </c>
      <c r="L209">
        <f>_xlfn.STDEV.S('R1'!M209,'R2'!M209,'R3'!M209)</f>
        <v>1.1937888035463477E-2</v>
      </c>
      <c r="M209">
        <f>_xlfn.STDEV.S('R1'!N209,'R2'!N209,'R3'!N209)</f>
        <v>1.8248454524164782E-2</v>
      </c>
      <c r="N209">
        <f>_xlfn.STDEV.S('R1'!O209,'R2'!O209,'R3'!O209)</f>
        <v>1.3108103303066169E-2</v>
      </c>
    </row>
    <row r="210" spans="1:14" x14ac:dyDescent="0.25">
      <c r="A210">
        <f>-'R1'!H210</f>
        <v>8</v>
      </c>
      <c r="B210">
        <f>DEGREES(ATAN(-SIN(RADIANS(('R1'!I210)))/(COS(RADIANS(Sheet1!A210))*COS(RADIANS('R1'!I210)))))</f>
        <v>40.276138588852518</v>
      </c>
      <c r="C210">
        <f>AVERAGE('R1'!J210,'R2'!J210,'R3'!J210)</f>
        <v>1.1766666666666665</v>
      </c>
      <c r="D210">
        <f>AVERAGE('R1'!K210,'R2'!K210,'R3'!K210)</f>
        <v>20.874456666666664</v>
      </c>
      <c r="E210">
        <f>AVERAGE('R1'!L210,'R2'!L210,'R3'!L210)</f>
        <v>2.3786358027310914</v>
      </c>
      <c r="F210">
        <f>AVERAGE('R1'!M210,'R2'!M210,'R3'!M210)</f>
        <v>-0.82279760409030123</v>
      </c>
      <c r="G210">
        <f>AVERAGE('R1'!N210,'R2'!N210,'R3'!N210)</f>
        <v>-1.1401595872654868</v>
      </c>
      <c r="H210">
        <f>AVERAGE('R1'!O210,'R2'!O210,'R3'!O210)</f>
        <v>-0.83576083945627921</v>
      </c>
      <c r="I210">
        <f t="shared" si="7"/>
        <v>4093.7128907407396</v>
      </c>
      <c r="K210">
        <f>_xlfn.STDEV.S('R1'!L210,'R2'!L210,'R3'!L210)</f>
        <v>1.5020448344061056E-2</v>
      </c>
      <c r="L210">
        <f>_xlfn.STDEV.S('R1'!M210,'R2'!M210,'R3'!M210)</f>
        <v>4.4332770003433879E-3</v>
      </c>
      <c r="M210">
        <f>_xlfn.STDEV.S('R1'!N210,'R2'!N210,'R3'!N210)</f>
        <v>1.2515903651868382E-2</v>
      </c>
      <c r="N210">
        <f>_xlfn.STDEV.S('R1'!O210,'R2'!O210,'R3'!O210)</f>
        <v>1.2708825278069847E-2</v>
      </c>
    </row>
    <row r="211" spans="1:14" x14ac:dyDescent="0.25">
      <c r="A211">
        <f>-'R1'!H211</f>
        <v>8</v>
      </c>
      <c r="B211">
        <f>DEGREES(ATAN(-SIN(RADIANS(('R1'!I211)))/(COS(RADIANS(Sheet1!A211))*COS(RADIANS('R1'!I211)))))</f>
        <v>36.2668517150396</v>
      </c>
      <c r="C211">
        <f>AVERAGE('R1'!J211,'R2'!J211,'R3'!J211)</f>
        <v>1.1766666666666665</v>
      </c>
      <c r="D211">
        <f>AVERAGE('R1'!K211,'R2'!K211,'R3'!K211)</f>
        <v>20.739478500000001</v>
      </c>
      <c r="E211">
        <f>AVERAGE('R1'!L211,'R2'!L211,'R3'!L211)</f>
        <v>2.0986468713443442</v>
      </c>
      <c r="F211">
        <f>AVERAGE('R1'!M211,'R2'!M211,'R3'!M211)</f>
        <v>-0.74471689118279194</v>
      </c>
      <c r="G211">
        <f>AVERAGE('R1'!N211,'R2'!N211,'R3'!N211)</f>
        <v>-0.86810136146662165</v>
      </c>
      <c r="H211">
        <f>AVERAGE('R1'!O211,'R2'!O211,'R3'!O211)</f>
        <v>-0.60605047457381866</v>
      </c>
      <c r="I211">
        <f t="shared" si="7"/>
        <v>4067.2421724999999</v>
      </c>
      <c r="K211">
        <f>_xlfn.STDEV.S('R1'!L211,'R2'!L211,'R3'!L211)</f>
        <v>1.7438021338343969E-2</v>
      </c>
      <c r="L211">
        <f>_xlfn.STDEV.S('R1'!M211,'R2'!M211,'R3'!M211)</f>
        <v>9.4766430541843999E-3</v>
      </c>
      <c r="M211">
        <f>_xlfn.STDEV.S('R1'!N211,'R2'!N211,'R3'!N211)</f>
        <v>9.8962459218061988E-3</v>
      </c>
      <c r="N211">
        <f>_xlfn.STDEV.S('R1'!O211,'R2'!O211,'R3'!O211)</f>
        <v>1.0357060422081774E-2</v>
      </c>
    </row>
    <row r="212" spans="1:14" x14ac:dyDescent="0.25">
      <c r="A212">
        <f>-'R1'!H212</f>
        <v>8</v>
      </c>
      <c r="B212">
        <f>DEGREES(ATAN(-SIN(RADIANS(('R1'!I212)))/(COS(RADIANS(Sheet1!A212))*COS(RADIANS('R1'!I212)))))</f>
        <v>32.252347723135095</v>
      </c>
      <c r="C212">
        <f>AVERAGE('R1'!J212,'R2'!J212,'R3'!J212)</f>
        <v>1.1766666666666665</v>
      </c>
      <c r="D212">
        <f>AVERAGE('R1'!K212,'R2'!K212,'R3'!K212)</f>
        <v>20.592074499999999</v>
      </c>
      <c r="E212">
        <f>AVERAGE('R1'!L212,'R2'!L212,'R3'!L212)</f>
        <v>1.865523401114024</v>
      </c>
      <c r="F212">
        <f>AVERAGE('R1'!M212,'R2'!M212,'R3'!M212)</f>
        <v>-0.68707039595079011</v>
      </c>
      <c r="G212">
        <f>AVERAGE('R1'!N212,'R2'!N212,'R3'!N212)</f>
        <v>-0.66068655276609978</v>
      </c>
      <c r="H212">
        <f>AVERAGE('R1'!O212,'R2'!O212,'R3'!O212)</f>
        <v>-0.40468037117869154</v>
      </c>
      <c r="I212">
        <f t="shared" si="7"/>
        <v>4038.3346102777773</v>
      </c>
      <c r="K212">
        <f>_xlfn.STDEV.S('R1'!L212,'R2'!L212,'R3'!L212)</f>
        <v>9.4400211964233323E-3</v>
      </c>
      <c r="L212">
        <f>_xlfn.STDEV.S('R1'!M212,'R2'!M212,'R3'!M212)</f>
        <v>8.6017530826009419E-3</v>
      </c>
      <c r="M212">
        <f>_xlfn.STDEV.S('R1'!N212,'R2'!N212,'R3'!N212)</f>
        <v>4.6123054741743766E-3</v>
      </c>
      <c r="N212">
        <f>_xlfn.STDEV.S('R1'!O212,'R2'!O212,'R3'!O212)</f>
        <v>7.4812859417809699E-3</v>
      </c>
    </row>
    <row r="213" spans="1:14" x14ac:dyDescent="0.25">
      <c r="A213">
        <f>-'R1'!H213</f>
        <v>8</v>
      </c>
      <c r="B213">
        <f>DEGREES(ATAN(-SIN(RADIANS(('R1'!I213)))/(COS(RADIANS(Sheet1!A213))*COS(RADIANS('R1'!I213)))))</f>
        <v>28.23290083045832</v>
      </c>
      <c r="C213">
        <f>AVERAGE('R1'!J213,'R2'!J213,'R3'!J213)</f>
        <v>1.1766666666666665</v>
      </c>
      <c r="D213">
        <f>AVERAGE('R1'!K213,'R2'!K213,'R3'!K213)</f>
        <v>20.4564925</v>
      </c>
      <c r="E213">
        <f>AVERAGE('R1'!L213,'R2'!L213,'R3'!L213)</f>
        <v>1.6534766817407549</v>
      </c>
      <c r="F213">
        <f>AVERAGE('R1'!M213,'R2'!M213,'R3'!M213)</f>
        <v>-0.63146876543781638</v>
      </c>
      <c r="G213">
        <f>AVERAGE('R1'!N213,'R2'!N213,'R3'!N213)</f>
        <v>-0.48855180646977886</v>
      </c>
      <c r="H213">
        <f>AVERAGE('R1'!O213,'R2'!O213,'R3'!O213)</f>
        <v>-0.21640586049403468</v>
      </c>
      <c r="I213">
        <f t="shared" si="7"/>
        <v>4011.7454736111104</v>
      </c>
      <c r="K213">
        <f>_xlfn.STDEV.S('R1'!L213,'R2'!L213,'R3'!L213)</f>
        <v>5.0701673343028723E-3</v>
      </c>
      <c r="L213">
        <f>_xlfn.STDEV.S('R1'!M213,'R2'!M213,'R3'!M213)</f>
        <v>1.3213174254704372E-2</v>
      </c>
      <c r="M213">
        <f>_xlfn.STDEV.S('R1'!N213,'R2'!N213,'R3'!N213)</f>
        <v>3.5891590625067209E-3</v>
      </c>
      <c r="N213">
        <f>_xlfn.STDEV.S('R1'!O213,'R2'!O213,'R3'!O213)</f>
        <v>3.8276029899236624E-3</v>
      </c>
    </row>
    <row r="214" spans="1:14" x14ac:dyDescent="0.25">
      <c r="A214">
        <f>-'R1'!H214</f>
        <v>8</v>
      </c>
      <c r="B214">
        <f>DEGREES(ATAN(-SIN(RADIANS(('R1'!I214)))/(COS(RADIANS(Sheet1!A214))*COS(RADIANS('R1'!I214)))))</f>
        <v>24.208883875277589</v>
      </c>
      <c r="C214">
        <f>AVERAGE('R1'!J214,'R2'!J214,'R3'!J214)</f>
        <v>1.1766666666666665</v>
      </c>
      <c r="D214">
        <f>AVERAGE('R1'!K214,'R2'!K214,'R3'!K214)</f>
        <v>20.440930999999999</v>
      </c>
      <c r="E214">
        <f>AVERAGE('R1'!L214,'R2'!L214,'R3'!L214)</f>
        <v>1.4471454426737369</v>
      </c>
      <c r="F214">
        <f>AVERAGE('R1'!M214,'R2'!M214,'R3'!M214)</f>
        <v>-0.60025886229408565</v>
      </c>
      <c r="G214">
        <f>AVERAGE('R1'!N214,'R2'!N214,'R3'!N214)</f>
        <v>-0.3500930181370705</v>
      </c>
      <c r="H214">
        <f>AVERAGE('R1'!O214,'R2'!O214,'R3'!O214)</f>
        <v>-3.9561585381529284E-2</v>
      </c>
      <c r="I214">
        <f t="shared" si="7"/>
        <v>4008.6936905555549</v>
      </c>
      <c r="K214">
        <f>_xlfn.STDEV.S('R1'!L214,'R2'!L214,'R3'!L214)</f>
        <v>1.2952550506982016E-2</v>
      </c>
      <c r="L214">
        <f>_xlfn.STDEV.S('R1'!M214,'R2'!M214,'R3'!M214)</f>
        <v>1.0580583364446464E-2</v>
      </c>
      <c r="M214">
        <f>_xlfn.STDEV.S('R1'!N214,'R2'!N214,'R3'!N214)</f>
        <v>6.2885369320270466E-3</v>
      </c>
      <c r="N214">
        <f>_xlfn.STDEV.S('R1'!O214,'R2'!O214,'R3'!O214)</f>
        <v>6.3138993255281968E-3</v>
      </c>
    </row>
    <row r="215" spans="1:14" x14ac:dyDescent="0.25">
      <c r="A215">
        <f>-'R1'!H215</f>
        <v>8</v>
      </c>
      <c r="B215">
        <f>DEGREES(ATAN(-SIN(RADIANS(('R1'!I215)))/(COS(RADIANS(Sheet1!A215))*COS(RADIANS('R1'!I215)))))</f>
        <v>20.180761513231211</v>
      </c>
      <c r="C215">
        <f>AVERAGE('R1'!J215,'R2'!J215,'R3'!J215)</f>
        <v>1.1766666666666665</v>
      </c>
      <c r="D215">
        <f>AVERAGE('R1'!K215,'R2'!K215,'R3'!K215)</f>
        <v>20.767598083333336</v>
      </c>
      <c r="E215">
        <f>AVERAGE('R1'!L215,'R2'!L215,'R3'!L215)</f>
        <v>1.2590033379044083</v>
      </c>
      <c r="F215">
        <f>AVERAGE('R1'!M215,'R2'!M215,'R3'!M215)</f>
        <v>-0.57276353570330707</v>
      </c>
      <c r="G215">
        <f>AVERAGE('R1'!N215,'R2'!N215,'R3'!N215)</f>
        <v>-0.24267617899781016</v>
      </c>
      <c r="H215">
        <f>AVERAGE('R1'!O215,'R2'!O215,'R3'!O215)</f>
        <v>0.11822447463631003</v>
      </c>
      <c r="I215">
        <f t="shared" si="7"/>
        <v>4072.7567352314818</v>
      </c>
      <c r="K215">
        <f>_xlfn.STDEV.S('R1'!L215,'R2'!L215,'R3'!L215)</f>
        <v>1.7205644120002373E-3</v>
      </c>
      <c r="L215">
        <f>_xlfn.STDEV.S('R1'!M215,'R2'!M215,'R3'!M215)</f>
        <v>6.9164778346336294E-3</v>
      </c>
      <c r="M215">
        <f>_xlfn.STDEV.S('R1'!N215,'R2'!N215,'R3'!N215)</f>
        <v>7.6065767616340064E-4</v>
      </c>
      <c r="N215">
        <f>_xlfn.STDEV.S('R1'!O215,'R2'!O215,'R3'!O215)</f>
        <v>3.1283675462370616E-3</v>
      </c>
    </row>
    <row r="216" spans="1:14" x14ac:dyDescent="0.25">
      <c r="A216">
        <f>-'R1'!H216</f>
        <v>8</v>
      </c>
      <c r="B216">
        <f>DEGREES(ATAN(-SIN(RADIANS(('R1'!I216)))/(COS(RADIANS(Sheet1!A216))*COS(RADIANS('R1'!I216)))))</f>
        <v>16.149081403494897</v>
      </c>
      <c r="C216">
        <f>AVERAGE('R1'!J216,'R2'!J216,'R3'!J216)</f>
        <v>1.1766666666666665</v>
      </c>
      <c r="D216">
        <f>AVERAGE('R1'!K216,'R2'!K216,'R3'!K216)</f>
        <v>21.05877375</v>
      </c>
      <c r="E216">
        <f>AVERAGE('R1'!L216,'R2'!L216,'R3'!L216)</f>
        <v>1.048434118303847</v>
      </c>
      <c r="F216">
        <f>AVERAGE('R1'!M216,'R2'!M216,'R3'!M216)</f>
        <v>-0.57161368586369454</v>
      </c>
      <c r="G216">
        <f>AVERAGE('R1'!N216,'R2'!N216,'R3'!N216)</f>
        <v>-0.1561653176336032</v>
      </c>
      <c r="H216">
        <f>AVERAGE('R1'!O216,'R2'!O216,'R3'!O216)</f>
        <v>0.27656262659163805</v>
      </c>
      <c r="I216">
        <f t="shared" si="7"/>
        <v>4129.8595187500005</v>
      </c>
      <c r="K216">
        <f>_xlfn.STDEV.S('R1'!L216,'R2'!L216,'R3'!L216)</f>
        <v>1.0291029269969951E-3</v>
      </c>
      <c r="L216">
        <f>_xlfn.STDEV.S('R1'!M216,'R2'!M216,'R3'!M216)</f>
        <v>2.5094243287138718E-3</v>
      </c>
      <c r="M216">
        <f>_xlfn.STDEV.S('R1'!N216,'R2'!N216,'R3'!N216)</f>
        <v>1.9556497641257408E-3</v>
      </c>
      <c r="N216">
        <f>_xlfn.STDEV.S('R1'!O216,'R2'!O216,'R3'!O216)</f>
        <v>2.5426940793220163E-3</v>
      </c>
    </row>
    <row r="217" spans="1:14" x14ac:dyDescent="0.25">
      <c r="A217">
        <f>-'R1'!H217</f>
        <v>8</v>
      </c>
      <c r="B217">
        <f>DEGREES(ATAN(-SIN(RADIANS(('R1'!I217)))/(COS(RADIANS(Sheet1!A217))*COS(RADIANS('R1'!I217)))))</f>
        <v>12.114463536188838</v>
      </c>
      <c r="C217">
        <f>AVERAGE('R1'!J217,'R2'!J217,'R3'!J217)</f>
        <v>1.1766666666666665</v>
      </c>
      <c r="D217">
        <f>AVERAGE('R1'!K217,'R2'!K217,'R3'!K217)</f>
        <v>20.830708999999999</v>
      </c>
      <c r="E217">
        <f>AVERAGE('R1'!L217,'R2'!L217,'R3'!L217)</f>
        <v>0.80561844660258985</v>
      </c>
      <c r="F217">
        <f>AVERAGE('R1'!M217,'R2'!M217,'R3'!M217)</f>
        <v>-0.60658921053049608</v>
      </c>
      <c r="G217">
        <f>AVERAGE('R1'!N217,'R2'!N217,'R3'!N217)</f>
        <v>-9.5211692813898366E-2</v>
      </c>
      <c r="H217">
        <f>AVERAGE('R1'!O217,'R2'!O217,'R3'!O217)</f>
        <v>0.45383920551799856</v>
      </c>
      <c r="I217">
        <f t="shared" si="7"/>
        <v>4085.1334872222214</v>
      </c>
      <c r="K217">
        <f>_xlfn.STDEV.S('R1'!L217,'R2'!L217,'R3'!L217)</f>
        <v>1.1808286388332158E-3</v>
      </c>
      <c r="L217">
        <f>_xlfn.STDEV.S('R1'!M217,'R2'!M217,'R3'!M217)</f>
        <v>1.6875847412616335E-3</v>
      </c>
      <c r="M217">
        <f>_xlfn.STDEV.S('R1'!N217,'R2'!N217,'R3'!N217)</f>
        <v>4.2444610344207134E-3</v>
      </c>
      <c r="N217">
        <f>_xlfn.STDEV.S('R1'!O217,'R2'!O217,'R3'!O217)</f>
        <v>6.3946296635346298E-3</v>
      </c>
    </row>
    <row r="218" spans="1:14" x14ac:dyDescent="0.25">
      <c r="A218">
        <f>-'R1'!H218</f>
        <v>8</v>
      </c>
      <c r="B218">
        <f>DEGREES(ATAN(-SIN(RADIANS(('R1'!I218)))/(COS(RADIANS(Sheet1!A218))*COS(RADIANS('R1'!I218)))))</f>
        <v>8.0775879081011936</v>
      </c>
      <c r="C218">
        <f>AVERAGE('R1'!J218,'R2'!J218,'R3'!J218)</f>
        <v>1.1766666666666665</v>
      </c>
      <c r="D218">
        <f>AVERAGE('R1'!K218,'R2'!K218,'R3'!K218)</f>
        <v>20.649088666666668</v>
      </c>
      <c r="E218">
        <f>AVERAGE('R1'!L218,'R2'!L218,'R3'!L218)</f>
        <v>0.55154093770303947</v>
      </c>
      <c r="F218">
        <f>AVERAGE('R1'!M218,'R2'!M218,'R3'!M218)</f>
        <v>-0.64583419147348431</v>
      </c>
      <c r="G218">
        <f>AVERAGE('R1'!N218,'R2'!N218,'R3'!N218)</f>
        <v>-5.2489483346058928E-2</v>
      </c>
      <c r="H218">
        <f>AVERAGE('R1'!O218,'R2'!O218,'R3'!O218)</f>
        <v>0.61920153239681153</v>
      </c>
      <c r="I218">
        <f t="shared" si="7"/>
        <v>4049.5157218518511</v>
      </c>
      <c r="K218">
        <f>_xlfn.STDEV.S('R1'!L218,'R2'!L218,'R3'!L218)</f>
        <v>2.6384114152212803E-3</v>
      </c>
      <c r="L218">
        <f>_xlfn.STDEV.S('R1'!M218,'R2'!M218,'R3'!M218)</f>
        <v>2.4605665768806986E-3</v>
      </c>
      <c r="M218">
        <f>_xlfn.STDEV.S('R1'!N218,'R2'!N218,'R3'!N218)</f>
        <v>1.0406295995992094E-3</v>
      </c>
      <c r="N218">
        <f>_xlfn.STDEV.S('R1'!O218,'R2'!O218,'R3'!O218)</f>
        <v>2.5665376287924723E-3</v>
      </c>
    </row>
    <row r="219" spans="1:14" x14ac:dyDescent="0.25">
      <c r="A219">
        <f>-'R1'!H219</f>
        <v>8</v>
      </c>
      <c r="B219">
        <f>DEGREES(ATAN(-SIN(RADIANS(('R1'!I219)))/(COS(RADIANS(Sheet1!A219))*COS(RADIANS('R1'!I219)))))</f>
        <v>4.0391808057079874</v>
      </c>
      <c r="C219">
        <f>AVERAGE('R1'!J219,'R2'!J219,'R3'!J219)</f>
        <v>1.1766666666666665</v>
      </c>
      <c r="D219">
        <f>AVERAGE('R1'!K219,'R2'!K219,'R3'!K219)</f>
        <v>20.534029999999998</v>
      </c>
      <c r="E219">
        <f>AVERAGE('R1'!L219,'R2'!L219,'R3'!L219)</f>
        <v>0.27014563932707431</v>
      </c>
      <c r="F219">
        <f>AVERAGE('R1'!M219,'R2'!M219,'R3'!M219)</f>
        <v>-0.69586218937005995</v>
      </c>
      <c r="G219">
        <f>AVERAGE('R1'!N219,'R2'!N219,'R3'!N219)</f>
        <v>-3.1546033130431181E-2</v>
      </c>
      <c r="H219">
        <f>AVERAGE('R1'!O219,'R2'!O219,'R3'!O219)</f>
        <v>0.76228804826668461</v>
      </c>
      <c r="I219">
        <f t="shared" si="7"/>
        <v>4026.9514388888874</v>
      </c>
      <c r="K219">
        <f>_xlfn.STDEV.S('R1'!L219,'R2'!L219,'R3'!L219)</f>
        <v>2.7621098792092098E-3</v>
      </c>
      <c r="L219">
        <f>_xlfn.STDEV.S('R1'!M219,'R2'!M219,'R3'!M219)</f>
        <v>4.9323601775639664E-3</v>
      </c>
      <c r="M219">
        <f>_xlfn.STDEV.S('R1'!N219,'R2'!N219,'R3'!N219)</f>
        <v>4.4391836709690539E-3</v>
      </c>
      <c r="N219">
        <f>_xlfn.STDEV.S('R1'!O219,'R2'!O219,'R3'!O219)</f>
        <v>3.5800796173156451E-3</v>
      </c>
    </row>
    <row r="220" spans="1:14" x14ac:dyDescent="0.25">
      <c r="A220">
        <f>-'R1'!H220</f>
        <v>8</v>
      </c>
      <c r="B220">
        <f>DEGREES(ATAN(-SIN(RADIANS(('R1'!I220)))/(COS(RADIANS(Sheet1!A220))*COS(RADIANS('R1'!I220)))))</f>
        <v>0</v>
      </c>
      <c r="C220">
        <f>AVERAGE('R1'!J220,'R2'!J220,'R3'!J220)</f>
        <v>1.1766666666666665</v>
      </c>
      <c r="D220">
        <f>AVERAGE('R1'!K220,'R2'!K220,'R3'!K220)</f>
        <v>20.412852333333333</v>
      </c>
      <c r="E220">
        <f>AVERAGE('R1'!L220,'R2'!L220,'R3'!L220)</f>
        <v>-4.2808379894740178E-2</v>
      </c>
      <c r="F220">
        <f>AVERAGE('R1'!M220,'R2'!M220,'R3'!M220)</f>
        <v>-0.73486263810253838</v>
      </c>
      <c r="G220">
        <f>AVERAGE('R1'!N220,'R2'!N220,'R3'!N220)</f>
        <v>-2.4057061807982307E-2</v>
      </c>
      <c r="H220">
        <f>AVERAGE('R1'!O220,'R2'!O220,'R3'!O220)</f>
        <v>0.86383503205889411</v>
      </c>
      <c r="I220">
        <f t="shared" si="7"/>
        <v>4003.1871520370364</v>
      </c>
      <c r="K220">
        <f>_xlfn.STDEV.S('R1'!L220,'R2'!L220,'R3'!L220)</f>
        <v>3.9689338198721311E-3</v>
      </c>
      <c r="L220">
        <f>_xlfn.STDEV.S('R1'!M220,'R2'!M220,'R3'!M220)</f>
        <v>1.8828127307574931E-3</v>
      </c>
      <c r="M220">
        <f>_xlfn.STDEV.S('R1'!N220,'R2'!N220,'R3'!N220)</f>
        <v>3.3051650834032263E-3</v>
      </c>
      <c r="N220">
        <f>_xlfn.STDEV.S('R1'!O220,'R2'!O220,'R3'!O220)</f>
        <v>1.1722646636027592E-3</v>
      </c>
    </row>
    <row r="221" spans="1:14" x14ac:dyDescent="0.25">
      <c r="A221">
        <f>-'R1'!H221</f>
        <v>8</v>
      </c>
      <c r="B221">
        <f>DEGREES(ATAN(-SIN(RADIANS(('R1'!I221)))/(COS(RADIANS(Sheet1!A221))*COS(RADIANS('R1'!I221)))))</f>
        <v>-4.0391808057079874</v>
      </c>
      <c r="C221">
        <f>AVERAGE('R1'!J221,'R2'!J221,'R3'!J221)</f>
        <v>1.1766666666666665</v>
      </c>
      <c r="D221">
        <f>AVERAGE('R1'!K221,'R2'!K221,'R3'!K221)</f>
        <v>20.406497166666668</v>
      </c>
      <c r="E221">
        <f>AVERAGE('R1'!L221,'R2'!L221,'R3'!L221)</f>
        <v>-0.34706742449680245</v>
      </c>
      <c r="F221">
        <f>AVERAGE('R1'!M221,'R2'!M221,'R3'!M221)</f>
        <v>-0.66911233595382058</v>
      </c>
      <c r="G221">
        <f>AVERAGE('R1'!N221,'R2'!N221,'R3'!N221)</f>
        <v>-3.0886532694259478E-2</v>
      </c>
      <c r="H221">
        <f>AVERAGE('R1'!O221,'R2'!O221,'R3'!O221)</f>
        <v>0.73516698821704074</v>
      </c>
      <c r="I221">
        <f t="shared" si="7"/>
        <v>4001.9408332407402</v>
      </c>
      <c r="K221">
        <f>_xlfn.STDEV.S('R1'!L221,'R2'!L221,'R3'!L221)</f>
        <v>6.5657098881362419E-3</v>
      </c>
      <c r="L221">
        <f>_xlfn.STDEV.S('R1'!M221,'R2'!M221,'R3'!M221)</f>
        <v>5.7536870689959795E-3</v>
      </c>
      <c r="M221">
        <f>_xlfn.STDEV.S('R1'!N221,'R2'!N221,'R3'!N221)</f>
        <v>3.4423085554502928E-3</v>
      </c>
      <c r="N221">
        <f>_xlfn.STDEV.S('R1'!O221,'R2'!O221,'R3'!O221)</f>
        <v>9.0174415845305621E-3</v>
      </c>
    </row>
    <row r="222" spans="1:14" x14ac:dyDescent="0.25">
      <c r="A222">
        <f>-'R1'!H222</f>
        <v>8</v>
      </c>
      <c r="B222">
        <f>DEGREES(ATAN(-SIN(RADIANS(('R1'!I222)))/(COS(RADIANS(Sheet1!A222))*COS(RADIANS('R1'!I222)))))</f>
        <v>-8.0775879081011936</v>
      </c>
      <c r="C222">
        <f>AVERAGE('R1'!J222,'R2'!J222,'R3'!J222)</f>
        <v>1.1766666666666665</v>
      </c>
      <c r="D222">
        <f>AVERAGE('R1'!K222,'R2'!K222,'R3'!K222)</f>
        <v>20.813989333333335</v>
      </c>
      <c r="E222">
        <f>AVERAGE('R1'!L222,'R2'!L222,'R3'!L222)</f>
        <v>-0.62651800310944072</v>
      </c>
      <c r="F222">
        <f>AVERAGE('R1'!M222,'R2'!M222,'R3'!M222)</f>
        <v>-0.58362299164271558</v>
      </c>
      <c r="G222">
        <f>AVERAGE('R1'!N222,'R2'!N222,'R3'!N222)</f>
        <v>-5.0679034771456882E-2</v>
      </c>
      <c r="H222">
        <f>AVERAGE('R1'!O222,'R2'!O222,'R3'!O222)</f>
        <v>0.62253860400274086</v>
      </c>
      <c r="I222">
        <f t="shared" si="7"/>
        <v>4081.8545748148149</v>
      </c>
      <c r="K222">
        <f>_xlfn.STDEV.S('R1'!L222,'R2'!L222,'R3'!L222)</f>
        <v>2.2693953678234635E-3</v>
      </c>
      <c r="L222">
        <f>_xlfn.STDEV.S('R1'!M222,'R2'!M222,'R3'!M222)</f>
        <v>9.4503629234974785E-3</v>
      </c>
      <c r="M222">
        <f>_xlfn.STDEV.S('R1'!N222,'R2'!N222,'R3'!N222)</f>
        <v>3.9886097016016636E-3</v>
      </c>
      <c r="N222">
        <f>_xlfn.STDEV.S('R1'!O222,'R2'!O222,'R3'!O222)</f>
        <v>7.080159175400883E-3</v>
      </c>
    </row>
    <row r="223" spans="1:14" x14ac:dyDescent="0.25">
      <c r="A223">
        <f>-'R1'!H223</f>
        <v>8</v>
      </c>
      <c r="B223">
        <f>DEGREES(ATAN(-SIN(RADIANS(('R1'!I223)))/(COS(RADIANS(Sheet1!A223))*COS(RADIANS('R1'!I223)))))</f>
        <v>-12.114463536188838</v>
      </c>
      <c r="C223">
        <f>AVERAGE('R1'!J223,'R2'!J223,'R3'!J223)</f>
        <v>1.1766666666666665</v>
      </c>
      <c r="D223">
        <f>AVERAGE('R1'!K223,'R2'!K223,'R3'!K223)</f>
        <v>20.979651749999999</v>
      </c>
      <c r="E223">
        <f>AVERAGE('R1'!L223,'R2'!L223,'R3'!L223)</f>
        <v>-0.87307774903630875</v>
      </c>
      <c r="F223">
        <f>AVERAGE('R1'!M223,'R2'!M223,'R3'!M223)</f>
        <v>-0.54020776897253153</v>
      </c>
      <c r="G223">
        <f>AVERAGE('R1'!N223,'R2'!N223,'R3'!N223)</f>
        <v>-9.7353533644566517E-2</v>
      </c>
      <c r="H223">
        <f>AVERAGE('R1'!O223,'R2'!O223,'R3'!O223)</f>
        <v>0.48652348880185436</v>
      </c>
      <c r="I223">
        <f t="shared" si="7"/>
        <v>4114.342815416665</v>
      </c>
      <c r="K223">
        <f>_xlfn.STDEV.S('R1'!L223,'R2'!L223,'R3'!L223)</f>
        <v>1.5441217666186942E-3</v>
      </c>
      <c r="L223">
        <f>_xlfn.STDEV.S('R1'!M223,'R2'!M223,'R3'!M223)</f>
        <v>8.2189489947803694E-3</v>
      </c>
      <c r="M223">
        <f>_xlfn.STDEV.S('R1'!N223,'R2'!N223,'R3'!N223)</f>
        <v>2.1617802574350727E-3</v>
      </c>
      <c r="N223">
        <f>_xlfn.STDEV.S('R1'!O223,'R2'!O223,'R3'!O223)</f>
        <v>6.3417581010194379E-3</v>
      </c>
    </row>
    <row r="224" spans="1:14" x14ac:dyDescent="0.25">
      <c r="A224">
        <f>-'R1'!H224</f>
        <v>8</v>
      </c>
      <c r="B224">
        <f>DEGREES(ATAN(-SIN(RADIANS(('R1'!I224)))/(COS(RADIANS(Sheet1!A224))*COS(RADIANS('R1'!I224)))))</f>
        <v>-16.149081403494897</v>
      </c>
      <c r="C224">
        <f>AVERAGE('R1'!J224,'R2'!J224,'R3'!J224)</f>
        <v>1.1766666666666665</v>
      </c>
      <c r="D224">
        <f>AVERAGE('R1'!K224,'R2'!K224,'R3'!K224)</f>
        <v>21.078585750000002</v>
      </c>
      <c r="E224">
        <f>AVERAGE('R1'!L224,'R2'!L224,'R3'!L224)</f>
        <v>-1.1045300644770459</v>
      </c>
      <c r="F224">
        <f>AVERAGE('R1'!M224,'R2'!M224,'R3'!M224)</f>
        <v>-0.524570115016747</v>
      </c>
      <c r="G224">
        <f>AVERAGE('R1'!N224,'R2'!N224,'R3'!N224)</f>
        <v>-0.17818158257161873</v>
      </c>
      <c r="H224">
        <f>AVERAGE('R1'!O224,'R2'!O224,'R3'!O224)</f>
        <v>0.33597209842379933</v>
      </c>
      <c r="I224">
        <f t="shared" si="7"/>
        <v>4133.7448720833327</v>
      </c>
      <c r="K224">
        <f>_xlfn.STDEV.S('R1'!L224,'R2'!L224,'R3'!L224)</f>
        <v>9.1410782429858783E-3</v>
      </c>
      <c r="L224">
        <f>_xlfn.STDEV.S('R1'!M224,'R2'!M224,'R3'!M224)</f>
        <v>1.1485684965118537E-2</v>
      </c>
      <c r="M224">
        <f>_xlfn.STDEV.S('R1'!N224,'R2'!N224,'R3'!N224)</f>
        <v>4.2905876330463326E-3</v>
      </c>
      <c r="N224">
        <f>_xlfn.STDEV.S('R1'!O224,'R2'!O224,'R3'!O224)</f>
        <v>7.2503674613528038E-3</v>
      </c>
    </row>
    <row r="225" spans="1:14" x14ac:dyDescent="0.25">
      <c r="A225">
        <f>-'R1'!H225</f>
        <v>8</v>
      </c>
      <c r="B225">
        <f>DEGREES(ATAN(-SIN(RADIANS(('R1'!I225)))/(COS(RADIANS(Sheet1!A225))*COS(RADIANS('R1'!I225)))))</f>
        <v>-20.180761513231211</v>
      </c>
      <c r="C225">
        <f>AVERAGE('R1'!J225,'R2'!J225,'R3'!J225)</f>
        <v>1.1766666666666665</v>
      </c>
      <c r="D225">
        <f>AVERAGE('R1'!K225,'R2'!K225,'R3'!K225)</f>
        <v>21.370916333333337</v>
      </c>
      <c r="E225">
        <f>AVERAGE('R1'!L225,'R2'!L225,'R3'!L225)</f>
        <v>-1.341610847168079</v>
      </c>
      <c r="F225">
        <f>AVERAGE('R1'!M225,'R2'!M225,'R3'!M225)</f>
        <v>-0.52959232063384354</v>
      </c>
      <c r="G225">
        <f>AVERAGE('R1'!N225,'R2'!N225,'R3'!N225)</f>
        <v>-0.29313153005988885</v>
      </c>
      <c r="H225">
        <f>AVERAGE('R1'!O225,'R2'!O225,'R3'!O225)</f>
        <v>0.1651141157774241</v>
      </c>
      <c r="I225">
        <f t="shared" si="7"/>
        <v>4191.0741475925934</v>
      </c>
      <c r="K225">
        <f>_xlfn.STDEV.S('R1'!L225,'R2'!L225,'R3'!L225)</f>
        <v>3.0777808869755187E-3</v>
      </c>
      <c r="L225">
        <f>_xlfn.STDEV.S('R1'!M225,'R2'!M225,'R3'!M225)</f>
        <v>6.4541765306826799E-3</v>
      </c>
      <c r="M225">
        <f>_xlfn.STDEV.S('R1'!N225,'R2'!N225,'R3'!N225)</f>
        <v>9.2304480526397294E-4</v>
      </c>
      <c r="N225">
        <f>_xlfn.STDEV.S('R1'!O225,'R2'!O225,'R3'!O225)</f>
        <v>3.8793178257348995E-3</v>
      </c>
    </row>
    <row r="226" spans="1:14" x14ac:dyDescent="0.25">
      <c r="A226">
        <f>-'R1'!H226</f>
        <v>8</v>
      </c>
      <c r="B226">
        <f>DEGREES(ATAN(-SIN(RADIANS(('R1'!I226)))/(COS(RADIANS(Sheet1!A226))*COS(RADIANS('R1'!I226)))))</f>
        <v>-24.208883875277589</v>
      </c>
      <c r="C226">
        <f>AVERAGE('R1'!J226,'R2'!J226,'R3'!J226)</f>
        <v>1.1766666666666665</v>
      </c>
      <c r="D226">
        <f>AVERAGE('R1'!K226,'R2'!K226,'R3'!K226)</f>
        <v>21.252554499999999</v>
      </c>
      <c r="E226">
        <f>AVERAGE('R1'!L226,'R2'!L226,'R3'!L226)</f>
        <v>-1.5792128916851107</v>
      </c>
      <c r="F226">
        <f>AVERAGE('R1'!M226,'R2'!M226,'R3'!M226)</f>
        <v>-0.5677298748433649</v>
      </c>
      <c r="G226">
        <f>AVERAGE('R1'!N226,'R2'!N226,'R3'!N226)</f>
        <v>-0.44517838177756736</v>
      </c>
      <c r="H226">
        <f>AVERAGE('R1'!O226,'R2'!O226,'R3'!O226)</f>
        <v>-1.8635524877127694E-2</v>
      </c>
      <c r="I226">
        <f t="shared" si="7"/>
        <v>4167.8620769444433</v>
      </c>
      <c r="K226">
        <f>_xlfn.STDEV.S('R1'!L226,'R2'!L226,'R3'!L226)</f>
        <v>2.6043242576821151E-3</v>
      </c>
      <c r="L226">
        <f>_xlfn.STDEV.S('R1'!M226,'R2'!M226,'R3'!M226)</f>
        <v>1.5485519753062943E-2</v>
      </c>
      <c r="M226">
        <f>_xlfn.STDEV.S('R1'!N226,'R2'!N226,'R3'!N226)</f>
        <v>5.7992815529698772E-3</v>
      </c>
      <c r="N226">
        <f>_xlfn.STDEV.S('R1'!O226,'R2'!O226,'R3'!O226)</f>
        <v>5.1801367438915179E-3</v>
      </c>
    </row>
    <row r="227" spans="1:14" x14ac:dyDescent="0.25">
      <c r="A227">
        <f>-'R1'!H227</f>
        <v>8</v>
      </c>
      <c r="B227">
        <f>DEGREES(ATAN(-SIN(RADIANS(('R1'!I227)))/(COS(RADIANS(Sheet1!A227))*COS(RADIANS('R1'!I227)))))</f>
        <v>-28.23290083045832</v>
      </c>
      <c r="C227">
        <f>AVERAGE('R1'!J227,'R2'!J227,'R3'!J227)</f>
        <v>1.1766666666666665</v>
      </c>
      <c r="D227">
        <f>AVERAGE('R1'!K227,'R2'!K227,'R3'!K227)</f>
        <v>21.009775833333332</v>
      </c>
      <c r="E227">
        <f>AVERAGE('R1'!L227,'R2'!L227,'R3'!L227)</f>
        <v>-1.8593373537974804</v>
      </c>
      <c r="F227">
        <f>AVERAGE('R1'!M227,'R2'!M227,'R3'!M227)</f>
        <v>-0.63352941553434083</v>
      </c>
      <c r="G227">
        <f>AVERAGE('R1'!N227,'R2'!N227,'R3'!N227)</f>
        <v>-0.65709355832281713</v>
      </c>
      <c r="H227">
        <f>AVERAGE('R1'!O227,'R2'!O227,'R3'!O227)</f>
        <v>-0.21279398389996781</v>
      </c>
      <c r="I227">
        <f t="shared" si="7"/>
        <v>4120.2504828703695</v>
      </c>
      <c r="K227">
        <f>_xlfn.STDEV.S('R1'!L227,'R2'!L227,'R3'!L227)</f>
        <v>6.0919630568453779E-3</v>
      </c>
      <c r="L227">
        <f>_xlfn.STDEV.S('R1'!M227,'R2'!M227,'R3'!M227)</f>
        <v>1.2896173264908301E-2</v>
      </c>
      <c r="M227">
        <f>_xlfn.STDEV.S('R1'!N227,'R2'!N227,'R3'!N227)</f>
        <v>1.7222050934536048E-3</v>
      </c>
      <c r="N227">
        <f>_xlfn.STDEV.S('R1'!O227,'R2'!O227,'R3'!O227)</f>
        <v>5.7276874538738521E-3</v>
      </c>
    </row>
    <row r="228" spans="1:14" x14ac:dyDescent="0.25">
      <c r="A228">
        <f>-'R1'!H228</f>
        <v>8</v>
      </c>
      <c r="B228">
        <f>DEGREES(ATAN(-SIN(RADIANS(('R1'!I228)))/(COS(RADIANS(Sheet1!A228))*COS(RADIANS('R1'!I228)))))</f>
        <v>-32.252347723135095</v>
      </c>
      <c r="C228">
        <f>AVERAGE('R1'!J228,'R2'!J228,'R3'!J228)</f>
        <v>1.1766666666666665</v>
      </c>
      <c r="D228">
        <f>AVERAGE('R1'!K228,'R2'!K228,'R3'!K228)</f>
        <v>20.846465166666668</v>
      </c>
      <c r="E228">
        <f>AVERAGE('R1'!L228,'R2'!L228,'R3'!L228)</f>
        <v>-2.2118020847149169</v>
      </c>
      <c r="F228">
        <f>AVERAGE('R1'!M228,'R2'!M228,'R3'!M228)</f>
        <v>-0.71039451347629656</v>
      </c>
      <c r="G228">
        <f>AVERAGE('R1'!N228,'R2'!N228,'R3'!N228)</f>
        <v>-0.94893175073593772</v>
      </c>
      <c r="H228">
        <f>AVERAGE('R1'!O228,'R2'!O228,'R3'!O228)</f>
        <v>-0.4362959697413375</v>
      </c>
      <c r="I228">
        <f t="shared" si="7"/>
        <v>4088.2234465740744</v>
      </c>
      <c r="K228">
        <f>_xlfn.STDEV.S('R1'!L228,'R2'!L228,'R3'!L228)</f>
        <v>1.3351379003238208E-2</v>
      </c>
      <c r="L228">
        <f>_xlfn.STDEV.S('R1'!M228,'R2'!M228,'R3'!M228)</f>
        <v>1.1116338287243482E-2</v>
      </c>
      <c r="M228">
        <f>_xlfn.STDEV.S('R1'!N228,'R2'!N228,'R3'!N228)</f>
        <v>9.6285319894012719E-3</v>
      </c>
      <c r="N228">
        <f>_xlfn.STDEV.S('R1'!O228,'R2'!O228,'R3'!O228)</f>
        <v>3.3246042373058378E-3</v>
      </c>
    </row>
    <row r="229" spans="1:14" x14ac:dyDescent="0.25">
      <c r="A229">
        <f>-'R1'!H229</f>
        <v>8</v>
      </c>
      <c r="B229">
        <f>DEGREES(ATAN(-SIN(RADIANS(('R1'!I229)))/(COS(RADIANS(Sheet1!A229))*COS(RADIANS('R1'!I229)))))</f>
        <v>-36.2668517150396</v>
      </c>
      <c r="C229">
        <f>AVERAGE('R1'!J229,'R2'!J229,'R3'!J229)</f>
        <v>1.175</v>
      </c>
      <c r="D229">
        <f>AVERAGE('R1'!K229,'R2'!K229,'R3'!K229)</f>
        <v>20.671515583333335</v>
      </c>
      <c r="E229">
        <f>AVERAGE('R1'!L229,'R2'!L229,'R3'!L229)</f>
        <v>-2.6905860418823266</v>
      </c>
      <c r="F229">
        <f>AVERAGE('R1'!M229,'R2'!M229,'R3'!M229)</f>
        <v>-0.82288809255798456</v>
      </c>
      <c r="G229">
        <f>AVERAGE('R1'!N229,'R2'!N229,'R3'!N229)</f>
        <v>-1.3698848160045933</v>
      </c>
      <c r="H229">
        <f>AVERAGE('R1'!O229,'R2'!O229,'R3'!O229)</f>
        <v>-0.71741277200548514</v>
      </c>
      <c r="I229">
        <f t="shared" si="7"/>
        <v>4048.1718017361113</v>
      </c>
      <c r="K229">
        <f>_xlfn.STDEV.S('R1'!L229,'R2'!L229,'R3'!L229)</f>
        <v>1.1853055373139089E-2</v>
      </c>
      <c r="L229">
        <f>_xlfn.STDEV.S('R1'!M229,'R2'!M229,'R3'!M229)</f>
        <v>1.0525012341537784E-2</v>
      </c>
      <c r="M229">
        <f>_xlfn.STDEV.S('R1'!N229,'R2'!N229,'R3'!N229)</f>
        <v>9.4983836996759153E-3</v>
      </c>
      <c r="N229">
        <f>_xlfn.STDEV.S('R1'!O229,'R2'!O229,'R3'!O229)</f>
        <v>3.5703497057225759E-3</v>
      </c>
    </row>
    <row r="230" spans="1:14" x14ac:dyDescent="0.25">
      <c r="A230">
        <f>-'R1'!H230</f>
        <v>8</v>
      </c>
      <c r="B230">
        <f>DEGREES(ATAN(-SIN(RADIANS(('R1'!I230)))/(COS(RADIANS(Sheet1!A230))*COS(RADIANS('R1'!I230)))))</f>
        <v>-40.276138588852518</v>
      </c>
      <c r="C230">
        <f>AVERAGE('R1'!J230,'R2'!J230,'R3'!J230)</f>
        <v>1.1733333333333331</v>
      </c>
      <c r="D230">
        <f>AVERAGE('R1'!K230,'R2'!K230,'R3'!K230)</f>
        <v>20.566112666666665</v>
      </c>
      <c r="E230">
        <f>AVERAGE('R1'!L230,'R2'!L230,'R3'!L230)</f>
        <v>-3.3958312026777002</v>
      </c>
      <c r="F230">
        <f>AVERAGE('R1'!M230,'R2'!M230,'R3'!M230)</f>
        <v>-0.98563225082841477</v>
      </c>
      <c r="G230">
        <f>AVERAGE('R1'!N230,'R2'!N230,'R3'!N230)</f>
        <v>-2.0178822596275525</v>
      </c>
      <c r="H230">
        <f>AVERAGE('R1'!O230,'R2'!O230,'R3'!O230)</f>
        <v>-1.0989234973522006</v>
      </c>
      <c r="I230">
        <f t="shared" si="7"/>
        <v>4021.8175881481466</v>
      </c>
      <c r="K230">
        <f>_xlfn.STDEV.S('R1'!L230,'R2'!L230,'R3'!L230)</f>
        <v>1.8138469263443799E-2</v>
      </c>
      <c r="L230">
        <f>_xlfn.STDEV.S('R1'!M230,'R2'!M230,'R3'!M230)</f>
        <v>1.376078718340989E-2</v>
      </c>
      <c r="M230">
        <f>_xlfn.STDEV.S('R1'!N230,'R2'!N230,'R3'!N230)</f>
        <v>1.6594450922336485E-2</v>
      </c>
      <c r="N230">
        <f>_xlfn.STDEV.S('R1'!O230,'R2'!O230,'R3'!O230)</f>
        <v>6.4973284794750466E-3</v>
      </c>
    </row>
    <row r="231" spans="1:14" x14ac:dyDescent="0.25">
      <c r="A231">
        <f>-'R1'!H231</f>
        <v>8</v>
      </c>
      <c r="B231">
        <f>DEGREES(ATAN(-SIN(RADIANS(('R1'!I231)))/(COS(RADIANS(Sheet1!A231))*COS(RADIANS('R1'!I231)))))</f>
        <v>-44.280037446618948</v>
      </c>
      <c r="C231">
        <f>AVERAGE('R1'!J231,'R2'!J231,'R3'!J231)</f>
        <v>1.1733333333333331</v>
      </c>
      <c r="D231">
        <f>AVERAGE('R1'!K231,'R2'!K231,'R3'!K231)</f>
        <v>20.426961166666668</v>
      </c>
      <c r="E231">
        <f>AVERAGE('R1'!L231,'R2'!L231,'R3'!L231)</f>
        <v>-4.4793799521204853</v>
      </c>
      <c r="F231">
        <f>AVERAGE('R1'!M231,'R2'!M231,'R3'!M231)</f>
        <v>-1.2463581990199175</v>
      </c>
      <c r="G231">
        <f>AVERAGE('R1'!N231,'R2'!N231,'R3'!N231)</f>
        <v>-3.037175699909104</v>
      </c>
      <c r="H231">
        <f>AVERAGE('R1'!O231,'R2'!O231,'R3'!O231)</f>
        <v>-1.6661932396695309</v>
      </c>
      <c r="I231">
        <f t="shared" si="7"/>
        <v>3994.6057392592584</v>
      </c>
      <c r="K231">
        <f>_xlfn.STDEV.S('R1'!L231,'R2'!L231,'R3'!L231)</f>
        <v>3.1432280595757207E-2</v>
      </c>
      <c r="L231">
        <f>_xlfn.STDEV.S('R1'!M231,'R2'!M231,'R3'!M231)</f>
        <v>2.1521081218244077E-2</v>
      </c>
      <c r="M231">
        <f>_xlfn.STDEV.S('R1'!N231,'R2'!N231,'R3'!N231)</f>
        <v>3.3081726829426228E-2</v>
      </c>
      <c r="N231">
        <f>_xlfn.STDEV.S('R1'!O231,'R2'!O231,'R3'!O231)</f>
        <v>1.4207472848913836E-2</v>
      </c>
    </row>
    <row r="232" spans="1:14" x14ac:dyDescent="0.25">
      <c r="A232">
        <f>-'R1'!H232</f>
        <v>4</v>
      </c>
      <c r="B232">
        <f>DEGREES(ATAN(-SIN(RADIANS(('R1'!I232)))/(COS(RADIANS(Sheet1!A232))*COS(RADIANS('R1'!I232)))))</f>
        <v>44.069830293849904</v>
      </c>
      <c r="C232">
        <f>AVERAGE('R1'!J232,'R2'!J232,'R3'!J232)</f>
        <v>1.1733333333333331</v>
      </c>
      <c r="D232">
        <f>AVERAGE('R1'!K232,'R2'!K232,'R3'!K232)</f>
        <v>20.284913666666665</v>
      </c>
      <c r="E232">
        <f>AVERAGE('R1'!L232,'R2'!L232,'R3'!L232)</f>
        <v>3.0886469452622793</v>
      </c>
      <c r="F232">
        <f>AVERAGE('R1'!M232,'R2'!M232,'R3'!M232)</f>
        <v>-0.5915945875296752</v>
      </c>
      <c r="G232">
        <f>AVERAGE('R1'!N232,'R2'!N232,'R3'!N232)</f>
        <v>-1.6811257202030738</v>
      </c>
      <c r="H232">
        <f>AVERAGE('R1'!O232,'R2'!O232,'R3'!O232)</f>
        <v>-1.1118995956536037</v>
      </c>
      <c r="I232">
        <f t="shared" si="7"/>
        <v>3966.8275614814802</v>
      </c>
      <c r="K232">
        <f>_xlfn.STDEV.S('R1'!L232,'R2'!L232,'R3'!L232)</f>
        <v>1.3059796441717144E-2</v>
      </c>
      <c r="L232">
        <f>_xlfn.STDEV.S('R1'!M232,'R2'!M232,'R3'!M232)</f>
        <v>1.4006388746629359E-2</v>
      </c>
      <c r="M232">
        <f>_xlfn.STDEV.S('R1'!N232,'R2'!N232,'R3'!N232)</f>
        <v>7.7020049603969479E-3</v>
      </c>
      <c r="N232">
        <f>_xlfn.STDEV.S('R1'!O232,'R2'!O232,'R3'!O232)</f>
        <v>7.616596264112172E-3</v>
      </c>
    </row>
    <row r="233" spans="1:14" x14ac:dyDescent="0.25">
      <c r="A233">
        <f>-'R1'!H233</f>
        <v>4</v>
      </c>
      <c r="B233">
        <f>DEGREES(ATAN(-SIN(RADIANS(('R1'!I233)))/(COS(RADIANS(Sheet1!A233))*COS(RADIANS('R1'!I233)))))</f>
        <v>40.068822978998547</v>
      </c>
      <c r="C233">
        <f>AVERAGE('R1'!J233,'R2'!J233,'R3'!J233)</f>
        <v>1.1733333333333331</v>
      </c>
      <c r="D233">
        <f>AVERAGE('R1'!K233,'R2'!K233,'R3'!K233)</f>
        <v>20.19762175</v>
      </c>
      <c r="E233">
        <f>AVERAGE('R1'!L233,'R2'!L233,'R3'!L233)</f>
        <v>2.6622558978931639</v>
      </c>
      <c r="F233">
        <f>AVERAGE('R1'!M233,'R2'!M233,'R3'!M233)</f>
        <v>-0.51323537409730691</v>
      </c>
      <c r="G233">
        <f>AVERAGE('R1'!N233,'R2'!N233,'R3'!N233)</f>
        <v>-1.2630407217965314</v>
      </c>
      <c r="H233">
        <f>AVERAGE('R1'!O233,'R2'!O233,'R3'!O233)</f>
        <v>-0.81121229812217877</v>
      </c>
      <c r="I233">
        <f t="shared" si="7"/>
        <v>3949.7571422222213</v>
      </c>
      <c r="K233">
        <f>_xlfn.STDEV.S('R1'!L233,'R2'!L233,'R3'!L233)</f>
        <v>1.3013798096585304E-2</v>
      </c>
      <c r="L233">
        <f>_xlfn.STDEV.S('R1'!M233,'R2'!M233,'R3'!M233)</f>
        <v>1.1052615852472844E-2</v>
      </c>
      <c r="M233">
        <f>_xlfn.STDEV.S('R1'!N233,'R2'!N233,'R3'!N233)</f>
        <v>9.2105510556352074E-3</v>
      </c>
      <c r="N233">
        <f>_xlfn.STDEV.S('R1'!O233,'R2'!O233,'R3'!O233)</f>
        <v>5.9015588218845512E-3</v>
      </c>
    </row>
    <row r="234" spans="1:14" x14ac:dyDescent="0.25">
      <c r="A234">
        <f>-'R1'!H234</f>
        <v>4</v>
      </c>
      <c r="B234">
        <f>DEGREES(ATAN(-SIN(RADIANS(('R1'!I234)))/(COS(RADIANS(Sheet1!A234))*COS(RADIANS('R1'!I234)))))</f>
        <v>36.066475262469574</v>
      </c>
      <c r="C234">
        <f>AVERAGE('R1'!J234,'R2'!J234,'R3'!J234)</f>
        <v>1.1758333333333333</v>
      </c>
      <c r="D234">
        <f>AVERAGE('R1'!K234,'R2'!K234,'R3'!K234)</f>
        <v>20.05425841666667</v>
      </c>
      <c r="E234">
        <f>AVERAGE('R1'!L234,'R2'!L234,'R3'!L234)</f>
        <v>2.3058826247614488</v>
      </c>
      <c r="F234">
        <f>AVERAGE('R1'!M234,'R2'!M234,'R3'!M234)</f>
        <v>-0.46090962414413683</v>
      </c>
      <c r="G234">
        <f>AVERAGE('R1'!N234,'R2'!N234,'R3'!N234)</f>
        <v>-0.93958325414300203</v>
      </c>
      <c r="H234">
        <f>AVERAGE('R1'!O234,'R2'!O234,'R3'!O234)</f>
        <v>-0.5611390028407014</v>
      </c>
      <c r="I234">
        <f t="shared" si="7"/>
        <v>3930.0775869328713</v>
      </c>
      <c r="K234">
        <f>_xlfn.STDEV.S('R1'!L234,'R2'!L234,'R3'!L234)</f>
        <v>1.3137728192509862E-2</v>
      </c>
      <c r="L234">
        <f>_xlfn.STDEV.S('R1'!M234,'R2'!M234,'R3'!M234)</f>
        <v>7.5614982756066424E-3</v>
      </c>
      <c r="M234">
        <f>_xlfn.STDEV.S('R1'!N234,'R2'!N234,'R3'!N234)</f>
        <v>9.5516513454079206E-3</v>
      </c>
      <c r="N234">
        <f>_xlfn.STDEV.S('R1'!O234,'R2'!O234,'R3'!O234)</f>
        <v>7.1671371015318485E-3</v>
      </c>
    </row>
    <row r="235" spans="1:14" x14ac:dyDescent="0.25">
      <c r="A235">
        <f>-'R1'!H235</f>
        <v>4</v>
      </c>
      <c r="B235">
        <f>DEGREES(ATAN(-SIN(RADIANS(('R1'!I235)))/(COS(RADIANS(Sheet1!A235))*COS(RADIANS('R1'!I235)))))</f>
        <v>32.062832231023428</v>
      </c>
      <c r="C235">
        <f>AVERAGE('R1'!J235,'R2'!J235,'R3'!J235)</f>
        <v>1.1766666666666665</v>
      </c>
      <c r="D235">
        <f>AVERAGE('R1'!K235,'R2'!K235,'R3'!K235)</f>
        <v>19.956515249999999</v>
      </c>
      <c r="E235">
        <f>AVERAGE('R1'!L235,'R2'!L235,'R3'!L235)</f>
        <v>2.0199805083738678</v>
      </c>
      <c r="F235">
        <f>AVERAGE('R1'!M235,'R2'!M235,'R3'!M235)</f>
        <v>-0.41621490288399804</v>
      </c>
      <c r="G235">
        <f>AVERAGE('R1'!N235,'R2'!N235,'R3'!N235)</f>
        <v>-0.69306435192659677</v>
      </c>
      <c r="H235">
        <f>AVERAGE('R1'!O235,'R2'!O235,'R3'!O235)</f>
        <v>-0.34324497418950722</v>
      </c>
      <c r="I235">
        <f t="shared" si="7"/>
        <v>3913.6943795833322</v>
      </c>
      <c r="K235">
        <f>_xlfn.STDEV.S('R1'!L235,'R2'!L235,'R3'!L235)</f>
        <v>1.4031254934442692E-2</v>
      </c>
      <c r="L235">
        <f>_xlfn.STDEV.S('R1'!M235,'R2'!M235,'R3'!M235)</f>
        <v>9.2252898291291189E-3</v>
      </c>
      <c r="M235">
        <f>_xlfn.STDEV.S('R1'!N235,'R2'!N235,'R3'!N235)</f>
        <v>7.3919190355123511E-3</v>
      </c>
      <c r="N235">
        <f>_xlfn.STDEV.S('R1'!O235,'R2'!O235,'R3'!O235)</f>
        <v>7.8634456625015191E-3</v>
      </c>
    </row>
    <row r="236" spans="1:14" x14ac:dyDescent="0.25">
      <c r="A236">
        <f>-'R1'!H236</f>
        <v>4</v>
      </c>
      <c r="B236">
        <f>DEGREES(ATAN(-SIN(RADIANS(('R1'!I236)))/(COS(RADIANS(Sheet1!A236))*COS(RADIANS('R1'!I236)))))</f>
        <v>28.057964295258</v>
      </c>
      <c r="C236">
        <f>AVERAGE('R1'!J236,'R2'!J236,'R3'!J236)</f>
        <v>1.1766666666666665</v>
      </c>
      <c r="D236">
        <f>AVERAGE('R1'!K236,'R2'!K236,'R3'!K236)</f>
        <v>19.850993250000002</v>
      </c>
      <c r="E236">
        <f>AVERAGE('R1'!L236,'R2'!L236,'R3'!L236)</f>
        <v>1.7772153044872632</v>
      </c>
      <c r="F236">
        <f>AVERAGE('R1'!M236,'R2'!M236,'R3'!M236)</f>
        <v>-0.37804923075284352</v>
      </c>
      <c r="G236">
        <f>AVERAGE('R1'!N236,'R2'!N236,'R3'!N236)</f>
        <v>-0.49966080345575165</v>
      </c>
      <c r="H236">
        <f>AVERAGE('R1'!O236,'R2'!O236,'R3'!O236)</f>
        <v>-0.14929705156627418</v>
      </c>
      <c r="I236">
        <f t="shared" si="7"/>
        <v>3893.0003429166663</v>
      </c>
      <c r="K236">
        <f>_xlfn.STDEV.S('R1'!L236,'R2'!L236,'R3'!L236)</f>
        <v>9.8313493165857937E-3</v>
      </c>
      <c r="L236">
        <f>_xlfn.STDEV.S('R1'!M236,'R2'!M236,'R3'!M236)</f>
        <v>6.1418123771604565E-3</v>
      </c>
      <c r="M236">
        <f>_xlfn.STDEV.S('R1'!N236,'R2'!N236,'R3'!N236)</f>
        <v>4.852085424512799E-3</v>
      </c>
      <c r="N236">
        <f>_xlfn.STDEV.S('R1'!O236,'R2'!O236,'R3'!O236)</f>
        <v>3.0911201661334895E-3</v>
      </c>
    </row>
    <row r="237" spans="1:14" x14ac:dyDescent="0.25">
      <c r="A237">
        <f>-'R1'!H237</f>
        <v>4</v>
      </c>
      <c r="B237">
        <f>DEGREES(ATAN(-SIN(RADIANS(('R1'!I237)))/(COS(RADIANS(Sheet1!A237))*COS(RADIANS('R1'!I237)))))</f>
        <v>24.051965857834489</v>
      </c>
      <c r="C237">
        <f>AVERAGE('R1'!J237,'R2'!J237,'R3'!J237)</f>
        <v>1.1766666666666665</v>
      </c>
      <c r="D237">
        <f>AVERAGE('R1'!K237,'R2'!K237,'R3'!K237)</f>
        <v>19.906058666666667</v>
      </c>
      <c r="E237">
        <f>AVERAGE('R1'!L237,'R2'!L237,'R3'!L237)</f>
        <v>1.5553933801207913</v>
      </c>
      <c r="F237">
        <f>AVERAGE('R1'!M237,'R2'!M237,'R3'!M237)</f>
        <v>-0.34348581708073445</v>
      </c>
      <c r="G237">
        <f>AVERAGE('R1'!N237,'R2'!N237,'R3'!N237)</f>
        <v>-0.34330282214512414</v>
      </c>
      <c r="H237">
        <f>AVERAGE('R1'!O237,'R2'!O237,'R3'!O237)</f>
        <v>2.2460027888683651E-2</v>
      </c>
      <c r="I237">
        <f t="shared" si="7"/>
        <v>3903.7992829629625</v>
      </c>
      <c r="K237">
        <f>_xlfn.STDEV.S('R1'!L237,'R2'!L237,'R3'!L237)</f>
        <v>1.1366059506331815E-2</v>
      </c>
      <c r="L237">
        <f>_xlfn.STDEV.S('R1'!M237,'R2'!M237,'R3'!M237)</f>
        <v>1.1154297648737146E-2</v>
      </c>
      <c r="M237">
        <f>_xlfn.STDEV.S('R1'!N237,'R2'!N237,'R3'!N237)</f>
        <v>5.2128387991997481E-3</v>
      </c>
      <c r="N237">
        <f>_xlfn.STDEV.S('R1'!O237,'R2'!O237,'R3'!O237)</f>
        <v>1.3949755391222899E-3</v>
      </c>
    </row>
    <row r="238" spans="1:14" x14ac:dyDescent="0.25">
      <c r="A238">
        <f>-'R1'!H238</f>
        <v>4</v>
      </c>
      <c r="B238">
        <f>DEGREES(ATAN(-SIN(RADIANS(('R1'!I238)))/(COS(RADIANS(Sheet1!A238))*COS(RADIANS('R1'!I238)))))</f>
        <v>20.044953503068641</v>
      </c>
      <c r="C238">
        <f>AVERAGE('R1'!J238,'R2'!J238,'R3'!J238)</f>
        <v>1.1766666666666665</v>
      </c>
      <c r="D238">
        <f>AVERAGE('R1'!K238,'R2'!K238,'R3'!K238)</f>
        <v>20.306233083333336</v>
      </c>
      <c r="E238">
        <f>AVERAGE('R1'!L238,'R2'!L238,'R3'!L238)</f>
        <v>1.349506076877814</v>
      </c>
      <c r="F238">
        <f>AVERAGE('R1'!M238,'R2'!M238,'R3'!M238)</f>
        <v>-0.3212504968989694</v>
      </c>
      <c r="G238">
        <f>AVERAGE('R1'!N238,'R2'!N238,'R3'!N238)</f>
        <v>-0.22245759566292242</v>
      </c>
      <c r="H238">
        <f>AVERAGE('R1'!O238,'R2'!O238,'R3'!O238)</f>
        <v>0.17647694204823069</v>
      </c>
      <c r="I238">
        <f t="shared" si="7"/>
        <v>3982.2779324537037</v>
      </c>
      <c r="K238">
        <f>_xlfn.STDEV.S('R1'!L238,'R2'!L238,'R3'!L238)</f>
        <v>1.4304647048012761E-2</v>
      </c>
      <c r="L238">
        <f>_xlfn.STDEV.S('R1'!M238,'R2'!M238,'R3'!M238)</f>
        <v>1.4927708314003665E-2</v>
      </c>
      <c r="M238">
        <f>_xlfn.STDEV.S('R1'!N238,'R2'!N238,'R3'!N238)</f>
        <v>5.2481673031869449E-3</v>
      </c>
      <c r="N238">
        <f>_xlfn.STDEV.S('R1'!O238,'R2'!O238,'R3'!O238)</f>
        <v>5.7146568033888713E-3</v>
      </c>
    </row>
    <row r="239" spans="1:14" x14ac:dyDescent="0.25">
      <c r="A239">
        <f>-'R1'!H239</f>
        <v>4</v>
      </c>
      <c r="B239">
        <f>DEGREES(ATAN(-SIN(RADIANS(('R1'!I239)))/(COS(RADIANS(Sheet1!A239))*COS(RADIANS('R1'!I239)))))</f>
        <v>16.037063740993869</v>
      </c>
      <c r="C239">
        <f>AVERAGE('R1'!J239,'R2'!J239,'R3'!J239)</f>
        <v>1.1766666666666665</v>
      </c>
      <c r="D239">
        <f>AVERAGE('R1'!K239,'R2'!K239,'R3'!K239)</f>
        <v>20.595135666666668</v>
      </c>
      <c r="E239">
        <f>AVERAGE('R1'!L239,'R2'!L239,'R3'!L239)</f>
        <v>1.1413626214650006</v>
      </c>
      <c r="F239">
        <f>AVERAGE('R1'!M239,'R2'!M239,'R3'!M239)</f>
        <v>-0.31778591735941103</v>
      </c>
      <c r="G239">
        <f>AVERAGE('R1'!N239,'R2'!N239,'R3'!N239)</f>
        <v>-0.13283020532200115</v>
      </c>
      <c r="H239">
        <f>AVERAGE('R1'!O239,'R2'!O239,'R3'!O239)</f>
        <v>0.33770060709929606</v>
      </c>
      <c r="I239">
        <f t="shared" si="7"/>
        <v>4038.9349390740731</v>
      </c>
      <c r="K239">
        <f>_xlfn.STDEV.S('R1'!L239,'R2'!L239,'R3'!L239)</f>
        <v>1.9174628675764423E-2</v>
      </c>
      <c r="L239">
        <f>_xlfn.STDEV.S('R1'!M239,'R2'!M239,'R3'!M239)</f>
        <v>1.7884430572658559E-2</v>
      </c>
      <c r="M239">
        <f>_xlfn.STDEV.S('R1'!N239,'R2'!N239,'R3'!N239)</f>
        <v>5.1627013124050207E-3</v>
      </c>
      <c r="N239">
        <f>_xlfn.STDEV.S('R1'!O239,'R2'!O239,'R3'!O239)</f>
        <v>1.0148960925693916E-2</v>
      </c>
    </row>
    <row r="240" spans="1:14" x14ac:dyDescent="0.25">
      <c r="A240">
        <f>-'R1'!H240</f>
        <v>4</v>
      </c>
      <c r="B240">
        <f>DEGREES(ATAN(-SIN(RADIANS(('R1'!I240)))/(COS(RADIANS(Sheet1!A240))*COS(RADIANS('R1'!I240)))))</f>
        <v>12.028450348745874</v>
      </c>
      <c r="C240">
        <f>AVERAGE('R1'!J240,'R2'!J240,'R3'!J240)</f>
        <v>1.1766666666666665</v>
      </c>
      <c r="D240">
        <f>AVERAGE('R1'!K240,'R2'!K240,'R3'!K240)</f>
        <v>20.402248499999999</v>
      </c>
      <c r="E240">
        <f>AVERAGE('R1'!L240,'R2'!L240,'R3'!L240)</f>
        <v>0.90195935351999257</v>
      </c>
      <c r="F240">
        <f>AVERAGE('R1'!M240,'R2'!M240,'R3'!M240)</f>
        <v>-0.33360305498234366</v>
      </c>
      <c r="G240">
        <f>AVERAGE('R1'!N240,'R2'!N240,'R3'!N240)</f>
        <v>-7.0460188906896537E-2</v>
      </c>
      <c r="H240">
        <f>AVERAGE('R1'!O240,'R2'!O240,'R3'!O240)</f>
        <v>0.53290744122555589</v>
      </c>
      <c r="I240">
        <f t="shared" si="7"/>
        <v>4001.1076224999997</v>
      </c>
      <c r="K240">
        <f>_xlfn.STDEV.S('R1'!L240,'R2'!L240,'R3'!L240)</f>
        <v>2.0695401852350592E-2</v>
      </c>
      <c r="L240">
        <f>_xlfn.STDEV.S('R1'!M240,'R2'!M240,'R3'!M240)</f>
        <v>1.8264848886720524E-2</v>
      </c>
      <c r="M240">
        <f>_xlfn.STDEV.S('R1'!N240,'R2'!N240,'R3'!N240)</f>
        <v>4.7041595575879752E-3</v>
      </c>
      <c r="N240">
        <f>_xlfn.STDEV.S('R1'!O240,'R2'!O240,'R3'!O240)</f>
        <v>2.6845613754484959E-3</v>
      </c>
    </row>
    <row r="241" spans="1:14" x14ac:dyDescent="0.25">
      <c r="A241">
        <f>-'R1'!H241</f>
        <v>4</v>
      </c>
      <c r="B241">
        <f>DEGREES(ATAN(-SIN(RADIANS(('R1'!I241)))/(COS(RADIANS(Sheet1!A241))*COS(RADIANS('R1'!I241)))))</f>
        <v>8.0192813611150822</v>
      </c>
      <c r="C241">
        <f>AVERAGE('R1'!J241,'R2'!J241,'R3'!J241)</f>
        <v>1.1766666666666665</v>
      </c>
      <c r="D241">
        <f>AVERAGE('R1'!K241,'R2'!K241,'R3'!K241)</f>
        <v>20.313886083333333</v>
      </c>
      <c r="E241">
        <f>AVERAGE('R1'!L241,'R2'!L241,'R3'!L241)</f>
        <v>0.63667535830107058</v>
      </c>
      <c r="F241">
        <f>AVERAGE('R1'!M241,'R2'!M241,'R3'!M241)</f>
        <v>-0.35385446900537132</v>
      </c>
      <c r="G241">
        <f>AVERAGE('R1'!N241,'R2'!N241,'R3'!N241)</f>
        <v>-3.0501444135478423E-2</v>
      </c>
      <c r="H241">
        <f>AVERAGE('R1'!O241,'R2'!O241,'R3'!O241)</f>
        <v>0.73164228691877176</v>
      </c>
      <c r="I241">
        <f t="shared" si="7"/>
        <v>3983.7787707870361</v>
      </c>
      <c r="K241">
        <f>_xlfn.STDEV.S('R1'!L241,'R2'!L241,'R3'!L241)</f>
        <v>1.496663620712284E-2</v>
      </c>
      <c r="L241">
        <f>_xlfn.STDEV.S('R1'!M241,'R2'!M241,'R3'!M241)</f>
        <v>1.4305611558070907E-2</v>
      </c>
      <c r="M241">
        <f>_xlfn.STDEV.S('R1'!N241,'R2'!N241,'R3'!N241)</f>
        <v>2.3560744755897283E-3</v>
      </c>
      <c r="N241">
        <f>_xlfn.STDEV.S('R1'!O241,'R2'!O241,'R3'!O241)</f>
        <v>1.7840154501079491E-3</v>
      </c>
    </row>
    <row r="242" spans="1:14" x14ac:dyDescent="0.25">
      <c r="A242">
        <f>-'R1'!H242</f>
        <v>4</v>
      </c>
      <c r="B242">
        <f>DEGREES(ATAN(-SIN(RADIANS(('R1'!I242)))/(COS(RADIANS(Sheet1!A242))*COS(RADIANS('R1'!I242)))))</f>
        <v>4.0097357700975991</v>
      </c>
      <c r="C242">
        <f>AVERAGE('R1'!J242,'R2'!J242,'R3'!J242)</f>
        <v>1.1766666666666665</v>
      </c>
      <c r="D242">
        <f>AVERAGE('R1'!K242,'R2'!K242,'R3'!K242)</f>
        <v>20.977713833333329</v>
      </c>
      <c r="E242">
        <f>AVERAGE('R1'!L242,'R2'!L242,'R3'!L242)</f>
        <v>0.34389652057705655</v>
      </c>
      <c r="F242">
        <f>AVERAGE('R1'!M242,'R2'!M242,'R3'!M242)</f>
        <v>-0.379054704228172</v>
      </c>
      <c r="G242">
        <f>AVERAGE('R1'!N242,'R2'!N242,'R3'!N242)</f>
        <v>-9.4449962838073689E-3</v>
      </c>
      <c r="H242">
        <f>AVERAGE('R1'!O242,'R2'!O242,'R3'!O242)</f>
        <v>0.91466188374415613</v>
      </c>
      <c r="I242">
        <f t="shared" si="7"/>
        <v>4113.962768425924</v>
      </c>
      <c r="K242">
        <f>_xlfn.STDEV.S('R1'!L242,'R2'!L242,'R3'!L242)</f>
        <v>3.4200668229063366E-3</v>
      </c>
      <c r="L242">
        <f>_xlfn.STDEV.S('R1'!M242,'R2'!M242,'R3'!M242)</f>
        <v>1.0289412098928353E-2</v>
      </c>
      <c r="M242">
        <f>_xlfn.STDEV.S('R1'!N242,'R2'!N242,'R3'!N242)</f>
        <v>2.4600590422792215E-3</v>
      </c>
      <c r="N242">
        <f>_xlfn.STDEV.S('R1'!O242,'R2'!O242,'R3'!O242)</f>
        <v>5.3777608905393268E-3</v>
      </c>
    </row>
    <row r="243" spans="1:14" x14ac:dyDescent="0.25">
      <c r="A243">
        <f>-'R1'!H243</f>
        <v>4</v>
      </c>
      <c r="B243">
        <f>DEGREES(ATAN(-SIN(RADIANS(('R1'!I243)))/(COS(RADIANS(Sheet1!A243))*COS(RADIANS('R1'!I243)))))</f>
        <v>0</v>
      </c>
      <c r="C243">
        <f>AVERAGE('R1'!J243,'R2'!J243,'R3'!J243)</f>
        <v>1.1766666666666665</v>
      </c>
      <c r="D243">
        <f>AVERAGE('R1'!K243,'R2'!K243,'R3'!K243)</f>
        <v>21.680872916666669</v>
      </c>
      <c r="E243">
        <f>AVERAGE('R1'!L243,'R2'!L243,'R3'!L243)</f>
        <v>-1.6859840496425714E-2</v>
      </c>
      <c r="F243">
        <f>AVERAGE('R1'!M243,'R2'!M243,'R3'!M243)</f>
        <v>-0.40063047098839583</v>
      </c>
      <c r="G243">
        <f>AVERAGE('R1'!N243,'R2'!N243,'R3'!N243)</f>
        <v>-2.7669127338704118E-3</v>
      </c>
      <c r="H243">
        <f>AVERAGE('R1'!O243,'R2'!O243,'R3'!O243)</f>
        <v>1.1103696917956323</v>
      </c>
      <c r="I243">
        <f t="shared" si="7"/>
        <v>4251.8600775462955</v>
      </c>
      <c r="K243">
        <f>_xlfn.STDEV.S('R1'!L243,'R2'!L243,'R3'!L243)</f>
        <v>5.7743277329744278E-3</v>
      </c>
      <c r="L243">
        <f>_xlfn.STDEV.S('R1'!M243,'R2'!M243,'R3'!M243)</f>
        <v>2.3414771382476293E-3</v>
      </c>
      <c r="M243">
        <f>_xlfn.STDEV.S('R1'!N243,'R2'!N243,'R3'!N243)</f>
        <v>7.4842130017011704E-3</v>
      </c>
      <c r="N243">
        <f>_xlfn.STDEV.S('R1'!O243,'R2'!O243,'R3'!O243)</f>
        <v>2.8900860883439273E-3</v>
      </c>
    </row>
    <row r="244" spans="1:14" x14ac:dyDescent="0.25">
      <c r="A244">
        <f>-'R1'!H244</f>
        <v>4</v>
      </c>
      <c r="B244">
        <f>DEGREES(ATAN(-SIN(RADIANS(('R1'!I244)))/(COS(RADIANS(Sheet1!A244))*COS(RADIANS('R1'!I244)))))</f>
        <v>-4.0097357700975991</v>
      </c>
      <c r="C244">
        <f>AVERAGE('R1'!J244,'R2'!J244,'R3'!J244)</f>
        <v>1.1766666666666665</v>
      </c>
      <c r="D244">
        <f>AVERAGE('R1'!K244,'R2'!K244,'R3'!K244)</f>
        <v>21.509912249999999</v>
      </c>
      <c r="E244">
        <f>AVERAGE('R1'!L244,'R2'!L244,'R3'!L244)</f>
        <v>-0.36974969921098805</v>
      </c>
      <c r="F244">
        <f>AVERAGE('R1'!M244,'R2'!M244,'R3'!M244)</f>
        <v>-0.36382277612350472</v>
      </c>
      <c r="G244">
        <f>AVERAGE('R1'!N244,'R2'!N244,'R3'!N244)</f>
        <v>-1.0762826144173723E-2</v>
      </c>
      <c r="H244">
        <f>AVERAGE('R1'!O244,'R2'!O244,'R3'!O244)</f>
        <v>0.92004376243284858</v>
      </c>
      <c r="I244">
        <f t="shared" si="7"/>
        <v>4218.3327912499999</v>
      </c>
      <c r="K244">
        <f>_xlfn.STDEV.S('R1'!L244,'R2'!L244,'R3'!L244)</f>
        <v>4.4646717040842266E-3</v>
      </c>
      <c r="L244">
        <f>_xlfn.STDEV.S('R1'!M244,'R2'!M244,'R3'!M244)</f>
        <v>6.177277739325404E-3</v>
      </c>
      <c r="M244">
        <f>_xlfn.STDEV.S('R1'!N244,'R2'!N244,'R3'!N244)</f>
        <v>7.4064638415885042E-4</v>
      </c>
      <c r="N244">
        <f>_xlfn.STDEV.S('R1'!O244,'R2'!O244,'R3'!O244)</f>
        <v>1.4261355209284092E-3</v>
      </c>
    </row>
    <row r="245" spans="1:14" x14ac:dyDescent="0.25">
      <c r="A245">
        <f>-'R1'!H245</f>
        <v>4</v>
      </c>
      <c r="B245">
        <f>DEGREES(ATAN(-SIN(RADIANS(('R1'!I245)))/(COS(RADIANS(Sheet1!A245))*COS(RADIANS('R1'!I245)))))</f>
        <v>-8.0192813611150822</v>
      </c>
      <c r="C245">
        <f>AVERAGE('R1'!J245,'R2'!J245,'R3'!J245)</f>
        <v>1.1766666666666665</v>
      </c>
      <c r="D245">
        <f>AVERAGE('R1'!K245,'R2'!K245,'R3'!K245)</f>
        <v>21.197105166666667</v>
      </c>
      <c r="E245">
        <f>AVERAGE('R1'!L245,'R2'!L245,'R3'!L245)</f>
        <v>-0.66402702544365966</v>
      </c>
      <c r="F245">
        <f>AVERAGE('R1'!M245,'R2'!M245,'R3'!M245)</f>
        <v>-0.30774731673392725</v>
      </c>
      <c r="G245">
        <f>AVERAGE('R1'!N245,'R2'!N245,'R3'!N245)</f>
        <v>-2.5742131366032161E-2</v>
      </c>
      <c r="H245">
        <f>AVERAGE('R1'!O245,'R2'!O245,'R3'!O245)</f>
        <v>0.75269847818234403</v>
      </c>
      <c r="I245">
        <f t="shared" si="7"/>
        <v>4156.987846574073</v>
      </c>
      <c r="K245">
        <f>_xlfn.STDEV.S('R1'!L245,'R2'!L245,'R3'!L245)</f>
        <v>3.5117041727467774E-3</v>
      </c>
      <c r="L245">
        <f>_xlfn.STDEV.S('R1'!M245,'R2'!M245,'R3'!M245)</f>
        <v>7.0647863810972735E-3</v>
      </c>
      <c r="M245">
        <f>_xlfn.STDEV.S('R1'!N245,'R2'!N245,'R3'!N245)</f>
        <v>5.5040495387022204E-3</v>
      </c>
      <c r="N245">
        <f>_xlfn.STDEV.S('R1'!O245,'R2'!O245,'R3'!O245)</f>
        <v>5.4536787120082865E-3</v>
      </c>
    </row>
    <row r="246" spans="1:14" x14ac:dyDescent="0.25">
      <c r="A246">
        <f>-'R1'!H246</f>
        <v>4</v>
      </c>
      <c r="B246">
        <f>DEGREES(ATAN(-SIN(RADIANS(('R1'!I246)))/(COS(RADIANS(Sheet1!A246))*COS(RADIANS('R1'!I246)))))</f>
        <v>-12.028450348745874</v>
      </c>
      <c r="C246">
        <f>AVERAGE('R1'!J246,'R2'!J246,'R3'!J246)</f>
        <v>1.1766666666666665</v>
      </c>
      <c r="D246">
        <f>AVERAGE('R1'!K246,'R2'!K246,'R3'!K246)</f>
        <v>20.993269999999999</v>
      </c>
      <c r="E246">
        <f>AVERAGE('R1'!L246,'R2'!L246,'R3'!L246)</f>
        <v>-0.92504842636086171</v>
      </c>
      <c r="F246">
        <f>AVERAGE('R1'!M246,'R2'!M246,'R3'!M246)</f>
        <v>-0.27841880050612944</v>
      </c>
      <c r="G246">
        <f>AVERAGE('R1'!N246,'R2'!N246,'R3'!N246)</f>
        <v>-7.0363073145062058E-2</v>
      </c>
      <c r="H246">
        <f>AVERAGE('R1'!O246,'R2'!O246,'R3'!O246)</f>
        <v>0.58016478349857648</v>
      </c>
      <c r="I246">
        <f t="shared" si="7"/>
        <v>4117.0135055555547</v>
      </c>
      <c r="K246">
        <f>_xlfn.STDEV.S('R1'!L246,'R2'!L246,'R3'!L246)</f>
        <v>8.2741801920269871E-3</v>
      </c>
      <c r="L246">
        <f>_xlfn.STDEV.S('R1'!M246,'R2'!M246,'R3'!M246)</f>
        <v>3.07450998969313E-3</v>
      </c>
      <c r="M246">
        <f>_xlfn.STDEV.S('R1'!N246,'R2'!N246,'R3'!N246)</f>
        <v>5.5892681403715743E-3</v>
      </c>
      <c r="N246">
        <f>_xlfn.STDEV.S('R1'!O246,'R2'!O246,'R3'!O246)</f>
        <v>6.734199492766664E-3</v>
      </c>
    </row>
    <row r="247" spans="1:14" x14ac:dyDescent="0.25">
      <c r="A247">
        <f>-'R1'!H247</f>
        <v>4</v>
      </c>
      <c r="B247">
        <f>DEGREES(ATAN(-SIN(RADIANS(('R1'!I247)))/(COS(RADIANS(Sheet1!A247))*COS(RADIANS('R1'!I247)))))</f>
        <v>-16.037063740993869</v>
      </c>
      <c r="C247">
        <f>AVERAGE('R1'!J247,'R2'!J247,'R3'!J247)</f>
        <v>1.1766666666666665</v>
      </c>
      <c r="D247">
        <f>AVERAGE('R1'!K247,'R2'!K247,'R3'!K247)</f>
        <v>20.763169416666667</v>
      </c>
      <c r="E247">
        <f>AVERAGE('R1'!L247,'R2'!L247,'R3'!L247)</f>
        <v>-1.1664046950192795</v>
      </c>
      <c r="F247">
        <f>AVERAGE('R1'!M247,'R2'!M247,'R3'!M247)</f>
        <v>-0.27255836139345563</v>
      </c>
      <c r="G247">
        <f>AVERAGE('R1'!N247,'R2'!N247,'R3'!N247)</f>
        <v>-0.15009837021875072</v>
      </c>
      <c r="H247">
        <f>AVERAGE('R1'!O247,'R2'!O247,'R3'!O247)</f>
        <v>0.40803211957967805</v>
      </c>
      <c r="I247">
        <f t="shared" si="7"/>
        <v>4071.8882244907404</v>
      </c>
      <c r="K247">
        <f>_xlfn.STDEV.S('R1'!L247,'R2'!L247,'R3'!L247)</f>
        <v>8.8579837926317621E-3</v>
      </c>
      <c r="L247">
        <f>_xlfn.STDEV.S('R1'!M247,'R2'!M247,'R3'!M247)</f>
        <v>9.0213873103096587E-3</v>
      </c>
      <c r="M247">
        <f>_xlfn.STDEV.S('R1'!N247,'R2'!N247,'R3'!N247)</f>
        <v>6.4969369736042962E-4</v>
      </c>
      <c r="N247">
        <f>_xlfn.STDEV.S('R1'!O247,'R2'!O247,'R3'!O247)</f>
        <v>4.8674937948079222E-3</v>
      </c>
    </row>
    <row r="248" spans="1:14" x14ac:dyDescent="0.25">
      <c r="A248">
        <f>-'R1'!H248</f>
        <v>4</v>
      </c>
      <c r="B248">
        <f>DEGREES(ATAN(-SIN(RADIANS(('R1'!I248)))/(COS(RADIANS(Sheet1!A248))*COS(RADIANS('R1'!I248)))))</f>
        <v>-20.044953503068641</v>
      </c>
      <c r="C248">
        <f>AVERAGE('R1'!J248,'R2'!J248,'R3'!J248)</f>
        <v>1.1766666666666665</v>
      </c>
      <c r="D248">
        <f>AVERAGE('R1'!K248,'R2'!K248,'R3'!K248)</f>
        <v>20.582569333333335</v>
      </c>
      <c r="E248">
        <f>AVERAGE('R1'!L248,'R2'!L248,'R3'!L248)</f>
        <v>-1.4176150072792844</v>
      </c>
      <c r="F248">
        <f>AVERAGE('R1'!M248,'R2'!M248,'R3'!M248)</f>
        <v>-0.27747678678928722</v>
      </c>
      <c r="G248">
        <f>AVERAGE('R1'!N248,'R2'!N248,'R3'!N248)</f>
        <v>-0.27466412958086922</v>
      </c>
      <c r="H248">
        <f>AVERAGE('R1'!O248,'R2'!O248,'R3'!O248)</f>
        <v>0.23219041906798879</v>
      </c>
      <c r="I248">
        <f t="shared" si="7"/>
        <v>4036.4705414814816</v>
      </c>
      <c r="K248">
        <f>_xlfn.STDEV.S('R1'!L248,'R2'!L248,'R3'!L248)</f>
        <v>5.9945959501059784E-3</v>
      </c>
      <c r="L248">
        <f>_xlfn.STDEV.S('R1'!M248,'R2'!M248,'R3'!M248)</f>
        <v>5.7677626307273203E-3</v>
      </c>
      <c r="M248">
        <f>_xlfn.STDEV.S('R1'!N248,'R2'!N248,'R3'!N248)</f>
        <v>4.4365914930353202E-3</v>
      </c>
      <c r="N248">
        <f>_xlfn.STDEV.S('R1'!O248,'R2'!O248,'R3'!O248)</f>
        <v>5.4910083804396732E-3</v>
      </c>
    </row>
    <row r="249" spans="1:14" x14ac:dyDescent="0.25">
      <c r="A249">
        <f>-'R1'!H249</f>
        <v>4</v>
      </c>
      <c r="B249">
        <f>DEGREES(ATAN(-SIN(RADIANS(('R1'!I249)))/(COS(RADIANS(Sheet1!A249))*COS(RADIANS('R1'!I249)))))</f>
        <v>-24.051965857834489</v>
      </c>
      <c r="C249">
        <f>AVERAGE('R1'!J249,'R2'!J249,'R3'!J249)</f>
        <v>1.1766666666666665</v>
      </c>
      <c r="D249">
        <f>AVERAGE('R1'!K249,'R2'!K249,'R3'!K249)</f>
        <v>20.464973416666666</v>
      </c>
      <c r="E249">
        <f>AVERAGE('R1'!L249,'R2'!L249,'R3'!L249)</f>
        <v>-1.6818786058695336</v>
      </c>
      <c r="F249">
        <f>AVERAGE('R1'!M249,'R2'!M249,'R3'!M249)</f>
        <v>-0.2958135555072931</v>
      </c>
      <c r="G249">
        <f>AVERAGE('R1'!N249,'R2'!N249,'R3'!N249)</f>
        <v>-0.44136387570929952</v>
      </c>
      <c r="H249">
        <f>AVERAGE('R1'!O249,'R2'!O249,'R3'!O249)</f>
        <v>6.0575885046917625E-2</v>
      </c>
      <c r="I249">
        <f t="shared" si="7"/>
        <v>4013.4086756018514</v>
      </c>
      <c r="K249">
        <f>_xlfn.STDEV.S('R1'!L249,'R2'!L249,'R3'!L249)</f>
        <v>5.2906404838334838E-3</v>
      </c>
      <c r="L249">
        <f>_xlfn.STDEV.S('R1'!M249,'R2'!M249,'R3'!M249)</f>
        <v>6.7169835084110218E-3</v>
      </c>
      <c r="M249">
        <f>_xlfn.STDEV.S('R1'!N249,'R2'!N249,'R3'!N249)</f>
        <v>4.3908566600937568E-3</v>
      </c>
      <c r="N249">
        <f>_xlfn.STDEV.S('R1'!O249,'R2'!O249,'R3'!O249)</f>
        <v>3.7506667941363432E-3</v>
      </c>
    </row>
    <row r="250" spans="1:14" x14ac:dyDescent="0.25">
      <c r="A250">
        <f>-'R1'!H250</f>
        <v>4</v>
      </c>
      <c r="B250">
        <f>DEGREES(ATAN(-SIN(RADIANS(('R1'!I250)))/(COS(RADIANS(Sheet1!A250))*COS(RADIANS('R1'!I250)))))</f>
        <v>-28.057964295258</v>
      </c>
      <c r="C250">
        <f>AVERAGE('R1'!J250,'R2'!J250,'R3'!J250)</f>
        <v>1.1766666666666665</v>
      </c>
      <c r="D250">
        <f>AVERAGE('R1'!K250,'R2'!K250,'R3'!K250)</f>
        <v>20.291140583333334</v>
      </c>
      <c r="E250">
        <f>AVERAGE('R1'!L250,'R2'!L250,'R3'!L250)</f>
        <v>-2.0080839611990773</v>
      </c>
      <c r="F250">
        <f>AVERAGE('R1'!M250,'R2'!M250,'R3'!M250)</f>
        <v>-0.32633768369776117</v>
      </c>
      <c r="G250">
        <f>AVERAGE('R1'!N250,'R2'!N250,'R3'!N250)</f>
        <v>-0.68006787688382075</v>
      </c>
      <c r="H250">
        <f>AVERAGE('R1'!O250,'R2'!O250,'R3'!O250)</f>
        <v>-0.12811990432027195</v>
      </c>
      <c r="I250">
        <f t="shared" si="7"/>
        <v>3979.3181255092591</v>
      </c>
      <c r="K250">
        <f>_xlfn.STDEV.S('R1'!L250,'R2'!L250,'R3'!L250)</f>
        <v>8.6978279156516985E-3</v>
      </c>
      <c r="L250">
        <f>_xlfn.STDEV.S('R1'!M250,'R2'!M250,'R3'!M250)</f>
        <v>4.872874513357211E-3</v>
      </c>
      <c r="M250">
        <f>_xlfn.STDEV.S('R1'!N250,'R2'!N250,'R3'!N250)</f>
        <v>5.8541925565207525E-3</v>
      </c>
      <c r="N250">
        <f>_xlfn.STDEV.S('R1'!O250,'R2'!O250,'R3'!O250)</f>
        <v>5.4260340226732623E-3</v>
      </c>
    </row>
    <row r="251" spans="1:14" x14ac:dyDescent="0.25">
      <c r="A251">
        <f>-'R1'!H251</f>
        <v>4</v>
      </c>
      <c r="B251">
        <f>DEGREES(ATAN(-SIN(RADIANS(('R1'!I251)))/(COS(RADIANS(Sheet1!A251))*COS(RADIANS('R1'!I251)))))</f>
        <v>-32.062832231023428</v>
      </c>
      <c r="C251">
        <f>AVERAGE('R1'!J251,'R2'!J251,'R3'!J251)</f>
        <v>1.1766666666666665</v>
      </c>
      <c r="D251">
        <f>AVERAGE('R1'!K251,'R2'!K251,'R3'!K251)</f>
        <v>20.458646416666667</v>
      </c>
      <c r="E251">
        <f>AVERAGE('R1'!L251,'R2'!L251,'R3'!L251)</f>
        <v>-2.4307226114537439</v>
      </c>
      <c r="F251">
        <f>AVERAGE('R1'!M251,'R2'!M251,'R3'!M251)</f>
        <v>-0.36533222555420575</v>
      </c>
      <c r="G251">
        <f>AVERAGE('R1'!N251,'R2'!N251,'R3'!N251)</f>
        <v>-1.0208976812635837</v>
      </c>
      <c r="H251">
        <f>AVERAGE('R1'!O251,'R2'!O251,'R3'!O251)</f>
        <v>-0.35869820456823032</v>
      </c>
      <c r="I251">
        <f t="shared" si="7"/>
        <v>4012.1678806018513</v>
      </c>
      <c r="K251">
        <f>_xlfn.STDEV.S('R1'!L251,'R2'!L251,'R3'!L251)</f>
        <v>8.8211058510563271E-3</v>
      </c>
      <c r="L251">
        <f>_xlfn.STDEV.S('R1'!M251,'R2'!M251,'R3'!M251)</f>
        <v>4.9474056256511491E-3</v>
      </c>
      <c r="M251">
        <f>_xlfn.STDEV.S('R1'!N251,'R2'!N251,'R3'!N251)</f>
        <v>5.2441047347656011E-3</v>
      </c>
      <c r="N251">
        <f>_xlfn.STDEV.S('R1'!O251,'R2'!O251,'R3'!O251)</f>
        <v>2.3020288039666157E-3</v>
      </c>
    </row>
    <row r="252" spans="1:14" x14ac:dyDescent="0.25">
      <c r="A252">
        <f>-'R1'!H252</f>
        <v>4</v>
      </c>
      <c r="B252">
        <f>DEGREES(ATAN(-SIN(RADIANS(('R1'!I252)))/(COS(RADIANS(Sheet1!A252))*COS(RADIANS('R1'!I252)))))</f>
        <v>-36.066475262469574</v>
      </c>
      <c r="C252">
        <f>AVERAGE('R1'!J252,'R2'!J252,'R3'!J252)</f>
        <v>1.1733333333333336</v>
      </c>
      <c r="D252">
        <f>AVERAGE('R1'!K252,'R2'!K252,'R3'!K252)</f>
        <v>20.838498166666668</v>
      </c>
      <c r="E252">
        <f>AVERAGE('R1'!L252,'R2'!L252,'R3'!L252)</f>
        <v>-3.0441214170997295</v>
      </c>
      <c r="F252">
        <f>AVERAGE('R1'!M252,'R2'!M252,'R3'!M252)</f>
        <v>-0.4144769028343383</v>
      </c>
      <c r="G252">
        <f>AVERAGE('R1'!N252,'R2'!N252,'R3'!N252)</f>
        <v>-1.5336534981555907</v>
      </c>
      <c r="H252">
        <f>AVERAGE('R1'!O252,'R2'!O252,'R3'!O252)</f>
        <v>-0.66259773712535863</v>
      </c>
      <c r="I252">
        <f t="shared" si="7"/>
        <v>4075.0840859259274</v>
      </c>
      <c r="K252">
        <f>_xlfn.STDEV.S('R1'!L252,'R2'!L252,'R3'!L252)</f>
        <v>2.1040811477776693E-2</v>
      </c>
      <c r="L252">
        <f>_xlfn.STDEV.S('R1'!M252,'R2'!M252,'R3'!M252)</f>
        <v>9.3813613773279948E-3</v>
      </c>
      <c r="M252">
        <f>_xlfn.STDEV.S('R1'!N252,'R2'!N252,'R3'!N252)</f>
        <v>1.8553736765684316E-2</v>
      </c>
      <c r="N252">
        <f>_xlfn.STDEV.S('R1'!O252,'R2'!O252,'R3'!O252)</f>
        <v>9.0508327418754361E-3</v>
      </c>
    </row>
    <row r="253" spans="1:14" x14ac:dyDescent="0.25">
      <c r="A253">
        <f>-'R1'!H253</f>
        <v>4</v>
      </c>
      <c r="B253">
        <f>DEGREES(ATAN(-SIN(RADIANS(('R1'!I253)))/(COS(RADIANS(Sheet1!A253))*COS(RADIANS('R1'!I253)))))</f>
        <v>-40.068822978998547</v>
      </c>
      <c r="C253">
        <f>AVERAGE('R1'!J253,'R2'!J253,'R3'!J253)</f>
        <v>1.1733333333333336</v>
      </c>
      <c r="D253">
        <f>AVERAGE('R1'!K253,'R2'!K253,'R3'!K253)</f>
        <v>20.881849833333334</v>
      </c>
      <c r="E253">
        <f>AVERAGE('R1'!L253,'R2'!L253,'R3'!L253)</f>
        <v>-3.95044157340668</v>
      </c>
      <c r="F253">
        <f>AVERAGE('R1'!M253,'R2'!M253,'R3'!M253)</f>
        <v>-0.49966855430969953</v>
      </c>
      <c r="G253">
        <f>AVERAGE('R1'!N253,'R2'!N253,'R3'!N253)</f>
        <v>-2.3182199716695688</v>
      </c>
      <c r="H253">
        <f>AVERAGE('R1'!O253,'R2'!O253,'R3'!O253)</f>
        <v>-1.0859902289349634</v>
      </c>
      <c r="I253">
        <f t="shared" si="7"/>
        <v>4083.5617451851858</v>
      </c>
      <c r="K253">
        <f>_xlfn.STDEV.S('R1'!L253,'R2'!L253,'R3'!L253)</f>
        <v>5.2692163232072875E-3</v>
      </c>
      <c r="L253">
        <f>_xlfn.STDEV.S('R1'!M253,'R2'!M253,'R3'!M253)</f>
        <v>1.7805634297572728E-2</v>
      </c>
      <c r="M253">
        <f>_xlfn.STDEV.S('R1'!N253,'R2'!N253,'R3'!N253)</f>
        <v>5.3176197322946104E-3</v>
      </c>
      <c r="N253">
        <f>_xlfn.STDEV.S('R1'!O253,'R2'!O253,'R3'!O253)</f>
        <v>6.3455944149585376E-3</v>
      </c>
    </row>
    <row r="254" spans="1:14" x14ac:dyDescent="0.25">
      <c r="A254">
        <f>-'R1'!H254</f>
        <v>4</v>
      </c>
      <c r="B254">
        <f>DEGREES(ATAN(-SIN(RADIANS(('R1'!I254)))/(COS(RADIANS(Sheet1!A254))*COS(RADIANS('R1'!I254)))))</f>
        <v>-44.069830293849904</v>
      </c>
      <c r="C254">
        <f>AVERAGE('R1'!J254,'R2'!J254,'R3'!J254)</f>
        <v>1.1758333333333333</v>
      </c>
      <c r="D254">
        <f>AVERAGE('R1'!K254,'R2'!K254,'R3'!K254)</f>
        <v>20.970179333333334</v>
      </c>
      <c r="E254">
        <f>AVERAGE('R1'!L254,'R2'!L254,'R3'!L254)</f>
        <v>-5.6147815526154643</v>
      </c>
      <c r="F254">
        <f>AVERAGE('R1'!M254,'R2'!M254,'R3'!M254)</f>
        <v>-0.64273924734230858</v>
      </c>
      <c r="G254">
        <f>AVERAGE('R1'!N254,'R2'!N254,'R3'!N254)</f>
        <v>-3.7999277204655786</v>
      </c>
      <c r="H254">
        <f>AVERAGE('R1'!O254,'R2'!O254,'R3'!O254)</f>
        <v>-1.8275385238166981</v>
      </c>
      <c r="I254">
        <f t="shared" si="7"/>
        <v>4109.5726443518524</v>
      </c>
      <c r="K254">
        <f>_xlfn.STDEV.S('R1'!L254,'R2'!L254,'R3'!L254)</f>
        <v>2.3624865645002706E-2</v>
      </c>
      <c r="L254">
        <f>_xlfn.STDEV.S('R1'!M254,'R2'!M254,'R3'!M254)</f>
        <v>3.2718980788763438E-2</v>
      </c>
      <c r="M254">
        <f>_xlfn.STDEV.S('R1'!N254,'R2'!N254,'R3'!N254)</f>
        <v>1.7914378134315023E-2</v>
      </c>
      <c r="N254">
        <f>_xlfn.STDEV.S('R1'!O254,'R2'!O254,'R3'!O254)</f>
        <v>5.1137830323981746E-3</v>
      </c>
    </row>
    <row r="255" spans="1:14" x14ac:dyDescent="0.25">
      <c r="A255">
        <f>-'R1'!H255</f>
        <v>0</v>
      </c>
      <c r="B255">
        <f>DEGREES(ATAN(-SIN(RADIANS(('R1'!I255)))/(COS(RADIANS(Sheet1!A255))*COS(RADIANS('R1'!I255)))))</f>
        <v>44</v>
      </c>
      <c r="C255">
        <f>AVERAGE('R1'!J255,'R2'!J255,'R3'!J255)</f>
        <v>1.1733333333333331</v>
      </c>
      <c r="D255">
        <f>AVERAGE('R1'!K255,'R2'!K255,'R3'!K255)</f>
        <v>21.261034666666667</v>
      </c>
      <c r="E255">
        <f>AVERAGE('R1'!L255,'R2'!L255,'R3'!L255)</f>
        <v>3.5890461426469069</v>
      </c>
      <c r="F255">
        <f>AVERAGE('R1'!M255,'R2'!M255,'R3'!M255)</f>
        <v>-0.13338641535209381</v>
      </c>
      <c r="G255">
        <f>AVERAGE('R1'!N255,'R2'!N255,'R3'!N255)</f>
        <v>-1.9597712072850222</v>
      </c>
      <c r="H255">
        <f>AVERAGE('R1'!O255,'R2'!O255,'R3'!O255)</f>
        <v>-1.1404974614966219</v>
      </c>
      <c r="I255">
        <f t="shared" si="7"/>
        <v>4157.713445925925</v>
      </c>
      <c r="K255">
        <f>_xlfn.STDEV.S('R1'!L255,'R2'!L255,'R3'!L255)</f>
        <v>3.4878320577388759E-2</v>
      </c>
      <c r="L255">
        <f>_xlfn.STDEV.S('R1'!M255,'R2'!M255,'R3'!M255)</f>
        <v>2.3102582762357146E-2</v>
      </c>
      <c r="M255">
        <f>_xlfn.STDEV.S('R1'!N255,'R2'!N255,'R3'!N255)</f>
        <v>2.7115432972605168E-2</v>
      </c>
      <c r="N255">
        <f>_xlfn.STDEV.S('R1'!O255,'R2'!O255,'R3'!O255)</f>
        <v>1.2451950643740647E-2</v>
      </c>
    </row>
    <row r="256" spans="1:14" x14ac:dyDescent="0.25">
      <c r="A256">
        <f>-'R1'!H256</f>
        <v>0</v>
      </c>
      <c r="B256">
        <f>DEGREES(ATAN(-SIN(RADIANS(('R1'!I256)))/(COS(RADIANS(Sheet1!A256))*COS(RADIANS('R1'!I256)))))</f>
        <v>40</v>
      </c>
      <c r="C256">
        <f>AVERAGE('R1'!J256,'R2'!J256,'R3'!J256)</f>
        <v>1.1749999999999998</v>
      </c>
      <c r="D256">
        <f>AVERAGE('R1'!K256,'R2'!K256,'R3'!K256)</f>
        <v>20.932080500000001</v>
      </c>
      <c r="E256">
        <f>AVERAGE('R1'!L256,'R2'!L256,'R3'!L256)</f>
        <v>3.0098567861167269</v>
      </c>
      <c r="F256">
        <f>AVERAGE('R1'!M256,'R2'!M256,'R3'!M256)</f>
        <v>-0.10207636064809465</v>
      </c>
      <c r="G256">
        <f>AVERAGE('R1'!N256,'R2'!N256,'R3'!N256)</f>
        <v>-1.4221028074542434</v>
      </c>
      <c r="H256">
        <f>AVERAGE('R1'!O256,'R2'!O256,'R3'!O256)</f>
        <v>-0.78884841942059081</v>
      </c>
      <c r="I256">
        <f t="shared" si="7"/>
        <v>4099.1990979166667</v>
      </c>
      <c r="K256">
        <f>_xlfn.STDEV.S('R1'!L256,'R2'!L256,'R3'!L256)</f>
        <v>6.5054867961874471E-3</v>
      </c>
      <c r="L256">
        <f>_xlfn.STDEV.S('R1'!M256,'R2'!M256,'R3'!M256)</f>
        <v>9.3641658888959558E-3</v>
      </c>
      <c r="M256">
        <f>_xlfn.STDEV.S('R1'!N256,'R2'!N256,'R3'!N256)</f>
        <v>4.9710913445818886E-3</v>
      </c>
      <c r="N256">
        <f>_xlfn.STDEV.S('R1'!O256,'R2'!O256,'R3'!O256)</f>
        <v>2.9198549167500677E-3</v>
      </c>
    </row>
    <row r="257" spans="1:14" x14ac:dyDescent="0.25">
      <c r="A257">
        <f>-'R1'!H257</f>
        <v>0</v>
      </c>
      <c r="B257">
        <f>DEGREES(ATAN(-SIN(RADIANS(('R1'!I257)))/(COS(RADIANS(Sheet1!A257))*COS(RADIANS('R1'!I257)))))</f>
        <v>36</v>
      </c>
      <c r="C257">
        <f>AVERAGE('R1'!J257,'R2'!J257,'R3'!J257)</f>
        <v>1.1766666666666665</v>
      </c>
      <c r="D257">
        <f>AVERAGE('R1'!K257,'R2'!K257,'R3'!K257)</f>
        <v>20.744238083333332</v>
      </c>
      <c r="E257">
        <f>AVERAGE('R1'!L257,'R2'!L257,'R3'!L257)</f>
        <v>2.5684622894650189</v>
      </c>
      <c r="F257">
        <f>AVERAGE('R1'!M257,'R2'!M257,'R3'!M257)</f>
        <v>-9.2795806164047187E-2</v>
      </c>
      <c r="G257">
        <f>AVERAGE('R1'!N257,'R2'!N257,'R3'!N257)</f>
        <v>-1.0411818493453466</v>
      </c>
      <c r="H257">
        <f>AVERAGE('R1'!O257,'R2'!O257,'R3'!O257)</f>
        <v>-0.51543010118546073</v>
      </c>
      <c r="I257">
        <f t="shared" si="7"/>
        <v>4068.1755796759253</v>
      </c>
      <c r="K257">
        <f>_xlfn.STDEV.S('R1'!L257,'R2'!L257,'R3'!L257)</f>
        <v>2.7017889103498231E-2</v>
      </c>
      <c r="L257">
        <f>_xlfn.STDEV.S('R1'!M257,'R2'!M257,'R3'!M257)</f>
        <v>1.8720544051024104E-2</v>
      </c>
      <c r="M257">
        <f>_xlfn.STDEV.S('R1'!N257,'R2'!N257,'R3'!N257)</f>
        <v>1.9137144594068709E-2</v>
      </c>
      <c r="N257">
        <f>_xlfn.STDEV.S('R1'!O257,'R2'!O257,'R3'!O257)</f>
        <v>1.013391623239894E-2</v>
      </c>
    </row>
    <row r="258" spans="1:14" x14ac:dyDescent="0.25">
      <c r="A258">
        <f>-'R1'!H258</f>
        <v>0</v>
      </c>
      <c r="B258">
        <f>DEGREES(ATAN(-SIN(RADIANS(('R1'!I258)))/(COS(RADIANS(Sheet1!A258))*COS(RADIANS('R1'!I258)))))</f>
        <v>32</v>
      </c>
      <c r="C258">
        <f>AVERAGE('R1'!J258,'R2'!J258,'R3'!J258)</f>
        <v>1.1766666666666665</v>
      </c>
      <c r="D258">
        <f>AVERAGE('R1'!K258,'R2'!K258,'R3'!K258)</f>
        <v>20.530160666666667</v>
      </c>
      <c r="E258">
        <f>AVERAGE('R1'!L258,'R2'!L258,'R3'!L258)</f>
        <v>2.2164856065002763</v>
      </c>
      <c r="F258">
        <f>AVERAGE('R1'!M258,'R2'!M258,'R3'!M258)</f>
        <v>-8.6393039166343444E-2</v>
      </c>
      <c r="G258">
        <f>AVERAGE('R1'!N258,'R2'!N258,'R3'!N258)</f>
        <v>-0.7558871381297253</v>
      </c>
      <c r="H258">
        <f>AVERAGE('R1'!O258,'R2'!O258,'R3'!O258)</f>
        <v>-0.28154548895250747</v>
      </c>
      <c r="I258">
        <f t="shared" si="7"/>
        <v>4026.1926196296295</v>
      </c>
      <c r="K258">
        <f>_xlfn.STDEV.S('R1'!L258,'R2'!L258,'R3'!L258)</f>
        <v>9.1690216235388467E-3</v>
      </c>
      <c r="L258">
        <f>_xlfn.STDEV.S('R1'!M258,'R2'!M258,'R3'!M258)</f>
        <v>1.0494278788568765E-2</v>
      </c>
      <c r="M258">
        <f>_xlfn.STDEV.S('R1'!N258,'R2'!N258,'R3'!N258)</f>
        <v>4.8238866094377749E-3</v>
      </c>
      <c r="N258">
        <f>_xlfn.STDEV.S('R1'!O258,'R2'!O258,'R3'!O258)</f>
        <v>6.4788140674135915E-3</v>
      </c>
    </row>
    <row r="259" spans="1:14" x14ac:dyDescent="0.25">
      <c r="A259">
        <f>-'R1'!H259</f>
        <v>0</v>
      </c>
      <c r="B259">
        <f>DEGREES(ATAN(-SIN(RADIANS(('R1'!I259)))/(COS(RADIANS(Sheet1!A259))*COS(RADIANS('R1'!I259)))))</f>
        <v>28</v>
      </c>
      <c r="C259">
        <f>AVERAGE('R1'!J259,'R2'!J259,'R3'!J259)</f>
        <v>1.1766666666666665</v>
      </c>
      <c r="D259">
        <f>AVERAGE('R1'!K259,'R2'!K259,'R3'!K259)</f>
        <v>20.381502083333334</v>
      </c>
      <c r="E259">
        <f>AVERAGE('R1'!L259,'R2'!L259,'R3'!L259)</f>
        <v>1.9268716936092807</v>
      </c>
      <c r="F259">
        <f>AVERAGE('R1'!M259,'R2'!M259,'R3'!M259)</f>
        <v>-7.4241229032684666E-2</v>
      </c>
      <c r="G259">
        <f>AVERAGE('R1'!N259,'R2'!N259,'R3'!N259)</f>
        <v>-0.5332355355873819</v>
      </c>
      <c r="H259">
        <f>AVERAGE('R1'!O259,'R2'!O259,'R3'!O259)</f>
        <v>-7.6609505310698017E-2</v>
      </c>
      <c r="I259">
        <f t="shared" ref="I259:I322" si="8">C259*D259*0.003/(1.8*10^-5)</f>
        <v>3997.0390196759258</v>
      </c>
      <c r="K259">
        <f>_xlfn.STDEV.S('R1'!L259,'R2'!L259,'R3'!L259)</f>
        <v>1.3913533874998794E-2</v>
      </c>
      <c r="L259">
        <f>_xlfn.STDEV.S('R1'!M259,'R2'!M259,'R3'!M259)</f>
        <v>1.6672941658263697E-2</v>
      </c>
      <c r="M259">
        <f>_xlfn.STDEV.S('R1'!N259,'R2'!N259,'R3'!N259)</f>
        <v>7.4495147321044569E-3</v>
      </c>
      <c r="N259">
        <f>_xlfn.STDEV.S('R1'!O259,'R2'!O259,'R3'!O259)</f>
        <v>3.7405422246063551E-3</v>
      </c>
    </row>
    <row r="260" spans="1:14" x14ac:dyDescent="0.25">
      <c r="A260">
        <f>-'R1'!H260</f>
        <v>0</v>
      </c>
      <c r="B260">
        <f>DEGREES(ATAN(-SIN(RADIANS(('R1'!I260)))/(COS(RADIANS(Sheet1!A260))*COS(RADIANS('R1'!I260)))))</f>
        <v>24</v>
      </c>
      <c r="C260">
        <f>AVERAGE('R1'!J260,'R2'!J260,'R3'!J260)</f>
        <v>1.1766666666666665</v>
      </c>
      <c r="D260">
        <f>AVERAGE('R1'!K260,'R2'!K260,'R3'!K260)</f>
        <v>20.268845750000001</v>
      </c>
      <c r="E260">
        <f>AVERAGE('R1'!L260,'R2'!L260,'R3'!L260)</f>
        <v>1.6844882849401073</v>
      </c>
      <c r="F260">
        <f>AVERAGE('R1'!M260,'R2'!M260,'R3'!M260)</f>
        <v>-5.5446331591671429E-2</v>
      </c>
      <c r="G260">
        <f>AVERAGE('R1'!N260,'R2'!N260,'R3'!N260)</f>
        <v>-0.36550574006701925</v>
      </c>
      <c r="H260">
        <f>AVERAGE('R1'!O260,'R2'!O260,'R3'!O260)</f>
        <v>0.10261448057402793</v>
      </c>
      <c r="I260">
        <f t="shared" si="8"/>
        <v>3974.9458609722224</v>
      </c>
      <c r="K260">
        <f>_xlfn.STDEV.S('R1'!L260,'R2'!L260,'R3'!L260)</f>
        <v>1.1809483973901939E-2</v>
      </c>
      <c r="L260">
        <f>_xlfn.STDEV.S('R1'!M260,'R2'!M260,'R3'!M260)</f>
        <v>1.4263961504642608E-2</v>
      </c>
      <c r="M260">
        <f>_xlfn.STDEV.S('R1'!N260,'R2'!N260,'R3'!N260)</f>
        <v>3.1650300999194773E-3</v>
      </c>
      <c r="N260">
        <f>_xlfn.STDEV.S('R1'!O260,'R2'!O260,'R3'!O260)</f>
        <v>2.4849988302383134E-3</v>
      </c>
    </row>
    <row r="261" spans="1:14" x14ac:dyDescent="0.25">
      <c r="A261">
        <f>-'R1'!H261</f>
        <v>0</v>
      </c>
      <c r="B261">
        <f>DEGREES(ATAN(-SIN(RADIANS(('R1'!I261)))/(COS(RADIANS(Sheet1!A261))*COS(RADIANS('R1'!I261)))))</f>
        <v>20</v>
      </c>
      <c r="C261">
        <f>AVERAGE('R1'!J261,'R2'!J261,'R3'!J261)</f>
        <v>1.1766666666666665</v>
      </c>
      <c r="D261">
        <f>AVERAGE('R1'!K261,'R2'!K261,'R3'!K261)</f>
        <v>20.129624333333336</v>
      </c>
      <c r="E261">
        <f>AVERAGE('R1'!L261,'R2'!L261,'R3'!L261)</f>
        <v>1.4515809105247997</v>
      </c>
      <c r="F261">
        <f>AVERAGE('R1'!M261,'R2'!M261,'R3'!M261)</f>
        <v>-5.110212318120224E-2</v>
      </c>
      <c r="G261">
        <f>AVERAGE('R1'!N261,'R2'!N261,'R3'!N261)</f>
        <v>-0.22950175510114942</v>
      </c>
      <c r="H261">
        <f>AVERAGE('R1'!O261,'R2'!O261,'R3'!O261)</f>
        <v>0.26478974932839278</v>
      </c>
      <c r="I261">
        <f t="shared" si="8"/>
        <v>3947.6429942592595</v>
      </c>
      <c r="K261">
        <f>_xlfn.STDEV.S('R1'!L261,'R2'!L261,'R3'!L261)</f>
        <v>8.7118213369403365E-3</v>
      </c>
      <c r="L261">
        <f>_xlfn.STDEV.S('R1'!M261,'R2'!M261,'R3'!M261)</f>
        <v>1.3713279957752501E-2</v>
      </c>
      <c r="M261">
        <f>_xlfn.STDEV.S('R1'!N261,'R2'!N261,'R3'!N261)</f>
        <v>3.3753216506106094E-3</v>
      </c>
      <c r="N261">
        <f>_xlfn.STDEV.S('R1'!O261,'R2'!O261,'R3'!O261)</f>
        <v>1.4168638926688969E-3</v>
      </c>
    </row>
    <row r="262" spans="1:14" x14ac:dyDescent="0.25">
      <c r="A262">
        <f>-'R1'!H262</f>
        <v>0</v>
      </c>
      <c r="B262">
        <f>DEGREES(ATAN(-SIN(RADIANS(('R1'!I262)))/(COS(RADIANS(Sheet1!A262))*COS(RADIANS('R1'!I262)))))</f>
        <v>16</v>
      </c>
      <c r="C262">
        <f>AVERAGE('R1'!J262,'R2'!J262,'R3'!J262)</f>
        <v>1.1766666666666665</v>
      </c>
      <c r="D262">
        <f>AVERAGE('R1'!K262,'R2'!K262,'R3'!K262)</f>
        <v>20.029791916666664</v>
      </c>
      <c r="E262">
        <f>AVERAGE('R1'!L262,'R2'!L262,'R3'!L262)</f>
        <v>1.2346660428924601</v>
      </c>
      <c r="F262">
        <f>AVERAGE('R1'!M262,'R2'!M262,'R3'!M262)</f>
        <v>-4.7937693682870597E-2</v>
      </c>
      <c r="G262">
        <f>AVERAGE('R1'!N262,'R2'!N262,'R3'!N262)</f>
        <v>-0.13233841868399154</v>
      </c>
      <c r="H262">
        <f>AVERAGE('R1'!O262,'R2'!O262,'R3'!O262)</f>
        <v>0.43421766252158528</v>
      </c>
      <c r="I262">
        <f t="shared" si="8"/>
        <v>3928.0647481018509</v>
      </c>
      <c r="K262">
        <f>_xlfn.STDEV.S('R1'!L262,'R2'!L262,'R3'!L262)</f>
        <v>1.0330203877925633E-2</v>
      </c>
      <c r="L262">
        <f>_xlfn.STDEV.S('R1'!M262,'R2'!M262,'R3'!M262)</f>
        <v>6.4843331018992331E-3</v>
      </c>
      <c r="M262">
        <f>_xlfn.STDEV.S('R1'!N262,'R2'!N262,'R3'!N262)</f>
        <v>6.0394696799782807E-3</v>
      </c>
      <c r="N262">
        <f>_xlfn.STDEV.S('R1'!O262,'R2'!O262,'R3'!O262)</f>
        <v>3.6790904494463268E-3</v>
      </c>
    </row>
    <row r="263" spans="1:14" x14ac:dyDescent="0.25">
      <c r="A263">
        <f>-'R1'!H263</f>
        <v>0</v>
      </c>
      <c r="B263">
        <f>DEGREES(ATAN(-SIN(RADIANS(('R1'!I263)))/(COS(RADIANS(Sheet1!A263))*COS(RADIANS('R1'!I263)))))</f>
        <v>12.000000000000002</v>
      </c>
      <c r="C263">
        <f>AVERAGE('R1'!J263,'R2'!J263,'R3'!J263)</f>
        <v>1.1766666666666665</v>
      </c>
      <c r="D263">
        <f>AVERAGE('R1'!K263,'R2'!K263,'R3'!K263)</f>
        <v>19.909405666666668</v>
      </c>
      <c r="E263">
        <f>AVERAGE('R1'!L263,'R2'!L263,'R3'!L263)</f>
        <v>1.0002238755802706</v>
      </c>
      <c r="F263">
        <f>AVERAGE('R1'!M263,'R2'!M263,'R3'!M263)</f>
        <v>-4.1361943027345208E-2</v>
      </c>
      <c r="G263">
        <f>AVERAGE('R1'!N263,'R2'!N263,'R3'!N263)</f>
        <v>-6.7419357089597662E-2</v>
      </c>
      <c r="H263">
        <f>AVERAGE('R1'!O263,'R2'!O263,'R3'!O263)</f>
        <v>0.63376033660543662</v>
      </c>
      <c r="I263">
        <f t="shared" si="8"/>
        <v>3904.4556668518517</v>
      </c>
      <c r="K263">
        <f>_xlfn.STDEV.S('R1'!L263,'R2'!L263,'R3'!L263)</f>
        <v>1.8951077720543382E-2</v>
      </c>
      <c r="L263">
        <f>_xlfn.STDEV.S('R1'!M263,'R2'!M263,'R3'!M263)</f>
        <v>1.0798087205351241E-2</v>
      </c>
      <c r="M263">
        <f>_xlfn.STDEV.S('R1'!N263,'R2'!N263,'R3'!N263)</f>
        <v>8.0112855883588702E-3</v>
      </c>
      <c r="N263">
        <f>_xlfn.STDEV.S('R1'!O263,'R2'!O263,'R3'!O263)</f>
        <v>8.5918617032536507E-3</v>
      </c>
    </row>
    <row r="264" spans="1:14" x14ac:dyDescent="0.25">
      <c r="A264">
        <f>-'R1'!H264</f>
        <v>0</v>
      </c>
      <c r="B264">
        <f>DEGREES(ATAN(-SIN(RADIANS(('R1'!I264)))/(COS(RADIANS(Sheet1!A264))*COS(RADIANS('R1'!I264)))))</f>
        <v>7.9999999999999982</v>
      </c>
      <c r="C264">
        <f>AVERAGE('R1'!J264,'R2'!J264,'R3'!J264)</f>
        <v>1.1766666666666665</v>
      </c>
      <c r="D264">
        <f>AVERAGE('R1'!K264,'R2'!K264,'R3'!K264)</f>
        <v>20.176604000000001</v>
      </c>
      <c r="E264">
        <f>AVERAGE('R1'!L264,'R2'!L264,'R3'!L264)</f>
        <v>0.71368042157086575</v>
      </c>
      <c r="F264">
        <f>AVERAGE('R1'!M264,'R2'!M264,'R3'!M264)</f>
        <v>-3.3843990025375997E-2</v>
      </c>
      <c r="G264">
        <f>AVERAGE('R1'!N264,'R2'!N264,'R3'!N264)</f>
        <v>-2.4109230184422081E-2</v>
      </c>
      <c r="H264">
        <f>AVERAGE('R1'!O264,'R2'!O264,'R3'!O264)</f>
        <v>0.86931138384097562</v>
      </c>
      <c r="I264">
        <f t="shared" si="8"/>
        <v>3956.8562288888884</v>
      </c>
      <c r="K264">
        <f>_xlfn.STDEV.S('R1'!L264,'R2'!L264,'R3'!L264)</f>
        <v>1.38609727135532E-2</v>
      </c>
      <c r="L264">
        <f>_xlfn.STDEV.S('R1'!M264,'R2'!M264,'R3'!M264)</f>
        <v>1.4438970746661119E-2</v>
      </c>
      <c r="M264">
        <f>_xlfn.STDEV.S('R1'!N264,'R2'!N264,'R3'!N264)</f>
        <v>2.2000696842810288E-3</v>
      </c>
      <c r="N264">
        <f>_xlfn.STDEV.S('R1'!O264,'R2'!O264,'R3'!O264)</f>
        <v>2.5720052868905708E-3</v>
      </c>
    </row>
    <row r="265" spans="1:14" x14ac:dyDescent="0.25">
      <c r="A265">
        <f>-'R1'!H265</f>
        <v>0</v>
      </c>
      <c r="B265">
        <f>DEGREES(ATAN(-SIN(RADIANS(('R1'!I265)))/(COS(RADIANS(Sheet1!A265))*COS(RADIANS('R1'!I265)))))</f>
        <v>4</v>
      </c>
      <c r="C265">
        <f>AVERAGE('R1'!J265,'R2'!J265,'R3'!J265)</f>
        <v>1.1766666666666665</v>
      </c>
      <c r="D265">
        <f>AVERAGE('R1'!K265,'R2'!K265,'R3'!K265)</f>
        <v>20.558471999999998</v>
      </c>
      <c r="E265">
        <f>AVERAGE('R1'!L265,'R2'!L265,'R3'!L265)</f>
        <v>0.38566134490247106</v>
      </c>
      <c r="F265">
        <f>AVERAGE('R1'!M265,'R2'!M265,'R3'!M265)</f>
        <v>-2.7355696018086722E-2</v>
      </c>
      <c r="G265">
        <f>AVERAGE('R1'!N265,'R2'!N265,'R3'!N265)</f>
        <v>-6.6340143590129319E-3</v>
      </c>
      <c r="H265">
        <f>AVERAGE('R1'!O265,'R2'!O265,'R3'!O265)</f>
        <v>1.1181760037753217</v>
      </c>
      <c r="I265">
        <f t="shared" si="8"/>
        <v>4031.7447866666662</v>
      </c>
      <c r="K265">
        <f>_xlfn.STDEV.S('R1'!L265,'R2'!L265,'R3'!L265)</f>
        <v>1.4940777124670492E-2</v>
      </c>
      <c r="L265">
        <f>_xlfn.STDEV.S('R1'!M265,'R2'!M265,'R3'!M265)</f>
        <v>1.5450308719183669E-2</v>
      </c>
      <c r="M265">
        <f>_xlfn.STDEV.S('R1'!N265,'R2'!N265,'R3'!N265)</f>
        <v>5.1071806396845911E-3</v>
      </c>
      <c r="N265">
        <f>_xlfn.STDEV.S('R1'!O265,'R2'!O265,'R3'!O265)</f>
        <v>8.2918914123898419E-3</v>
      </c>
    </row>
    <row r="266" spans="1:14" x14ac:dyDescent="0.25">
      <c r="A266">
        <f>-'R1'!H266</f>
        <v>0</v>
      </c>
      <c r="B266">
        <f>DEGREES(ATAN(-SIN(RADIANS(('R1'!I266)))/(COS(RADIANS(Sheet1!A266))*COS(RADIANS('R1'!I266)))))</f>
        <v>0</v>
      </c>
      <c r="C266">
        <f>AVERAGE('R1'!J266,'R2'!J266,'R3'!J266)</f>
        <v>1.1766666666666665</v>
      </c>
      <c r="D266">
        <f>AVERAGE('R1'!K266,'R2'!K266,'R3'!K266)</f>
        <v>20.553040583333331</v>
      </c>
      <c r="E266">
        <f>AVERAGE('R1'!L266,'R2'!L266,'R3'!L266)</f>
        <v>-1.6149486740696314E-2</v>
      </c>
      <c r="F266">
        <f>AVERAGE('R1'!M266,'R2'!M266,'R3'!M266)</f>
        <v>-1.4788248155296444E-2</v>
      </c>
      <c r="G266">
        <f>AVERAGE('R1'!N266,'R2'!N266,'R3'!N266)</f>
        <v>-1.6093532365239803E-3</v>
      </c>
      <c r="H266">
        <f>AVERAGE('R1'!O266,'R2'!O266,'R3'!O266)</f>
        <v>1.3529252435809864</v>
      </c>
      <c r="I266">
        <f t="shared" si="8"/>
        <v>4030.6796255092586</v>
      </c>
      <c r="K266">
        <f>_xlfn.STDEV.S('R1'!L266,'R2'!L266,'R3'!L266)</f>
        <v>1.1030385292927379E-2</v>
      </c>
      <c r="L266">
        <f>_xlfn.STDEV.S('R1'!M266,'R2'!M266,'R3'!M266)</f>
        <v>2.7570525840619933E-2</v>
      </c>
      <c r="M266">
        <f>_xlfn.STDEV.S('R1'!N266,'R2'!N266,'R3'!N266)</f>
        <v>4.9828186777822244E-3</v>
      </c>
      <c r="N266">
        <f>_xlfn.STDEV.S('R1'!O266,'R2'!O266,'R3'!O266)</f>
        <v>1.3932960797783906E-2</v>
      </c>
    </row>
    <row r="267" spans="1:14" x14ac:dyDescent="0.25">
      <c r="A267">
        <f>-'R1'!H267</f>
        <v>0</v>
      </c>
      <c r="B267">
        <f>DEGREES(ATAN(-SIN(RADIANS(('R1'!I267)))/(COS(RADIANS(Sheet1!A267))*COS(RADIANS('R1'!I267)))))</f>
        <v>-4</v>
      </c>
      <c r="C267">
        <f>AVERAGE('R1'!J267,'R2'!J267,'R3'!J267)</f>
        <v>1.1766666666666665</v>
      </c>
      <c r="D267">
        <f>AVERAGE('R1'!K267,'R2'!K267,'R3'!K267)</f>
        <v>20.325225833333331</v>
      </c>
      <c r="E267">
        <f>AVERAGE('R1'!L267,'R2'!L267,'R3'!L267)</f>
        <v>-0.41270976269483589</v>
      </c>
      <c r="F267">
        <f>AVERAGE('R1'!M267,'R2'!M267,'R3'!M267)</f>
        <v>-1.8068952165707142E-2</v>
      </c>
      <c r="G267">
        <f>AVERAGE('R1'!N267,'R2'!N267,'R3'!N267)</f>
        <v>-4.9665679218376521E-3</v>
      </c>
      <c r="H267">
        <f>AVERAGE('R1'!O267,'R2'!O267,'R3'!O267)</f>
        <v>1.103506606382034</v>
      </c>
      <c r="I267">
        <f t="shared" si="8"/>
        <v>3986.0026217592581</v>
      </c>
      <c r="K267">
        <f>_xlfn.STDEV.S('R1'!L267,'R2'!L267,'R3'!L267)</f>
        <v>1.7724668500417481E-2</v>
      </c>
      <c r="L267">
        <f>_xlfn.STDEV.S('R1'!M267,'R2'!M267,'R3'!M267)</f>
        <v>1.9350430171416421E-2</v>
      </c>
      <c r="M267">
        <f>_xlfn.STDEV.S('R1'!N267,'R2'!N267,'R3'!N267)</f>
        <v>6.6368925542424169E-3</v>
      </c>
      <c r="N267">
        <f>_xlfn.STDEV.S('R1'!O267,'R2'!O267,'R3'!O267)</f>
        <v>1.8759962046933771E-2</v>
      </c>
    </row>
    <row r="268" spans="1:14" x14ac:dyDescent="0.25">
      <c r="A268">
        <f>-'R1'!H268</f>
        <v>0</v>
      </c>
      <c r="B268">
        <f>DEGREES(ATAN(-SIN(RADIANS(('R1'!I268)))/(COS(RADIANS(Sheet1!A268))*COS(RADIANS('R1'!I268)))))</f>
        <v>-7.9999999999999982</v>
      </c>
      <c r="C268">
        <f>AVERAGE('R1'!J268,'R2'!J268,'R3'!J268)</f>
        <v>1.1766666666666665</v>
      </c>
      <c r="D268">
        <f>AVERAGE('R1'!K268,'R2'!K268,'R3'!K268)</f>
        <v>20.234202249999999</v>
      </c>
      <c r="E268">
        <f>AVERAGE('R1'!L268,'R2'!L268,'R3'!L268)</f>
        <v>-0.7262469866474649</v>
      </c>
      <c r="F268">
        <f>AVERAGE('R1'!M268,'R2'!M268,'R3'!M268)</f>
        <v>-5.1803633881011895E-3</v>
      </c>
      <c r="G268">
        <f>AVERAGE('R1'!N268,'R2'!N268,'R3'!N268)</f>
        <v>-2.3839523309010947E-2</v>
      </c>
      <c r="H268">
        <f>AVERAGE('R1'!O268,'R2'!O268,'R3'!O268)</f>
        <v>0.8751173937584481</v>
      </c>
      <c r="I268">
        <f t="shared" si="8"/>
        <v>3968.1518856944444</v>
      </c>
      <c r="K268">
        <f>_xlfn.STDEV.S('R1'!L268,'R2'!L268,'R3'!L268)</f>
        <v>7.7289545762049281E-3</v>
      </c>
      <c r="L268">
        <f>_xlfn.STDEV.S('R1'!M268,'R2'!M268,'R3'!M268)</f>
        <v>8.791254337723901E-3</v>
      </c>
      <c r="M268">
        <f>_xlfn.STDEV.S('R1'!N268,'R2'!N268,'R3'!N268)</f>
        <v>4.7613641375422221E-3</v>
      </c>
      <c r="N268">
        <f>_xlfn.STDEV.S('R1'!O268,'R2'!O268,'R3'!O268)</f>
        <v>6.2302081361652606E-3</v>
      </c>
    </row>
    <row r="269" spans="1:14" x14ac:dyDescent="0.25">
      <c r="A269">
        <f>-'R1'!H269</f>
        <v>0</v>
      </c>
      <c r="B269">
        <f>DEGREES(ATAN(-SIN(RADIANS(('R1'!I269)))/(COS(RADIANS(Sheet1!A269))*COS(RADIANS('R1'!I269)))))</f>
        <v>-12.000000000000002</v>
      </c>
      <c r="C269">
        <f>AVERAGE('R1'!J269,'R2'!J269,'R3'!J269)</f>
        <v>1.1766666666666665</v>
      </c>
      <c r="D269">
        <f>AVERAGE('R1'!K269,'R2'!K269,'R3'!K269)</f>
        <v>20.736621166666666</v>
      </c>
      <c r="E269">
        <f>AVERAGE('R1'!L269,'R2'!L269,'R3'!L269)</f>
        <v>-0.99993376888821361</v>
      </c>
      <c r="F269">
        <f>AVERAGE('R1'!M269,'R2'!M269,'R3'!M269)</f>
        <v>-1.2626793245298703E-3</v>
      </c>
      <c r="G269">
        <f>AVERAGE('R1'!N269,'R2'!N269,'R3'!N269)</f>
        <v>-6.9313693876914481E-2</v>
      </c>
      <c r="H269">
        <f>AVERAGE('R1'!O269,'R2'!O269,'R3'!O269)</f>
        <v>0.67261692477425739</v>
      </c>
      <c r="I269">
        <f t="shared" si="8"/>
        <v>4066.6818176851843</v>
      </c>
      <c r="K269">
        <f>_xlfn.STDEV.S('R1'!L269,'R2'!L269,'R3'!L269)</f>
        <v>6.6610356671231346E-3</v>
      </c>
      <c r="L269">
        <f>_xlfn.STDEV.S('R1'!M269,'R2'!M269,'R3'!M269)</f>
        <v>5.2647048099861548E-3</v>
      </c>
      <c r="M269">
        <f>_xlfn.STDEV.S('R1'!N269,'R2'!N269,'R3'!N269)</f>
        <v>3.077923358788843E-3</v>
      </c>
      <c r="N269">
        <f>_xlfn.STDEV.S('R1'!O269,'R2'!O269,'R3'!O269)</f>
        <v>4.1009453096044601E-3</v>
      </c>
    </row>
    <row r="270" spans="1:14" x14ac:dyDescent="0.25">
      <c r="A270">
        <f>-'R1'!H270</f>
        <v>0</v>
      </c>
      <c r="B270">
        <f>DEGREES(ATAN(-SIN(RADIANS(('R1'!I270)))/(COS(RADIANS(Sheet1!A270))*COS(RADIANS('R1'!I270)))))</f>
        <v>-16</v>
      </c>
      <c r="C270">
        <f>AVERAGE('R1'!J270,'R2'!J270,'R3'!J270)</f>
        <v>1.1766666666666665</v>
      </c>
      <c r="D270">
        <f>AVERAGE('R1'!K270,'R2'!K270,'R3'!K270)</f>
        <v>21.494304749999998</v>
      </c>
      <c r="E270">
        <f>AVERAGE('R1'!L270,'R2'!L270,'R3'!L270)</f>
        <v>-1.2545762614195237</v>
      </c>
      <c r="F270">
        <f>AVERAGE('R1'!M270,'R2'!M270,'R3'!M270)</f>
        <v>-1.7970165136241972E-3</v>
      </c>
      <c r="G270">
        <f>AVERAGE('R1'!N270,'R2'!N270,'R3'!N270)</f>
        <v>-0.15090253435185497</v>
      </c>
      <c r="H270">
        <f>AVERAGE('R1'!O270,'R2'!O270,'R3'!O270)</f>
        <v>0.48507840227385302</v>
      </c>
      <c r="I270">
        <f t="shared" si="8"/>
        <v>4215.2719870833325</v>
      </c>
      <c r="K270">
        <f>_xlfn.STDEV.S('R1'!L270,'R2'!L270,'R3'!L270)</f>
        <v>8.1673039731416271E-3</v>
      </c>
      <c r="L270">
        <f>_xlfn.STDEV.S('R1'!M270,'R2'!M270,'R3'!M270)</f>
        <v>3.5958319734483977E-3</v>
      </c>
      <c r="M270">
        <f>_xlfn.STDEV.S('R1'!N270,'R2'!N270,'R3'!N270)</f>
        <v>2.8277786550163385E-3</v>
      </c>
      <c r="N270">
        <f>_xlfn.STDEV.S('R1'!O270,'R2'!O270,'R3'!O270)</f>
        <v>3.5340806810984092E-3</v>
      </c>
    </row>
    <row r="271" spans="1:14" x14ac:dyDescent="0.25">
      <c r="A271">
        <f>-'R1'!H271</f>
        <v>0</v>
      </c>
      <c r="B271">
        <f>DEGREES(ATAN(-SIN(RADIANS(('R1'!I271)))/(COS(RADIANS(Sheet1!A271))*COS(RADIANS('R1'!I271)))))</f>
        <v>-20</v>
      </c>
      <c r="C271">
        <f>AVERAGE('R1'!J271,'R2'!J271,'R3'!J271)</f>
        <v>1.1766666666666665</v>
      </c>
      <c r="D271">
        <f>AVERAGE('R1'!K271,'R2'!K271,'R3'!K271)</f>
        <v>21.500938166666668</v>
      </c>
      <c r="E271">
        <f>AVERAGE('R1'!L271,'R2'!L271,'R3'!L271)</f>
        <v>-1.5134376191985177</v>
      </c>
      <c r="F271">
        <f>AVERAGE('R1'!M271,'R2'!M271,'R3'!M271)</f>
        <v>-5.7511368945450025E-4</v>
      </c>
      <c r="G271">
        <f>AVERAGE('R1'!N271,'R2'!N271,'R3'!N271)</f>
        <v>-0.27807083447411829</v>
      </c>
      <c r="H271">
        <f>AVERAGE('R1'!O271,'R2'!O271,'R3'!O271)</f>
        <v>0.30973955443338225</v>
      </c>
      <c r="I271">
        <f t="shared" si="8"/>
        <v>4216.5728737962963</v>
      </c>
      <c r="K271">
        <f>_xlfn.STDEV.S('R1'!L271,'R2'!L271,'R3'!L271)</f>
        <v>4.1101039274443248E-3</v>
      </c>
      <c r="L271">
        <f>_xlfn.STDEV.S('R1'!M271,'R2'!M271,'R3'!M271)</f>
        <v>1.0043392358564553E-2</v>
      </c>
      <c r="M271">
        <f>_xlfn.STDEV.S('R1'!N271,'R2'!N271,'R3'!N271)</f>
        <v>3.3077927608209025E-4</v>
      </c>
      <c r="N271">
        <f>_xlfn.STDEV.S('R1'!O271,'R2'!O271,'R3'!O271)</f>
        <v>6.5181972609185011E-3</v>
      </c>
    </row>
    <row r="272" spans="1:14" x14ac:dyDescent="0.25">
      <c r="A272">
        <f>-'R1'!H272</f>
        <v>0</v>
      </c>
      <c r="B272">
        <f>DEGREES(ATAN(-SIN(RADIANS(('R1'!I272)))/(COS(RADIANS(Sheet1!A272))*COS(RADIANS('R1'!I272)))))</f>
        <v>-24</v>
      </c>
      <c r="C272">
        <f>AVERAGE('R1'!J272,'R2'!J272,'R3'!J272)</f>
        <v>1.1766666666666665</v>
      </c>
      <c r="D272">
        <f>AVERAGE('R1'!K272,'R2'!K272,'R3'!K272)</f>
        <v>21.191251249999997</v>
      </c>
      <c r="E272">
        <f>AVERAGE('R1'!L272,'R2'!L272,'R3'!L272)</f>
        <v>-1.8046007952336602</v>
      </c>
      <c r="F272">
        <f>AVERAGE('R1'!M272,'R2'!M272,'R3'!M272)</f>
        <v>8.6115392673793752E-3</v>
      </c>
      <c r="G272">
        <f>AVERAGE('R1'!N272,'R2'!N272,'R3'!N272)</f>
        <v>-0.46083227193857357</v>
      </c>
      <c r="H272">
        <f>AVERAGE('R1'!O272,'R2'!O272,'R3'!O272)</f>
        <v>0.14069224689983881</v>
      </c>
      <c r="I272">
        <f t="shared" si="8"/>
        <v>4155.8398284722216</v>
      </c>
      <c r="K272">
        <f>_xlfn.STDEV.S('R1'!L272,'R2'!L272,'R3'!L272)</f>
        <v>8.0007266402957241E-3</v>
      </c>
      <c r="L272">
        <f>_xlfn.STDEV.S('R1'!M272,'R2'!M272,'R3'!M272)</f>
        <v>1.5346330407532522E-3</v>
      </c>
      <c r="M272">
        <f>_xlfn.STDEV.S('R1'!N272,'R2'!N272,'R3'!N272)</f>
        <v>4.499995778203902E-3</v>
      </c>
      <c r="N272">
        <f>_xlfn.STDEV.S('R1'!O272,'R2'!O272,'R3'!O272)</f>
        <v>5.273506736757751E-3</v>
      </c>
    </row>
    <row r="273" spans="1:14" x14ac:dyDescent="0.25">
      <c r="A273">
        <f>-'R1'!H273</f>
        <v>0</v>
      </c>
      <c r="B273">
        <f>DEGREES(ATAN(-SIN(RADIANS(('R1'!I273)))/(COS(RADIANS(Sheet1!A273))*COS(RADIANS('R1'!I273)))))</f>
        <v>-28</v>
      </c>
      <c r="C273">
        <f>AVERAGE('R1'!J273,'R2'!J273,'R3'!J273)</f>
        <v>1.1766666666666665</v>
      </c>
      <c r="D273">
        <f>AVERAGE('R1'!K273,'R2'!K273,'R3'!K273)</f>
        <v>20.993207416666667</v>
      </c>
      <c r="E273">
        <f>AVERAGE('R1'!L273,'R2'!L273,'R3'!L273)</f>
        <v>-2.1472857560967396</v>
      </c>
      <c r="F273">
        <f>AVERAGE('R1'!M273,'R2'!M273,'R3'!M273)</f>
        <v>4.1776921216557787E-2</v>
      </c>
      <c r="G273">
        <f>AVERAGE('R1'!N273,'R2'!N273,'R3'!N273)</f>
        <v>-0.71399972279041801</v>
      </c>
      <c r="H273">
        <f>AVERAGE('R1'!O273,'R2'!O273,'R3'!O273)</f>
        <v>-5.1845654586431589E-2</v>
      </c>
      <c r="I273">
        <f t="shared" si="8"/>
        <v>4117.0012322685179</v>
      </c>
      <c r="K273">
        <f>_xlfn.STDEV.S('R1'!L273,'R2'!L273,'R3'!L273)</f>
        <v>5.2920184389088978E-3</v>
      </c>
      <c r="L273">
        <f>_xlfn.STDEV.S('R1'!M273,'R2'!M273,'R3'!M273)</f>
        <v>4.7388374678367729E-3</v>
      </c>
      <c r="M273">
        <f>_xlfn.STDEV.S('R1'!N273,'R2'!N273,'R3'!N273)</f>
        <v>1.3725103833400337E-3</v>
      </c>
      <c r="N273">
        <f>_xlfn.STDEV.S('R1'!O273,'R2'!O273,'R3'!O273)</f>
        <v>1.0516997649071814E-2</v>
      </c>
    </row>
    <row r="274" spans="1:14" x14ac:dyDescent="0.25">
      <c r="A274">
        <f>-'R1'!H274</f>
        <v>0</v>
      </c>
      <c r="B274">
        <f>DEGREES(ATAN(-SIN(RADIANS(('R1'!I274)))/(COS(RADIANS(Sheet1!A274))*COS(RADIANS('R1'!I274)))))</f>
        <v>-32</v>
      </c>
      <c r="C274">
        <f>AVERAGE('R1'!J274,'R2'!J274,'R3'!J274)</f>
        <v>1.1766666666666665</v>
      </c>
      <c r="D274">
        <f>AVERAGE('R1'!K274,'R2'!K274,'R3'!K274)</f>
        <v>20.798533916666667</v>
      </c>
      <c r="E274">
        <f>AVERAGE('R1'!L274,'R2'!L274,'R3'!L274)</f>
        <v>-2.6083096980875564</v>
      </c>
      <c r="F274">
        <f>AVERAGE('R1'!M274,'R2'!M274,'R3'!M274)</f>
        <v>7.4924100555994938E-2</v>
      </c>
      <c r="G274">
        <f>AVERAGE('R1'!N274,'R2'!N274,'R3'!N274)</f>
        <v>-1.0854590314892882</v>
      </c>
      <c r="H274">
        <f>AVERAGE('R1'!O274,'R2'!O274,'R3'!O274)</f>
        <v>-0.30065234858794071</v>
      </c>
      <c r="I274">
        <f t="shared" si="8"/>
        <v>4078.8235958796295</v>
      </c>
      <c r="K274">
        <f>_xlfn.STDEV.S('R1'!L274,'R2'!L274,'R3'!L274)</f>
        <v>7.2957339673371821E-3</v>
      </c>
      <c r="L274">
        <f>_xlfn.STDEV.S('R1'!M274,'R2'!M274,'R3'!M274)</f>
        <v>9.683630491478119E-3</v>
      </c>
      <c r="M274">
        <f>_xlfn.STDEV.S('R1'!N274,'R2'!N274,'R3'!N274)</f>
        <v>5.2802987918099131E-4</v>
      </c>
      <c r="N274">
        <f>_xlfn.STDEV.S('R1'!O274,'R2'!O274,'R3'!O274)</f>
        <v>6.9980579785123122E-3</v>
      </c>
    </row>
    <row r="275" spans="1:14" x14ac:dyDescent="0.25">
      <c r="A275">
        <f>-'R1'!H275</f>
        <v>0</v>
      </c>
      <c r="B275">
        <f>DEGREES(ATAN(-SIN(RADIANS(('R1'!I275)))/(COS(RADIANS(Sheet1!A275))*COS(RADIANS('R1'!I275)))))</f>
        <v>-36</v>
      </c>
      <c r="C275">
        <f>AVERAGE('R1'!J275,'R2'!J275,'R3'!J275)</f>
        <v>1.1766666666666665</v>
      </c>
      <c r="D275">
        <f>AVERAGE('R1'!K275,'R2'!K275,'R3'!K275)</f>
        <v>20.634665250000001</v>
      </c>
      <c r="E275">
        <f>AVERAGE('R1'!L275,'R2'!L275,'R3'!L275)</f>
        <v>-3.292566786999608</v>
      </c>
      <c r="F275">
        <f>AVERAGE('R1'!M275,'R2'!M275,'R3'!M275)</f>
        <v>0.11303233380758214</v>
      </c>
      <c r="G275">
        <f>AVERAGE('R1'!N275,'R2'!N275,'R3'!N275)</f>
        <v>-1.6540911185862006</v>
      </c>
      <c r="H275">
        <f>AVERAGE('R1'!O275,'R2'!O275,'R3'!O275)</f>
        <v>-0.62167717049500071</v>
      </c>
      <c r="I275">
        <f t="shared" si="8"/>
        <v>4046.6871295833325</v>
      </c>
      <c r="K275">
        <f>_xlfn.STDEV.S('R1'!L275,'R2'!L275,'R3'!L275)</f>
        <v>1.2601923762763497E-2</v>
      </c>
      <c r="L275">
        <f>_xlfn.STDEV.S('R1'!M275,'R2'!M275,'R3'!M275)</f>
        <v>3.6970893398713001E-3</v>
      </c>
      <c r="M275">
        <f>_xlfn.STDEV.S('R1'!N275,'R2'!N275,'R3'!N275)</f>
        <v>6.6678669071814885E-3</v>
      </c>
      <c r="N275">
        <f>_xlfn.STDEV.S('R1'!O275,'R2'!O275,'R3'!O275)</f>
        <v>3.2758447342789215E-3</v>
      </c>
    </row>
    <row r="276" spans="1:14" x14ac:dyDescent="0.25">
      <c r="A276">
        <f>-'R1'!H276</f>
        <v>0</v>
      </c>
      <c r="B276">
        <f>DEGREES(ATAN(-SIN(RADIANS(('R1'!I276)))/(COS(RADIANS(Sheet1!A276))*COS(RADIANS('R1'!I276)))))</f>
        <v>-40</v>
      </c>
      <c r="C276">
        <f>AVERAGE('R1'!J276,'R2'!J276,'R3'!J276)</f>
        <v>1.1766666666666665</v>
      </c>
      <c r="D276">
        <f>AVERAGE('R1'!K276,'R2'!K276,'R3'!K276)</f>
        <v>20.536352500000003</v>
      </c>
      <c r="E276">
        <f>AVERAGE('R1'!L276,'R2'!L276,'R3'!L276)</f>
        <v>-4.3267688325120472</v>
      </c>
      <c r="F276">
        <f>AVERAGE('R1'!M276,'R2'!M276,'R3'!M276)</f>
        <v>0.17891946148799523</v>
      </c>
      <c r="G276">
        <f>AVERAGE('R1'!N276,'R2'!N276,'R3'!N276)</f>
        <v>-2.5440552329061386</v>
      </c>
      <c r="H276">
        <f>AVERAGE('R1'!O276,'R2'!O276,'R3'!O276)</f>
        <v>-1.0868446116229917</v>
      </c>
      <c r="I276">
        <f t="shared" si="8"/>
        <v>4027.4069069444449</v>
      </c>
      <c r="K276">
        <f>_xlfn.STDEV.S('R1'!L276,'R2'!L276,'R3'!L276)</f>
        <v>3.0351031876687942E-2</v>
      </c>
      <c r="L276">
        <f>_xlfn.STDEV.S('R1'!M276,'R2'!M276,'R3'!M276)</f>
        <v>1.4457050184732945E-2</v>
      </c>
      <c r="M276">
        <f>_xlfn.STDEV.S('R1'!N276,'R2'!N276,'R3'!N276)</f>
        <v>2.2112807373475485E-2</v>
      </c>
      <c r="N276">
        <f>_xlfn.STDEV.S('R1'!O276,'R2'!O276,'R3'!O276)</f>
        <v>1.0787145736894634E-2</v>
      </c>
    </row>
    <row r="277" spans="1:14" x14ac:dyDescent="0.25">
      <c r="A277">
        <f>-'R1'!H277</f>
        <v>0</v>
      </c>
      <c r="B277">
        <f>DEGREES(ATAN(-SIN(RADIANS(('R1'!I277)))/(COS(RADIANS(Sheet1!A277))*COS(RADIANS('R1'!I277)))))</f>
        <v>-44</v>
      </c>
      <c r="C277">
        <f>AVERAGE('R1'!J277,'R2'!J277,'R3'!J277)</f>
        <v>1.1766666666666665</v>
      </c>
      <c r="D277">
        <f>AVERAGE('R1'!K277,'R2'!K277,'R3'!K277)</f>
        <v>20.387690750000001</v>
      </c>
      <c r="E277">
        <f>AVERAGE('R1'!L277,'R2'!L277,'R3'!L277)</f>
        <v>-6.2845681455100975</v>
      </c>
      <c r="F277">
        <f>AVERAGE('R1'!M277,'R2'!M277,'R3'!M277)</f>
        <v>0.31100846988985587</v>
      </c>
      <c r="G277">
        <f>AVERAGE('R1'!N277,'R2'!N277,'R3'!N277)</f>
        <v>-4.274700320352145</v>
      </c>
      <c r="H277">
        <f>AVERAGE('R1'!O277,'R2'!O277,'R3'!O277)</f>
        <v>-1.9340155590326997</v>
      </c>
      <c r="I277">
        <f t="shared" si="8"/>
        <v>3998.252685972222</v>
      </c>
      <c r="K277">
        <f>_xlfn.STDEV.S('R1'!L277,'R2'!L277,'R3'!L277)</f>
        <v>6.3914294509537492E-2</v>
      </c>
      <c r="L277">
        <f>_xlfn.STDEV.S('R1'!M277,'R2'!M277,'R3'!M277)</f>
        <v>1.3465750940565506E-2</v>
      </c>
      <c r="M277">
        <f>_xlfn.STDEV.S('R1'!N277,'R2'!N277,'R3'!N277)</f>
        <v>4.650300464013838E-2</v>
      </c>
      <c r="N277">
        <f>_xlfn.STDEV.S('R1'!O277,'R2'!O277,'R3'!O277)</f>
        <v>1.0341322536511807E-2</v>
      </c>
    </row>
    <row r="278" spans="1:14" x14ac:dyDescent="0.25">
      <c r="A278">
        <f>-'R1'!H278</f>
        <v>-4</v>
      </c>
      <c r="B278">
        <f>DEGREES(ATAN(-SIN(RADIANS(('R1'!I278)))/(COS(RADIANS(Sheet1!A278))*COS(RADIANS('R1'!I278)))))</f>
        <v>44.069830293849904</v>
      </c>
      <c r="C278">
        <f>AVERAGE('R1'!J278,'R2'!J278,'R3'!J278)</f>
        <v>1.1766666666666665</v>
      </c>
      <c r="D278">
        <f>AVERAGE('R1'!K278,'R2'!K278,'R3'!K278)</f>
        <v>20.643608333333333</v>
      </c>
      <c r="E278">
        <f>AVERAGE('R1'!L278,'R2'!L278,'R3'!L278)</f>
        <v>3.4138306022864335</v>
      </c>
      <c r="F278">
        <f>AVERAGE('R1'!M278,'R2'!M278,'R3'!M278)</f>
        <v>0.41195468465725682</v>
      </c>
      <c r="G278">
        <f>AVERAGE('R1'!N278,'R2'!N278,'R3'!N278)</f>
        <v>-1.8877837158458595</v>
      </c>
      <c r="H278">
        <f>AVERAGE('R1'!O278,'R2'!O278,'R3'!O278)</f>
        <v>-1.1592927102098491</v>
      </c>
      <c r="I278">
        <f t="shared" si="8"/>
        <v>4048.4409675925922</v>
      </c>
      <c r="K278">
        <f>_xlfn.STDEV.S('R1'!L278,'R2'!L278,'R3'!L278)</f>
        <v>1.9841767380938669E-2</v>
      </c>
      <c r="L278">
        <f>_xlfn.STDEV.S('R1'!M278,'R2'!M278,'R3'!M278)</f>
        <v>8.2653295850251968E-3</v>
      </c>
      <c r="M278">
        <f>_xlfn.STDEV.S('R1'!N278,'R2'!N278,'R3'!N278)</f>
        <v>1.3719651637969735E-2</v>
      </c>
      <c r="N278">
        <f>_xlfn.STDEV.S('R1'!O278,'R2'!O278,'R3'!O278)</f>
        <v>1.606282230135639E-3</v>
      </c>
    </row>
    <row r="279" spans="1:14" x14ac:dyDescent="0.25">
      <c r="A279">
        <f>-'R1'!H279</f>
        <v>-4</v>
      </c>
      <c r="B279">
        <f>DEGREES(ATAN(-SIN(RADIANS(('R1'!I279)))/(COS(RADIANS(Sheet1!A279))*COS(RADIANS('R1'!I279)))))</f>
        <v>40.068822978998547</v>
      </c>
      <c r="C279">
        <f>AVERAGE('R1'!J279,'R2'!J279,'R3'!J279)</f>
        <v>1.1766666666666665</v>
      </c>
      <c r="D279">
        <f>AVERAGE('R1'!K279,'R2'!K279,'R3'!K279)</f>
        <v>20.991352333333335</v>
      </c>
      <c r="E279">
        <f>AVERAGE('R1'!L279,'R2'!L279,'R3'!L279)</f>
        <v>2.8618685417671288</v>
      </c>
      <c r="F279">
        <f>AVERAGE('R1'!M279,'R2'!M279,'R3'!M279)</f>
        <v>0.35557301623977294</v>
      </c>
      <c r="G279">
        <f>AVERAGE('R1'!N279,'R2'!N279,'R3'!N279)</f>
        <v>-1.3684918650845501</v>
      </c>
      <c r="H279">
        <f>AVERAGE('R1'!O279,'R2'!O279,'R3'!O279)</f>
        <v>-0.81887869427001136</v>
      </c>
      <c r="I279">
        <f t="shared" si="8"/>
        <v>4116.6374298148139</v>
      </c>
      <c r="K279">
        <f>_xlfn.STDEV.S('R1'!L279,'R2'!L279,'R3'!L279)</f>
        <v>1.7817908287102301E-2</v>
      </c>
      <c r="L279">
        <f>_xlfn.STDEV.S('R1'!M279,'R2'!M279,'R3'!M279)</f>
        <v>2.243545710516387E-2</v>
      </c>
      <c r="M279">
        <f>_xlfn.STDEV.S('R1'!N279,'R2'!N279,'R3'!N279)</f>
        <v>6.6191427541377528E-3</v>
      </c>
      <c r="N279">
        <f>_xlfn.STDEV.S('R1'!O279,'R2'!O279,'R3'!O279)</f>
        <v>7.6304964759770309E-3</v>
      </c>
    </row>
    <row r="280" spans="1:14" x14ac:dyDescent="0.25">
      <c r="A280">
        <f>-'R1'!H280</f>
        <v>-4</v>
      </c>
      <c r="B280">
        <f>DEGREES(ATAN(-SIN(RADIANS(('R1'!I280)))/(COS(RADIANS(Sheet1!A280))*COS(RADIANS('R1'!I280)))))</f>
        <v>36.066475262469574</v>
      </c>
      <c r="C280">
        <f>AVERAGE('R1'!J280,'R2'!J280,'R3'!J280)</f>
        <v>1.1766666666666665</v>
      </c>
      <c r="D280">
        <f>AVERAGE('R1'!K280,'R2'!K280,'R3'!K280)</f>
        <v>20.937245416666666</v>
      </c>
      <c r="E280">
        <f>AVERAGE('R1'!L280,'R2'!L280,'R3'!L280)</f>
        <v>2.4599251655031522</v>
      </c>
      <c r="F280">
        <f>AVERAGE('R1'!M280,'R2'!M280,'R3'!M280)</f>
        <v>0.31223063769999998</v>
      </c>
      <c r="G280">
        <f>AVERAGE('R1'!N280,'R2'!N280,'R3'!N280)</f>
        <v>-1.0145939831392174</v>
      </c>
      <c r="H280">
        <f>AVERAGE('R1'!O280,'R2'!O280,'R3'!O280)</f>
        <v>-0.54992672149947242</v>
      </c>
      <c r="I280">
        <f t="shared" si="8"/>
        <v>4106.0264622685172</v>
      </c>
      <c r="K280">
        <f>_xlfn.STDEV.S('R1'!L280,'R2'!L280,'R3'!L280)</f>
        <v>8.4244857356461592E-3</v>
      </c>
      <c r="L280">
        <f>_xlfn.STDEV.S('R1'!M280,'R2'!M280,'R3'!M280)</f>
        <v>1.4369701028631715E-2</v>
      </c>
      <c r="M280">
        <f>_xlfn.STDEV.S('R1'!N280,'R2'!N280,'R3'!N280)</f>
        <v>1.8096814684206153E-3</v>
      </c>
      <c r="N280">
        <f>_xlfn.STDEV.S('R1'!O280,'R2'!O280,'R3'!O280)</f>
        <v>7.9173291380130652E-3</v>
      </c>
    </row>
    <row r="281" spans="1:14" x14ac:dyDescent="0.25">
      <c r="A281">
        <f>-'R1'!H281</f>
        <v>-4</v>
      </c>
      <c r="B281">
        <f>DEGREES(ATAN(-SIN(RADIANS(('R1'!I281)))/(COS(RADIANS(Sheet1!A281))*COS(RADIANS('R1'!I281)))))</f>
        <v>32.062832231023428</v>
      </c>
      <c r="C281">
        <f>AVERAGE('R1'!J281,'R2'!J281,'R3'!J281)</f>
        <v>1.1766666666666665</v>
      </c>
      <c r="D281">
        <f>AVERAGE('R1'!K281,'R2'!K281,'R3'!K281)</f>
        <v>20.745898666666665</v>
      </c>
      <c r="E281">
        <f>AVERAGE('R1'!L281,'R2'!L281,'R3'!L281)</f>
        <v>2.1348061424214841</v>
      </c>
      <c r="F281">
        <f>AVERAGE('R1'!M281,'R2'!M281,'R3'!M281)</f>
        <v>0.28166185175836578</v>
      </c>
      <c r="G281">
        <f>AVERAGE('R1'!N281,'R2'!N281,'R3'!N281)</f>
        <v>-0.74181591459847473</v>
      </c>
      <c r="H281">
        <f>AVERAGE('R1'!O281,'R2'!O281,'R3'!O281)</f>
        <v>-0.32545201944345775</v>
      </c>
      <c r="I281">
        <f t="shared" si="8"/>
        <v>4068.5012385185178</v>
      </c>
      <c r="K281">
        <f>_xlfn.STDEV.S('R1'!L281,'R2'!L281,'R3'!L281)</f>
        <v>8.8863398092014437E-3</v>
      </c>
      <c r="L281">
        <f>_xlfn.STDEV.S('R1'!M281,'R2'!M281,'R3'!M281)</f>
        <v>6.1041365614770355E-3</v>
      </c>
      <c r="M281">
        <f>_xlfn.STDEV.S('R1'!N281,'R2'!N281,'R3'!N281)</f>
        <v>6.3066630689215687E-3</v>
      </c>
      <c r="N281">
        <f>_xlfn.STDEV.S('R1'!O281,'R2'!O281,'R3'!O281)</f>
        <v>1.052513137140788E-2</v>
      </c>
    </row>
    <row r="282" spans="1:14" x14ac:dyDescent="0.25">
      <c r="A282">
        <f>-'R1'!H282</f>
        <v>-4</v>
      </c>
      <c r="B282">
        <f>DEGREES(ATAN(-SIN(RADIANS(('R1'!I282)))/(COS(RADIANS(Sheet1!A282))*COS(RADIANS('R1'!I282)))))</f>
        <v>28.057964295258</v>
      </c>
      <c r="C282">
        <f>AVERAGE('R1'!J282,'R2'!J282,'R3'!J282)</f>
        <v>1.1766666666666665</v>
      </c>
      <c r="D282">
        <f>AVERAGE('R1'!K282,'R2'!K282,'R3'!K282)</f>
        <v>20.583207416666667</v>
      </c>
      <c r="E282">
        <f>AVERAGE('R1'!L282,'R2'!L282,'R3'!L282)</f>
        <v>1.8611075969477389</v>
      </c>
      <c r="F282">
        <f>AVERAGE('R1'!M282,'R2'!M282,'R3'!M282)</f>
        <v>0.2623600309707062</v>
      </c>
      <c r="G282">
        <f>AVERAGE('R1'!N282,'R2'!N282,'R3'!N282)</f>
        <v>-0.53169511387736412</v>
      </c>
      <c r="H282">
        <f>AVERAGE('R1'!O282,'R2'!O282,'R3'!O282)</f>
        <v>-0.1232052281319701</v>
      </c>
      <c r="I282">
        <f t="shared" si="8"/>
        <v>4036.5956767129628</v>
      </c>
      <c r="K282">
        <f>_xlfn.STDEV.S('R1'!L282,'R2'!L282,'R3'!L282)</f>
        <v>7.2659860896532643E-3</v>
      </c>
      <c r="L282">
        <f>_xlfn.STDEV.S('R1'!M282,'R2'!M282,'R3'!M282)</f>
        <v>1.286072613856813E-2</v>
      </c>
      <c r="M282">
        <f>_xlfn.STDEV.S('R1'!N282,'R2'!N282,'R3'!N282)</f>
        <v>7.4213024257535863E-3</v>
      </c>
      <c r="N282">
        <f>_xlfn.STDEV.S('R1'!O282,'R2'!O282,'R3'!O282)</f>
        <v>1.060447146850171E-2</v>
      </c>
    </row>
    <row r="283" spans="1:14" x14ac:dyDescent="0.25">
      <c r="A283">
        <f>-'R1'!H283</f>
        <v>-4</v>
      </c>
      <c r="B283">
        <f>DEGREES(ATAN(-SIN(RADIANS(('R1'!I283)))/(COS(RADIANS(Sheet1!A283))*COS(RADIANS('R1'!I283)))))</f>
        <v>24.051965857834489</v>
      </c>
      <c r="C283">
        <f>AVERAGE('R1'!J283,'R2'!J283,'R3'!J283)</f>
        <v>1.1766666666666665</v>
      </c>
      <c r="D283">
        <f>AVERAGE('R1'!K283,'R2'!K283,'R3'!K283)</f>
        <v>20.412740416666669</v>
      </c>
      <c r="E283">
        <f>AVERAGE('R1'!L283,'R2'!L283,'R3'!L283)</f>
        <v>1.6178329760077084</v>
      </c>
      <c r="F283">
        <f>AVERAGE('R1'!M283,'R2'!M283,'R3'!M283)</f>
        <v>0.24363089224149678</v>
      </c>
      <c r="G283">
        <f>AVERAGE('R1'!N283,'R2'!N283,'R3'!N283)</f>
        <v>-0.35931871303797019</v>
      </c>
      <c r="H283">
        <f>AVERAGE('R1'!O283,'R2'!O283,'R3'!O283)</f>
        <v>5.5041527583279758E-2</v>
      </c>
      <c r="I283">
        <f t="shared" si="8"/>
        <v>4003.1652039351848</v>
      </c>
      <c r="K283">
        <f>_xlfn.STDEV.S('R1'!L283,'R2'!L283,'R3'!L283)</f>
        <v>5.3461002677691006E-3</v>
      </c>
      <c r="L283">
        <f>_xlfn.STDEV.S('R1'!M283,'R2'!M283,'R3'!M283)</f>
        <v>9.122506660445652E-3</v>
      </c>
      <c r="M283">
        <f>_xlfn.STDEV.S('R1'!N283,'R2'!N283,'R3'!N283)</f>
        <v>6.8092549459907803E-3</v>
      </c>
      <c r="N283">
        <f>_xlfn.STDEV.S('R1'!O283,'R2'!O283,'R3'!O283)</f>
        <v>8.6913151419683692E-3</v>
      </c>
    </row>
    <row r="284" spans="1:14" x14ac:dyDescent="0.25">
      <c r="A284">
        <f>-'R1'!H284</f>
        <v>-4</v>
      </c>
      <c r="B284">
        <f>DEGREES(ATAN(-SIN(RADIANS(('R1'!I284)))/(COS(RADIANS(Sheet1!A284))*COS(RADIANS('R1'!I284)))))</f>
        <v>20.044953503068641</v>
      </c>
      <c r="C284">
        <f>AVERAGE('R1'!J284,'R2'!J284,'R3'!J284)</f>
        <v>1.1766666666666665</v>
      </c>
      <c r="D284">
        <f>AVERAGE('R1'!K284,'R2'!K284,'R3'!K284)</f>
        <v>20.321558666666665</v>
      </c>
      <c r="E284">
        <f>AVERAGE('R1'!L284,'R2'!L284,'R3'!L284)</f>
        <v>1.4012665724903182</v>
      </c>
      <c r="F284">
        <f>AVERAGE('R1'!M284,'R2'!M284,'R3'!M284)</f>
        <v>0.22984077342900644</v>
      </c>
      <c r="G284">
        <f>AVERAGE('R1'!N284,'R2'!N284,'R3'!N284)</f>
        <v>-0.23315567288507724</v>
      </c>
      <c r="H284">
        <f>AVERAGE('R1'!O284,'R2'!O284,'R3'!O284)</f>
        <v>0.21789086669028959</v>
      </c>
      <c r="I284">
        <f t="shared" si="8"/>
        <v>3985.2834496296291</v>
      </c>
      <c r="K284">
        <f>_xlfn.STDEV.S('R1'!L284,'R2'!L284,'R3'!L284)</f>
        <v>3.07156044925606E-3</v>
      </c>
      <c r="L284">
        <f>_xlfn.STDEV.S('R1'!M284,'R2'!M284,'R3'!M284)</f>
        <v>9.7360816711952389E-3</v>
      </c>
      <c r="M284">
        <f>_xlfn.STDEV.S('R1'!N284,'R2'!N284,'R3'!N284)</f>
        <v>5.5464769783101523E-3</v>
      </c>
      <c r="N284">
        <f>_xlfn.STDEV.S('R1'!O284,'R2'!O284,'R3'!O284)</f>
        <v>4.8444474275732424E-3</v>
      </c>
    </row>
    <row r="285" spans="1:14" x14ac:dyDescent="0.25">
      <c r="A285">
        <f>-'R1'!H285</f>
        <v>-4</v>
      </c>
      <c r="B285">
        <f>DEGREES(ATAN(-SIN(RADIANS(('R1'!I285)))/(COS(RADIANS(Sheet1!A285))*COS(RADIANS('R1'!I285)))))</f>
        <v>16.037063740993869</v>
      </c>
      <c r="C285">
        <f>AVERAGE('R1'!J285,'R2'!J285,'R3'!J285)</f>
        <v>1.1766666666666665</v>
      </c>
      <c r="D285">
        <f>AVERAGE('R1'!K285,'R2'!K285,'R3'!K285)</f>
        <v>20.179717833333331</v>
      </c>
      <c r="E285">
        <f>AVERAGE('R1'!L285,'R2'!L285,'R3'!L285)</f>
        <v>1.176964479261881</v>
      </c>
      <c r="F285">
        <f>AVERAGE('R1'!M285,'R2'!M285,'R3'!M285)</f>
        <v>0.23104244026033113</v>
      </c>
      <c r="G285">
        <f>AVERAGE('R1'!N285,'R2'!N285,'R3'!N285)</f>
        <v>-0.13638710385319347</v>
      </c>
      <c r="H285">
        <f>AVERAGE('R1'!O285,'R2'!O285,'R3'!O285)</f>
        <v>0.38700732874170418</v>
      </c>
      <c r="I285">
        <f t="shared" si="8"/>
        <v>3957.4668862037029</v>
      </c>
      <c r="K285">
        <f>_xlfn.STDEV.S('R1'!L285,'R2'!L285,'R3'!L285)</f>
        <v>4.3540559935203059E-3</v>
      </c>
      <c r="L285">
        <f>_xlfn.STDEV.S('R1'!M285,'R2'!M285,'R3'!M285)</f>
        <v>6.9773629086681103E-3</v>
      </c>
      <c r="M285">
        <f>_xlfn.STDEV.S('R1'!N285,'R2'!N285,'R3'!N285)</f>
        <v>3.8064899897935667E-3</v>
      </c>
      <c r="N285">
        <f>_xlfn.STDEV.S('R1'!O285,'R2'!O285,'R3'!O285)</f>
        <v>7.9627885931162264E-3</v>
      </c>
    </row>
    <row r="286" spans="1:14" x14ac:dyDescent="0.25">
      <c r="A286">
        <f>-'R1'!H286</f>
        <v>-4</v>
      </c>
      <c r="B286">
        <f>DEGREES(ATAN(-SIN(RADIANS(('R1'!I286)))/(COS(RADIANS(Sheet1!A286))*COS(RADIANS('R1'!I286)))))</f>
        <v>12.028450348745874</v>
      </c>
      <c r="C286">
        <f>AVERAGE('R1'!J286,'R2'!J286,'R3'!J286)</f>
        <v>1.1766666666666665</v>
      </c>
      <c r="D286">
        <f>AVERAGE('R1'!K286,'R2'!K286,'R3'!K286)</f>
        <v>20.405284833333329</v>
      </c>
      <c r="E286">
        <f>AVERAGE('R1'!L286,'R2'!L286,'R3'!L286)</f>
        <v>0.94023488013004819</v>
      </c>
      <c r="F286">
        <f>AVERAGE('R1'!M286,'R2'!M286,'R3'!M286)</f>
        <v>0.25324315520230151</v>
      </c>
      <c r="G286">
        <f>AVERAGE('R1'!N286,'R2'!N286,'R3'!N286)</f>
        <v>-7.2469843707813772E-2</v>
      </c>
      <c r="H286">
        <f>AVERAGE('R1'!O286,'R2'!O286,'R3'!O286)</f>
        <v>0.57085520130320122</v>
      </c>
      <c r="I286">
        <f t="shared" si="8"/>
        <v>4001.7030812037024</v>
      </c>
      <c r="K286">
        <f>_xlfn.STDEV.S('R1'!L286,'R2'!L286,'R3'!L286)</f>
        <v>9.0829855922472322E-3</v>
      </c>
      <c r="L286">
        <f>_xlfn.STDEV.S('R1'!M286,'R2'!M286,'R3'!M286)</f>
        <v>7.7309370531526526E-3</v>
      </c>
      <c r="M286">
        <f>_xlfn.STDEV.S('R1'!N286,'R2'!N286,'R3'!N286)</f>
        <v>4.7928650723118296E-3</v>
      </c>
      <c r="N286">
        <f>_xlfn.STDEV.S('R1'!O286,'R2'!O286,'R3'!O286)</f>
        <v>1.0089663191576319E-2</v>
      </c>
    </row>
    <row r="287" spans="1:14" x14ac:dyDescent="0.25">
      <c r="A287">
        <f>-'R1'!H287</f>
        <v>-4</v>
      </c>
      <c r="B287">
        <f>DEGREES(ATAN(-SIN(RADIANS(('R1'!I287)))/(COS(RADIANS(Sheet1!A287))*COS(RADIANS('R1'!I287)))))</f>
        <v>8.0192813611150822</v>
      </c>
      <c r="C287">
        <f>AVERAGE('R1'!J287,'R2'!J287,'R3'!J287)</f>
        <v>1.1766666666666665</v>
      </c>
      <c r="D287">
        <f>AVERAGE('R1'!K287,'R2'!K287,'R3'!K287)</f>
        <v>20.783867583333333</v>
      </c>
      <c r="E287">
        <f>AVERAGE('R1'!L287,'R2'!L287,'R3'!L287)</f>
        <v>0.65745341621595299</v>
      </c>
      <c r="F287">
        <f>AVERAGE('R1'!M287,'R2'!M287,'R3'!M287)</f>
        <v>0.29948944321198523</v>
      </c>
      <c r="G287">
        <f>AVERAGE('R1'!N287,'R2'!N287,'R3'!N287)</f>
        <v>-3.1880569474972413E-2</v>
      </c>
      <c r="H287">
        <f>AVERAGE('R1'!O287,'R2'!O287,'R3'!O287)</f>
        <v>0.76128050095154753</v>
      </c>
      <c r="I287">
        <f t="shared" si="8"/>
        <v>4075.9473649537031</v>
      </c>
      <c r="K287">
        <f>_xlfn.STDEV.S('R1'!L287,'R2'!L287,'R3'!L287)</f>
        <v>6.8631320715925809E-3</v>
      </c>
      <c r="L287">
        <f>_xlfn.STDEV.S('R1'!M287,'R2'!M287,'R3'!M287)</f>
        <v>1.1297672343643428E-2</v>
      </c>
      <c r="M287">
        <f>_xlfn.STDEV.S('R1'!N287,'R2'!N287,'R3'!N287)</f>
        <v>1.3573720790348478E-3</v>
      </c>
      <c r="N287">
        <f>_xlfn.STDEV.S('R1'!O287,'R2'!O287,'R3'!O287)</f>
        <v>1.1170014825104964E-2</v>
      </c>
    </row>
    <row r="288" spans="1:14" x14ac:dyDescent="0.25">
      <c r="A288">
        <f>-'R1'!H288</f>
        <v>-4</v>
      </c>
      <c r="B288">
        <f>DEGREES(ATAN(-SIN(RADIANS(('R1'!I288)))/(COS(RADIANS(Sheet1!A288))*COS(RADIANS('R1'!I288)))))</f>
        <v>4.0097357700975991</v>
      </c>
      <c r="C288">
        <f>AVERAGE('R1'!J288,'R2'!J288,'R3'!J288)</f>
        <v>1.1766666666666665</v>
      </c>
      <c r="D288">
        <f>AVERAGE('R1'!K288,'R2'!K288,'R3'!K288)</f>
        <v>20.681240500000001</v>
      </c>
      <c r="E288">
        <f>AVERAGE('R1'!L288,'R2'!L288,'R3'!L288)</f>
        <v>0.3489252518505907</v>
      </c>
      <c r="F288">
        <f>AVERAGE('R1'!M288,'R2'!M288,'R3'!M288)</f>
        <v>0.33649935009123527</v>
      </c>
      <c r="G288">
        <f>AVERAGE('R1'!N288,'R2'!N288,'R3'!N288)</f>
        <v>-1.0675222582796831E-2</v>
      </c>
      <c r="H288">
        <f>AVERAGE('R1'!O288,'R2'!O288,'R3'!O288)</f>
        <v>0.94685523012351647</v>
      </c>
      <c r="I288">
        <f t="shared" si="8"/>
        <v>4055.8210536111105</v>
      </c>
      <c r="K288">
        <f>_xlfn.STDEV.S('R1'!L288,'R2'!L288,'R3'!L288)</f>
        <v>4.0493938519092117E-3</v>
      </c>
      <c r="L288">
        <f>_xlfn.STDEV.S('R1'!M288,'R2'!M288,'R3'!M288)</f>
        <v>1.460955571695541E-2</v>
      </c>
      <c r="M288">
        <f>_xlfn.STDEV.S('R1'!N288,'R2'!N288,'R3'!N288)</f>
        <v>5.0319005211830851E-3</v>
      </c>
      <c r="N288">
        <f>_xlfn.STDEV.S('R1'!O288,'R2'!O288,'R3'!O288)</f>
        <v>1.1437717030539248E-2</v>
      </c>
    </row>
    <row r="289" spans="1:14" x14ac:dyDescent="0.25">
      <c r="A289">
        <f>-'R1'!H289</f>
        <v>-4</v>
      </c>
      <c r="B289">
        <f>DEGREES(ATAN(-SIN(RADIANS(('R1'!I289)))/(COS(RADIANS(Sheet1!A289))*COS(RADIANS('R1'!I289)))))</f>
        <v>0</v>
      </c>
      <c r="C289">
        <f>AVERAGE('R1'!J289,'R2'!J289,'R3'!J289)</f>
        <v>1.1766666666666665</v>
      </c>
      <c r="D289">
        <f>AVERAGE('R1'!K289,'R2'!K289,'R3'!K289)</f>
        <v>20.461510833333335</v>
      </c>
      <c r="E289">
        <f>AVERAGE('R1'!L289,'R2'!L289,'R3'!L289)</f>
        <v>-1.7068950852297714E-2</v>
      </c>
      <c r="F289">
        <f>AVERAGE('R1'!M289,'R2'!M289,'R3'!M289)</f>
        <v>0.37868366550392274</v>
      </c>
      <c r="G289">
        <f>AVERAGE('R1'!N289,'R2'!N289,'R3'!N289)</f>
        <v>-3.9239483597533686E-3</v>
      </c>
      <c r="H289">
        <f>AVERAGE('R1'!O289,'R2'!O289,'R3'!O289)</f>
        <v>1.1197220805321624</v>
      </c>
      <c r="I289">
        <f t="shared" si="8"/>
        <v>4012.7296245370367</v>
      </c>
      <c r="K289">
        <f>_xlfn.STDEV.S('R1'!L289,'R2'!L289,'R3'!L289)</f>
        <v>1.174147914692667E-2</v>
      </c>
      <c r="L289">
        <f>_xlfn.STDEV.S('R1'!M289,'R2'!M289,'R3'!M289)</f>
        <v>2.4861760945285468E-2</v>
      </c>
      <c r="M289">
        <f>_xlfn.STDEV.S('R1'!N289,'R2'!N289,'R3'!N289)</f>
        <v>1.2798764868287293E-3</v>
      </c>
      <c r="N289">
        <f>_xlfn.STDEV.S('R1'!O289,'R2'!O289,'R3'!O289)</f>
        <v>1.2714404299810972E-2</v>
      </c>
    </row>
    <row r="290" spans="1:14" x14ac:dyDescent="0.25">
      <c r="A290">
        <f>-'R1'!H290</f>
        <v>-4</v>
      </c>
      <c r="B290">
        <f>DEGREES(ATAN(-SIN(RADIANS(('R1'!I290)))/(COS(RADIANS(Sheet1!A290))*COS(RADIANS('R1'!I290)))))</f>
        <v>-4.0097357700975991</v>
      </c>
      <c r="C290">
        <f>AVERAGE('R1'!J290,'R2'!J290,'R3'!J290)</f>
        <v>1.1766666666666665</v>
      </c>
      <c r="D290">
        <f>AVERAGE('R1'!K290,'R2'!K290,'R3'!K290)</f>
        <v>20.298995333333334</v>
      </c>
      <c r="E290">
        <f>AVERAGE('R1'!L290,'R2'!L290,'R3'!L290)</f>
        <v>-0.37240457311148911</v>
      </c>
      <c r="F290">
        <f>AVERAGE('R1'!M290,'R2'!M290,'R3'!M290)</f>
        <v>0.33734903226987373</v>
      </c>
      <c r="G290">
        <f>AVERAGE('R1'!N290,'R2'!N290,'R3'!N290)</f>
        <v>-1.1077227286079251E-2</v>
      </c>
      <c r="H290">
        <f>AVERAGE('R1'!O290,'R2'!O290,'R3'!O290)</f>
        <v>0.9227115034048271</v>
      </c>
      <c r="I290">
        <f t="shared" si="8"/>
        <v>3980.8585292592588</v>
      </c>
      <c r="K290">
        <f>_xlfn.STDEV.S('R1'!L290,'R2'!L290,'R3'!L290)</f>
        <v>1.4111933271867336E-2</v>
      </c>
      <c r="L290">
        <f>_xlfn.STDEV.S('R1'!M290,'R2'!M290,'R3'!M290)</f>
        <v>1.8820979177324504E-2</v>
      </c>
      <c r="M290">
        <f>_xlfn.STDEV.S('R1'!N290,'R2'!N290,'R3'!N290)</f>
        <v>7.3394289280967117E-3</v>
      </c>
      <c r="N290">
        <f>_xlfn.STDEV.S('R1'!O290,'R2'!O290,'R3'!O290)</f>
        <v>5.9753067384928022E-3</v>
      </c>
    </row>
    <row r="291" spans="1:14" x14ac:dyDescent="0.25">
      <c r="A291">
        <f>-'R1'!H291</f>
        <v>-4</v>
      </c>
      <c r="B291">
        <f>DEGREES(ATAN(-SIN(RADIANS(('R1'!I291)))/(COS(RADIANS(Sheet1!A291))*COS(RADIANS('R1'!I291)))))</f>
        <v>-8.0192813611150822</v>
      </c>
      <c r="C291">
        <f>AVERAGE('R1'!J291,'R2'!J291,'R3'!J291)</f>
        <v>1.1766666666666665</v>
      </c>
      <c r="D291">
        <f>AVERAGE('R1'!K291,'R2'!K291,'R3'!K291)</f>
        <v>20.134590500000002</v>
      </c>
      <c r="E291">
        <f>AVERAGE('R1'!L291,'R2'!L291,'R3'!L291)</f>
        <v>-0.6743160167732114</v>
      </c>
      <c r="F291">
        <f>AVERAGE('R1'!M291,'R2'!M291,'R3'!M291)</f>
        <v>0.29288123468782695</v>
      </c>
      <c r="G291">
        <f>AVERAGE('R1'!N291,'R2'!N291,'R3'!N291)</f>
        <v>-2.7733767354753244E-2</v>
      </c>
      <c r="H291">
        <f>AVERAGE('R1'!O291,'R2'!O291,'R3'!O291)</f>
        <v>0.73422943821091391</v>
      </c>
      <c r="I291">
        <f t="shared" si="8"/>
        <v>3948.6169147222217</v>
      </c>
      <c r="K291">
        <f>_xlfn.STDEV.S('R1'!L291,'R2'!L291,'R3'!L291)</f>
        <v>7.1636611288804853E-3</v>
      </c>
      <c r="L291">
        <f>_xlfn.STDEV.S('R1'!M291,'R2'!M291,'R3'!M291)</f>
        <v>1.7409607362734964E-2</v>
      </c>
      <c r="M291">
        <f>_xlfn.STDEV.S('R1'!N291,'R2'!N291,'R3'!N291)</f>
        <v>4.8569914742712782E-3</v>
      </c>
      <c r="N291">
        <f>_xlfn.STDEV.S('R1'!O291,'R2'!O291,'R3'!O291)</f>
        <v>2.7149076923970875E-3</v>
      </c>
    </row>
    <row r="292" spans="1:14" x14ac:dyDescent="0.25">
      <c r="A292">
        <f>-'R1'!H292</f>
        <v>-4</v>
      </c>
      <c r="B292">
        <f>DEGREES(ATAN(-SIN(RADIANS(('R1'!I292)))/(COS(RADIANS(Sheet1!A292))*COS(RADIANS('R1'!I292)))))</f>
        <v>-12.028450348745874</v>
      </c>
      <c r="C292">
        <f>AVERAGE('R1'!J292,'R2'!J292,'R3'!J292)</f>
        <v>1.1766666666666665</v>
      </c>
      <c r="D292">
        <f>AVERAGE('R1'!K292,'R2'!K292,'R3'!K292)</f>
        <v>20.080288749999998</v>
      </c>
      <c r="E292">
        <f>AVERAGE('R1'!L292,'R2'!L292,'R3'!L292)</f>
        <v>-0.9361893111496018</v>
      </c>
      <c r="F292">
        <f>AVERAGE('R1'!M292,'R2'!M292,'R3'!M292)</f>
        <v>0.26850789113412526</v>
      </c>
      <c r="G292">
        <f>AVERAGE('R1'!N292,'R2'!N292,'R3'!N292)</f>
        <v>-7.1865284002104166E-2</v>
      </c>
      <c r="H292">
        <f>AVERAGE('R1'!O292,'R2'!O292,'R3'!O292)</f>
        <v>0.56065024648266415</v>
      </c>
      <c r="I292">
        <f t="shared" si="8"/>
        <v>3937.9677381944434</v>
      </c>
      <c r="K292">
        <f>_xlfn.STDEV.S('R1'!L292,'R2'!L292,'R3'!L292)</f>
        <v>1.1747694430717815E-2</v>
      </c>
      <c r="L292">
        <f>_xlfn.STDEV.S('R1'!M292,'R2'!M292,'R3'!M292)</f>
        <v>1.4965199206356757E-2</v>
      </c>
      <c r="M292">
        <f>_xlfn.STDEV.S('R1'!N292,'R2'!N292,'R3'!N292)</f>
        <v>3.984027028367137E-3</v>
      </c>
      <c r="N292">
        <f>_xlfn.STDEV.S('R1'!O292,'R2'!O292,'R3'!O292)</f>
        <v>6.9808368523918089E-4</v>
      </c>
    </row>
    <row r="293" spans="1:14" x14ac:dyDescent="0.25">
      <c r="A293">
        <f>-'R1'!H293</f>
        <v>-4</v>
      </c>
      <c r="B293">
        <f>DEGREES(ATAN(-SIN(RADIANS(('R1'!I293)))/(COS(RADIANS(Sheet1!A293))*COS(RADIANS('R1'!I293)))))</f>
        <v>-16.037063740993869</v>
      </c>
      <c r="C293">
        <f>AVERAGE('R1'!J293,'R2'!J293,'R3'!J293)</f>
        <v>1.1766666666666665</v>
      </c>
      <c r="D293">
        <f>AVERAGE('R1'!K293,'R2'!K293,'R3'!K293)</f>
        <v>20.426542583333333</v>
      </c>
      <c r="E293">
        <f>AVERAGE('R1'!L293,'R2'!L293,'R3'!L293)</f>
        <v>-1.183530466974978</v>
      </c>
      <c r="F293">
        <f>AVERAGE('R1'!M293,'R2'!M293,'R3'!M293)</f>
        <v>0.26158253013783833</v>
      </c>
      <c r="G293">
        <f>AVERAGE('R1'!N293,'R2'!N293,'R3'!N293)</f>
        <v>-0.15464446613644994</v>
      </c>
      <c r="H293">
        <f>AVERAGE('R1'!O293,'R2'!O293,'R3'!O293)</f>
        <v>0.39477563369345425</v>
      </c>
      <c r="I293">
        <f t="shared" si="8"/>
        <v>4005.8719621759255</v>
      </c>
      <c r="K293">
        <f>_xlfn.STDEV.S('R1'!L293,'R2'!L293,'R3'!L293)</f>
        <v>1.2496232525256929E-2</v>
      </c>
      <c r="L293">
        <f>_xlfn.STDEV.S('R1'!M293,'R2'!M293,'R3'!M293)</f>
        <v>1.5526098325606691E-2</v>
      </c>
      <c r="M293">
        <f>_xlfn.STDEV.S('R1'!N293,'R2'!N293,'R3'!N293)</f>
        <v>6.1993010382481112E-3</v>
      </c>
      <c r="N293">
        <f>_xlfn.STDEV.S('R1'!O293,'R2'!O293,'R3'!O293)</f>
        <v>3.4300992935729271E-3</v>
      </c>
    </row>
    <row r="294" spans="1:14" x14ac:dyDescent="0.25">
      <c r="A294">
        <f>-'R1'!H294</f>
        <v>-4</v>
      </c>
      <c r="B294">
        <f>DEGREES(ATAN(-SIN(RADIANS(('R1'!I294)))/(COS(RADIANS(Sheet1!A294))*COS(RADIANS('R1'!I294)))))</f>
        <v>-20.044953503068641</v>
      </c>
      <c r="C294">
        <f>AVERAGE('R1'!J294,'R2'!J294,'R3'!J294)</f>
        <v>1.1766666666666665</v>
      </c>
      <c r="D294">
        <f>AVERAGE('R1'!K294,'R2'!K294,'R3'!K294)</f>
        <v>20.707927333333334</v>
      </c>
      <c r="E294">
        <f>AVERAGE('R1'!L294,'R2'!L294,'R3'!L294)</f>
        <v>-1.4266649382611105</v>
      </c>
      <c r="F294">
        <f>AVERAGE('R1'!M294,'R2'!M294,'R3'!M294)</f>
        <v>0.27118011228646322</v>
      </c>
      <c r="G294">
        <f>AVERAGE('R1'!N294,'R2'!N294,'R3'!N294)</f>
        <v>-0.27427419625078198</v>
      </c>
      <c r="H294">
        <f>AVERAGE('R1'!O294,'R2'!O294,'R3'!O294)</f>
        <v>0.22534747068653913</v>
      </c>
      <c r="I294">
        <f t="shared" si="8"/>
        <v>4061.0546381481481</v>
      </c>
      <c r="K294">
        <f>_xlfn.STDEV.S('R1'!L294,'R2'!L294,'R3'!L294)</f>
        <v>1.2442815041645435E-2</v>
      </c>
      <c r="L294">
        <f>_xlfn.STDEV.S('R1'!M294,'R2'!M294,'R3'!M294)</f>
        <v>1.0240069585003432E-2</v>
      </c>
      <c r="M294">
        <f>_xlfn.STDEV.S('R1'!N294,'R2'!N294,'R3'!N294)</f>
        <v>5.4783830177473052E-3</v>
      </c>
      <c r="N294">
        <f>_xlfn.STDEV.S('R1'!O294,'R2'!O294,'R3'!O294)</f>
        <v>5.595634237107263E-3</v>
      </c>
    </row>
    <row r="295" spans="1:14" x14ac:dyDescent="0.25">
      <c r="A295">
        <f>-'R1'!H295</f>
        <v>-4</v>
      </c>
      <c r="B295">
        <f>DEGREES(ATAN(-SIN(RADIANS(('R1'!I295)))/(COS(RADIANS(Sheet1!A295))*COS(RADIANS('R1'!I295)))))</f>
        <v>-24.051965857834489</v>
      </c>
      <c r="C295">
        <f>AVERAGE('R1'!J295,'R2'!J295,'R3'!J295)</f>
        <v>1.1766666666666665</v>
      </c>
      <c r="D295">
        <f>AVERAGE('R1'!K295,'R2'!K295,'R3'!K295)</f>
        <v>20.59832308333333</v>
      </c>
      <c r="E295">
        <f>AVERAGE('R1'!L295,'R2'!L295,'R3'!L295)</f>
        <v>-1.688081757417917</v>
      </c>
      <c r="F295">
        <f>AVERAGE('R1'!M295,'R2'!M295,'R3'!M295)</f>
        <v>0.3133717907872367</v>
      </c>
      <c r="G295">
        <f>AVERAGE('R1'!N295,'R2'!N295,'R3'!N295)</f>
        <v>-0.44704698488494854</v>
      </c>
      <c r="H295">
        <f>AVERAGE('R1'!O295,'R2'!O295,'R3'!O295)</f>
        <v>5.4441861457177589E-2</v>
      </c>
      <c r="I295">
        <f t="shared" si="8"/>
        <v>4039.560026898147</v>
      </c>
      <c r="K295">
        <f>_xlfn.STDEV.S('R1'!L295,'R2'!L295,'R3'!L295)</f>
        <v>1.2971392354932311E-2</v>
      </c>
      <c r="L295">
        <f>_xlfn.STDEV.S('R1'!M295,'R2'!M295,'R3'!M295)</f>
        <v>1.2841416814019199E-2</v>
      </c>
      <c r="M295">
        <f>_xlfn.STDEV.S('R1'!N295,'R2'!N295,'R3'!N295)</f>
        <v>8.9382408970325681E-3</v>
      </c>
      <c r="N295">
        <f>_xlfn.STDEV.S('R1'!O295,'R2'!O295,'R3'!O295)</f>
        <v>7.2120133935540225E-3</v>
      </c>
    </row>
    <row r="296" spans="1:14" x14ac:dyDescent="0.25">
      <c r="A296">
        <f>-'R1'!H296</f>
        <v>-4</v>
      </c>
      <c r="B296">
        <f>DEGREES(ATAN(-SIN(RADIANS(('R1'!I296)))/(COS(RADIANS(Sheet1!A296))*COS(RADIANS('R1'!I296)))))</f>
        <v>-28.057964295258</v>
      </c>
      <c r="C296">
        <f>AVERAGE('R1'!J296,'R2'!J296,'R3'!J296)</f>
        <v>1.1766666666666665</v>
      </c>
      <c r="D296">
        <f>AVERAGE('R1'!K296,'R2'!K296,'R3'!K296)</f>
        <v>20.774395666666667</v>
      </c>
      <c r="E296">
        <f>AVERAGE('R1'!L296,'R2'!L296,'R3'!L296)</f>
        <v>-1.9610884356330078</v>
      </c>
      <c r="F296">
        <f>AVERAGE('R1'!M296,'R2'!M296,'R3'!M296)</f>
        <v>0.39158377331849192</v>
      </c>
      <c r="G296">
        <f>AVERAGE('R1'!N296,'R2'!N296,'R3'!N296)</f>
        <v>-0.66120619538944714</v>
      </c>
      <c r="H296">
        <f>AVERAGE('R1'!O296,'R2'!O296,'R3'!O296)</f>
        <v>-0.13702552716357133</v>
      </c>
      <c r="I296">
        <f t="shared" si="8"/>
        <v>4074.0898168518515</v>
      </c>
      <c r="K296">
        <f>_xlfn.STDEV.S('R1'!L296,'R2'!L296,'R3'!L296)</f>
        <v>8.568322671977914E-3</v>
      </c>
      <c r="L296">
        <f>_xlfn.STDEV.S('R1'!M296,'R2'!M296,'R3'!M296)</f>
        <v>3.6694367465430482E-3</v>
      </c>
      <c r="M296">
        <f>_xlfn.STDEV.S('R1'!N296,'R2'!N296,'R3'!N296)</f>
        <v>3.3295370671629202E-3</v>
      </c>
      <c r="N296">
        <f>_xlfn.STDEV.S('R1'!O296,'R2'!O296,'R3'!O296)</f>
        <v>3.5701867557402268E-3</v>
      </c>
    </row>
    <row r="297" spans="1:14" x14ac:dyDescent="0.25">
      <c r="A297">
        <f>-'R1'!H297</f>
        <v>-4</v>
      </c>
      <c r="B297">
        <f>DEGREES(ATAN(-SIN(RADIANS(('R1'!I297)))/(COS(RADIANS(Sheet1!A297))*COS(RADIANS('R1'!I297)))))</f>
        <v>-32.062832231023428</v>
      </c>
      <c r="C297">
        <f>AVERAGE('R1'!J297,'R2'!J297,'R3'!J297)</f>
        <v>1.1766666666666665</v>
      </c>
      <c r="D297">
        <f>AVERAGE('R1'!K297,'R2'!K297,'R3'!K297)</f>
        <v>21.029169833333331</v>
      </c>
      <c r="E297">
        <f>AVERAGE('R1'!L297,'R2'!L297,'R3'!L297)</f>
        <v>-2.3371883211377047</v>
      </c>
      <c r="F297">
        <f>AVERAGE('R1'!M297,'R2'!M297,'R3'!M297)</f>
        <v>0.49093892551991636</v>
      </c>
      <c r="G297">
        <f>AVERAGE('R1'!N297,'R2'!N297,'R3'!N297)</f>
        <v>-0.98065341531007533</v>
      </c>
      <c r="H297">
        <f>AVERAGE('R1'!O297,'R2'!O297,'R3'!O297)</f>
        <v>-0.37374139198425871</v>
      </c>
      <c r="I297">
        <f t="shared" si="8"/>
        <v>4124.0538617592583</v>
      </c>
      <c r="K297">
        <f>_xlfn.STDEV.S('R1'!L297,'R2'!L297,'R3'!L297)</f>
        <v>1.0275498535511348E-2</v>
      </c>
      <c r="L297">
        <f>_xlfn.STDEV.S('R1'!M297,'R2'!M297,'R3'!M297)</f>
        <v>8.9686962216653544E-3</v>
      </c>
      <c r="M297">
        <f>_xlfn.STDEV.S('R1'!N297,'R2'!N297,'R3'!N297)</f>
        <v>9.2352033584102693E-3</v>
      </c>
      <c r="N297">
        <f>_xlfn.STDEV.S('R1'!O297,'R2'!O297,'R3'!O297)</f>
        <v>4.7619090645198477E-3</v>
      </c>
    </row>
    <row r="298" spans="1:14" x14ac:dyDescent="0.25">
      <c r="A298">
        <f>-'R1'!H298</f>
        <v>-4</v>
      </c>
      <c r="B298">
        <f>DEGREES(ATAN(-SIN(RADIANS(('R1'!I298)))/(COS(RADIANS(Sheet1!A298))*COS(RADIANS('R1'!I298)))))</f>
        <v>-36.066475262469574</v>
      </c>
      <c r="C298">
        <f>AVERAGE('R1'!J298,'R2'!J298,'R3'!J298)</f>
        <v>1.1766666666666665</v>
      </c>
      <c r="D298">
        <f>AVERAGE('R1'!K298,'R2'!K298,'R3'!K298)</f>
        <v>20.884993833333336</v>
      </c>
      <c r="E298">
        <f>AVERAGE('R1'!L298,'R2'!L298,'R3'!L298)</f>
        <v>-2.8583037563584952</v>
      </c>
      <c r="F298">
        <f>AVERAGE('R1'!M298,'R2'!M298,'R3'!M298)</f>
        <v>0.60536191653899285</v>
      </c>
      <c r="G298">
        <f>AVERAGE('R1'!N298,'R2'!N298,'R3'!N298)</f>
        <v>-1.4424680917036168</v>
      </c>
      <c r="H298">
        <f>AVERAGE('R1'!O298,'R2'!O298,'R3'!O298)</f>
        <v>-0.67160298725930112</v>
      </c>
      <c r="I298">
        <f t="shared" si="8"/>
        <v>4095.7793462037039</v>
      </c>
      <c r="K298">
        <f>_xlfn.STDEV.S('R1'!L298,'R2'!L298,'R3'!L298)</f>
        <v>2.1300260025911205E-2</v>
      </c>
      <c r="L298">
        <f>_xlfn.STDEV.S('R1'!M298,'R2'!M298,'R3'!M298)</f>
        <v>3.6406387756776279E-3</v>
      </c>
      <c r="M298">
        <f>_xlfn.STDEV.S('R1'!N298,'R2'!N298,'R3'!N298)</f>
        <v>1.5940813748800034E-2</v>
      </c>
      <c r="N298">
        <f>_xlfn.STDEV.S('R1'!O298,'R2'!O298,'R3'!O298)</f>
        <v>6.6754339755651518E-3</v>
      </c>
    </row>
    <row r="299" spans="1:14" x14ac:dyDescent="0.25">
      <c r="A299">
        <f>-'R1'!H299</f>
        <v>-4</v>
      </c>
      <c r="B299">
        <f>DEGREES(ATAN(-SIN(RADIANS(('R1'!I299)))/(COS(RADIANS(Sheet1!A299))*COS(RADIANS('R1'!I299)))))</f>
        <v>-40.068822978998547</v>
      </c>
      <c r="C299">
        <f>AVERAGE('R1'!J299,'R2'!J299,'R3'!J299)</f>
        <v>1.1766666666666665</v>
      </c>
      <c r="D299">
        <f>AVERAGE('R1'!K299,'R2'!K299,'R3'!K299)</f>
        <v>20.666884749999998</v>
      </c>
      <c r="E299">
        <f>AVERAGE('R1'!L299,'R2'!L299,'R3'!L299)</f>
        <v>-3.6348818959770317</v>
      </c>
      <c r="F299">
        <f>AVERAGE('R1'!M299,'R2'!M299,'R3'!M299)</f>
        <v>0.7834001581550164</v>
      </c>
      <c r="G299">
        <f>AVERAGE('R1'!N299,'R2'!N299,'R3'!N299)</f>
        <v>-2.1594421569568474</v>
      </c>
      <c r="H299">
        <f>AVERAGE('R1'!O299,'R2'!O299,'R3'!O299)</f>
        <v>-1.0849773704031254</v>
      </c>
      <c r="I299">
        <f t="shared" si="8"/>
        <v>4053.0057315277772</v>
      </c>
      <c r="K299">
        <f>_xlfn.STDEV.S('R1'!L299,'R2'!L299,'R3'!L299)</f>
        <v>3.1044959371468953E-2</v>
      </c>
      <c r="L299">
        <f>_xlfn.STDEV.S('R1'!M299,'R2'!M299,'R3'!M299)</f>
        <v>6.4785552446863463E-3</v>
      </c>
      <c r="M299">
        <f>_xlfn.STDEV.S('R1'!N299,'R2'!N299,'R3'!N299)</f>
        <v>1.8065978305045315E-2</v>
      </c>
      <c r="N299">
        <f>_xlfn.STDEV.S('R1'!O299,'R2'!O299,'R3'!O299)</f>
        <v>7.9080008920043871E-3</v>
      </c>
    </row>
    <row r="300" spans="1:14" x14ac:dyDescent="0.25">
      <c r="A300">
        <f>-'R1'!H300</f>
        <v>-4</v>
      </c>
      <c r="B300">
        <f>DEGREES(ATAN(-SIN(RADIANS(('R1'!I300)))/(COS(RADIANS(Sheet1!A300))*COS(RADIANS('R1'!I300)))))</f>
        <v>-44.069830293849904</v>
      </c>
      <c r="C300">
        <f>AVERAGE('R1'!J300,'R2'!J300,'R3'!J300)</f>
        <v>1.1766666666666665</v>
      </c>
      <c r="D300">
        <f>AVERAGE('R1'!K300,'R2'!K300,'R3'!K300)</f>
        <v>20.784273666666667</v>
      </c>
      <c r="E300">
        <f>AVERAGE('R1'!L300,'R2'!L300,'R3'!L300)</f>
        <v>-4.8982754858687203</v>
      </c>
      <c r="F300">
        <f>AVERAGE('R1'!M300,'R2'!M300,'R3'!M300)</f>
        <v>1.0632024961507256</v>
      </c>
      <c r="G300">
        <f>AVERAGE('R1'!N300,'R2'!N300,'R3'!N300)</f>
        <v>-3.3471408623583563</v>
      </c>
      <c r="H300">
        <f>AVERAGE('R1'!O300,'R2'!O300,'R3'!O300)</f>
        <v>-1.728949060571634</v>
      </c>
      <c r="I300">
        <f t="shared" si="8"/>
        <v>4076.0270024074066</v>
      </c>
      <c r="K300">
        <f>_xlfn.STDEV.S('R1'!L300,'R2'!L300,'R3'!L300)</f>
        <v>3.7585360796721742E-2</v>
      </c>
      <c r="L300">
        <f>_xlfn.STDEV.S('R1'!M300,'R2'!M300,'R3'!M300)</f>
        <v>9.029368412823641E-3</v>
      </c>
      <c r="M300">
        <f>_xlfn.STDEV.S('R1'!N300,'R2'!N300,'R3'!N300)</f>
        <v>3.2267070808729016E-2</v>
      </c>
      <c r="N300">
        <f>_xlfn.STDEV.S('R1'!O300,'R2'!O300,'R3'!O300)</f>
        <v>1.4632108755061735E-2</v>
      </c>
    </row>
    <row r="301" spans="1:14" x14ac:dyDescent="0.25">
      <c r="A301">
        <f>-'R1'!H301</f>
        <v>-8</v>
      </c>
      <c r="B301">
        <f>DEGREES(ATAN(-SIN(RADIANS(('R1'!I301)))/(COS(RADIANS(Sheet1!A301))*COS(RADIANS('R1'!I301)))))</f>
        <v>44.280037446618948</v>
      </c>
      <c r="C301">
        <f>AVERAGE('R1'!J301,'R2'!J301,'R3'!J301)</f>
        <v>1.1766666666666665</v>
      </c>
      <c r="D301">
        <f>AVERAGE('R1'!K301,'R2'!K301,'R3'!K301)</f>
        <v>21.170421916666665</v>
      </c>
      <c r="E301">
        <f>AVERAGE('R1'!L301,'R2'!L301,'R3'!L301)</f>
        <v>3.0153110598002346</v>
      </c>
      <c r="F301">
        <f>AVERAGE('R1'!M301,'R2'!M301,'R3'!M301)</f>
        <v>0.83047933712720823</v>
      </c>
      <c r="G301">
        <f>AVERAGE('R1'!N301,'R2'!N301,'R3'!N301)</f>
        <v>-1.686059444942605</v>
      </c>
      <c r="H301">
        <f>AVERAGE('R1'!O301,'R2'!O301,'R3'!O301)</f>
        <v>-1.1566815636018573</v>
      </c>
      <c r="I301">
        <f t="shared" si="8"/>
        <v>4151.7549647685182</v>
      </c>
      <c r="K301">
        <f>_xlfn.STDEV.S('R1'!L301,'R2'!L301,'R3'!L301)</f>
        <v>7.3577051894614127E-3</v>
      </c>
      <c r="L301">
        <f>_xlfn.STDEV.S('R1'!M301,'R2'!M301,'R3'!M301)</f>
        <v>1.2254061229357383E-3</v>
      </c>
      <c r="M301">
        <f>_xlfn.STDEV.S('R1'!N301,'R2'!N301,'R3'!N301)</f>
        <v>3.6038330348276823E-3</v>
      </c>
      <c r="N301">
        <f>_xlfn.STDEV.S('R1'!O301,'R2'!O301,'R3'!O301)</f>
        <v>4.5745925030850456E-3</v>
      </c>
    </row>
    <row r="302" spans="1:14" x14ac:dyDescent="0.25">
      <c r="A302">
        <f>-'R1'!H302</f>
        <v>-8</v>
      </c>
      <c r="B302">
        <f>DEGREES(ATAN(-SIN(RADIANS(('R1'!I302)))/(COS(RADIANS(Sheet1!A302))*COS(RADIANS('R1'!I302)))))</f>
        <v>40.276138588852518</v>
      </c>
      <c r="C302">
        <f>AVERAGE('R1'!J302,'R2'!J302,'R3'!J302)</f>
        <v>1.1766666666666665</v>
      </c>
      <c r="D302">
        <f>AVERAGE('R1'!K302,'R2'!K302,'R3'!K302)</f>
        <v>21.109428083333331</v>
      </c>
      <c r="E302">
        <f>AVERAGE('R1'!L302,'R2'!L302,'R3'!L302)</f>
        <v>2.5929268530573668</v>
      </c>
      <c r="F302">
        <f>AVERAGE('R1'!M302,'R2'!M302,'R3'!M302)</f>
        <v>0.73233760491700417</v>
      </c>
      <c r="G302">
        <f>AVERAGE('R1'!N302,'R2'!N302,'R3'!N302)</f>
        <v>-1.2670097638936546</v>
      </c>
      <c r="H302">
        <f>AVERAGE('R1'!O302,'R2'!O302,'R3'!O302)</f>
        <v>-0.85880120994383757</v>
      </c>
      <c r="I302">
        <f t="shared" si="8"/>
        <v>4139.7933963425921</v>
      </c>
      <c r="K302">
        <f>_xlfn.STDEV.S('R1'!L302,'R2'!L302,'R3'!L302)</f>
        <v>1.3897870153396689E-2</v>
      </c>
      <c r="L302">
        <f>_xlfn.STDEV.S('R1'!M302,'R2'!M302,'R3'!M302)</f>
        <v>3.1132046567493832E-3</v>
      </c>
      <c r="M302">
        <f>_xlfn.STDEV.S('R1'!N302,'R2'!N302,'R3'!N302)</f>
        <v>1.0867420645731705E-2</v>
      </c>
      <c r="N302">
        <f>_xlfn.STDEV.S('R1'!O302,'R2'!O302,'R3'!O302)</f>
        <v>4.1847925039180094E-3</v>
      </c>
    </row>
    <row r="303" spans="1:14" x14ac:dyDescent="0.25">
      <c r="A303">
        <f>-'R1'!H303</f>
        <v>-8</v>
      </c>
      <c r="B303">
        <f>DEGREES(ATAN(-SIN(RADIANS(('R1'!I303)))/(COS(RADIANS(Sheet1!A303))*COS(RADIANS('R1'!I303)))))</f>
        <v>36.2668517150396</v>
      </c>
      <c r="C303">
        <f>AVERAGE('R1'!J303,'R2'!J303,'R3'!J303)</f>
        <v>1.1766666666666665</v>
      </c>
      <c r="D303">
        <f>AVERAGE('R1'!K303,'R2'!K303,'R3'!K303)</f>
        <v>20.907054083333335</v>
      </c>
      <c r="E303">
        <f>AVERAGE('R1'!L303,'R2'!L303,'R3'!L303)</f>
        <v>2.2704081549812276</v>
      </c>
      <c r="F303">
        <f>AVERAGE('R1'!M303,'R2'!M303,'R3'!M303)</f>
        <v>0.66551654798362925</v>
      </c>
      <c r="G303">
        <f>AVERAGE('R1'!N303,'R2'!N303,'R3'!N303)</f>
        <v>-0.97145380334127929</v>
      </c>
      <c r="H303">
        <f>AVERAGE('R1'!O303,'R2'!O303,'R3'!O303)</f>
        <v>-0.61632870259383987</v>
      </c>
      <c r="I303">
        <f t="shared" si="8"/>
        <v>4100.1056063425922</v>
      </c>
      <c r="K303">
        <f>_xlfn.STDEV.S('R1'!L303,'R2'!L303,'R3'!L303)</f>
        <v>6.1678358729530093E-3</v>
      </c>
      <c r="L303">
        <f>_xlfn.STDEV.S('R1'!M303,'R2'!M303,'R3'!M303)</f>
        <v>1.3250668546430349E-2</v>
      </c>
      <c r="M303">
        <f>_xlfn.STDEV.S('R1'!N303,'R2'!N303,'R3'!N303)</f>
        <v>7.6727014067054663E-4</v>
      </c>
      <c r="N303">
        <f>_xlfn.STDEV.S('R1'!O303,'R2'!O303,'R3'!O303)</f>
        <v>6.6886395301993043E-3</v>
      </c>
    </row>
    <row r="304" spans="1:14" x14ac:dyDescent="0.25">
      <c r="A304">
        <f>-'R1'!H304</f>
        <v>-8</v>
      </c>
      <c r="B304">
        <f>DEGREES(ATAN(-SIN(RADIANS(('R1'!I304)))/(COS(RADIANS(Sheet1!A304))*COS(RADIANS('R1'!I304)))))</f>
        <v>32.252347723135095</v>
      </c>
      <c r="C304">
        <f>AVERAGE('R1'!J304,'R2'!J304,'R3'!J304)</f>
        <v>1.1766666666666665</v>
      </c>
      <c r="D304">
        <f>AVERAGE('R1'!K304,'R2'!K304,'R3'!K304)</f>
        <v>20.680606749999999</v>
      </c>
      <c r="E304">
        <f>AVERAGE('R1'!L304,'R2'!L304,'R3'!L304)</f>
        <v>1.988341767369981</v>
      </c>
      <c r="F304">
        <f>AVERAGE('R1'!M304,'R2'!M304,'R3'!M304)</f>
        <v>0.60708274645956706</v>
      </c>
      <c r="G304">
        <f>AVERAGE('R1'!N304,'R2'!N304,'R3'!N304)</f>
        <v>-0.72802328059655397</v>
      </c>
      <c r="H304">
        <f>AVERAGE('R1'!O304,'R2'!O304,'R3'!O304)</f>
        <v>-0.39633475270783558</v>
      </c>
      <c r="I304">
        <f t="shared" si="8"/>
        <v>4055.6967681944438</v>
      </c>
      <c r="K304">
        <f>_xlfn.STDEV.S('R1'!L304,'R2'!L304,'R3'!L304)</f>
        <v>5.0126646717713001E-3</v>
      </c>
      <c r="L304">
        <f>_xlfn.STDEV.S('R1'!M304,'R2'!M304,'R3'!M304)</f>
        <v>1.1451668992680481E-2</v>
      </c>
      <c r="M304">
        <f>_xlfn.STDEV.S('R1'!N304,'R2'!N304,'R3'!N304)</f>
        <v>2.7930615523078001E-3</v>
      </c>
      <c r="N304">
        <f>_xlfn.STDEV.S('R1'!O304,'R2'!O304,'R3'!O304)</f>
        <v>3.5008033497800168E-3</v>
      </c>
    </row>
    <row r="305" spans="1:14" x14ac:dyDescent="0.25">
      <c r="A305">
        <f>-'R1'!H305</f>
        <v>-8</v>
      </c>
      <c r="B305">
        <f>DEGREES(ATAN(-SIN(RADIANS(('R1'!I305)))/(COS(RADIANS(Sheet1!A305))*COS(RADIANS('R1'!I305)))))</f>
        <v>28.23290083045832</v>
      </c>
      <c r="C305">
        <f>AVERAGE('R1'!J305,'R2'!J305,'R3'!J305)</f>
        <v>1.1766666666666665</v>
      </c>
      <c r="D305">
        <f>AVERAGE('R1'!K305,'R2'!K305,'R3'!K305)</f>
        <v>20.51319475</v>
      </c>
      <c r="E305">
        <f>AVERAGE('R1'!L305,'R2'!L305,'R3'!L305)</f>
        <v>1.743001870799004</v>
      </c>
      <c r="F305">
        <f>AVERAGE('R1'!M305,'R2'!M305,'R3'!M305)</f>
        <v>0.5619901666598226</v>
      </c>
      <c r="G305">
        <f>AVERAGE('R1'!N305,'R2'!N305,'R3'!N305)</f>
        <v>-0.53204923654916791</v>
      </c>
      <c r="H305">
        <f>AVERAGE('R1'!O305,'R2'!O305,'R3'!O305)</f>
        <v>-0.20002438650955726</v>
      </c>
      <c r="I305">
        <f t="shared" si="8"/>
        <v>4022.8654148611113</v>
      </c>
      <c r="K305">
        <f>_xlfn.STDEV.S('R1'!L305,'R2'!L305,'R3'!L305)</f>
        <v>4.9071585878108599E-3</v>
      </c>
      <c r="L305">
        <f>_xlfn.STDEV.S('R1'!M305,'R2'!M305,'R3'!M305)</f>
        <v>4.1949406216013948E-3</v>
      </c>
      <c r="M305">
        <f>_xlfn.STDEV.S('R1'!N305,'R2'!N305,'R3'!N305)</f>
        <v>6.9114637595338122E-3</v>
      </c>
      <c r="N305">
        <f>_xlfn.STDEV.S('R1'!O305,'R2'!O305,'R3'!O305)</f>
        <v>2.1589359617041584E-3</v>
      </c>
    </row>
    <row r="306" spans="1:14" x14ac:dyDescent="0.25">
      <c r="A306">
        <f>-'R1'!H306</f>
        <v>-8</v>
      </c>
      <c r="B306">
        <f>DEGREES(ATAN(-SIN(RADIANS(('R1'!I306)))/(COS(RADIANS(Sheet1!A306))*COS(RADIANS('R1'!I306)))))</f>
        <v>24.208883875277589</v>
      </c>
      <c r="C306">
        <f>AVERAGE('R1'!J306,'R2'!J306,'R3'!J306)</f>
        <v>1.1758333333333333</v>
      </c>
      <c r="D306">
        <f>AVERAGE('R1'!K306,'R2'!K306,'R3'!K306)</f>
        <v>20.392858666666665</v>
      </c>
      <c r="E306">
        <f>AVERAGE('R1'!L306,'R2'!L306,'R3'!L306)</f>
        <v>1.5273503455514554</v>
      </c>
      <c r="F306">
        <f>AVERAGE('R1'!M306,'R2'!M306,'R3'!M306)</f>
        <v>0.52169322863445522</v>
      </c>
      <c r="G306">
        <f>AVERAGE('R1'!N306,'R2'!N306,'R3'!N306)</f>
        <v>-0.37759900828076637</v>
      </c>
      <c r="H306">
        <f>AVERAGE('R1'!O306,'R2'!O306,'R3'!O306)</f>
        <v>-1.2342811871391071E-2</v>
      </c>
      <c r="I306">
        <f t="shared" si="8"/>
        <v>3996.4338303703703</v>
      </c>
      <c r="K306">
        <f>_xlfn.STDEV.S('R1'!L306,'R2'!L306,'R3'!L306)</f>
        <v>1.6686942099311073E-3</v>
      </c>
      <c r="L306">
        <f>_xlfn.STDEV.S('R1'!M306,'R2'!M306,'R3'!M306)</f>
        <v>6.7298676175393856E-3</v>
      </c>
      <c r="M306">
        <f>_xlfn.STDEV.S('R1'!N306,'R2'!N306,'R3'!N306)</f>
        <v>4.1982860988549475E-3</v>
      </c>
      <c r="N306">
        <f>_xlfn.STDEV.S('R1'!O306,'R2'!O306,'R3'!O306)</f>
        <v>3.1564003550303421E-3</v>
      </c>
    </row>
    <row r="307" spans="1:14" x14ac:dyDescent="0.25">
      <c r="A307">
        <f>-'R1'!H307</f>
        <v>-8</v>
      </c>
      <c r="B307">
        <f>DEGREES(ATAN(-SIN(RADIANS(('R1'!I307)))/(COS(RADIANS(Sheet1!A307))*COS(RADIANS('R1'!I307)))))</f>
        <v>20.180761513231211</v>
      </c>
      <c r="C307">
        <f>AVERAGE('R1'!J307,'R2'!J307,'R3'!J307)</f>
        <v>1.1733333333333331</v>
      </c>
      <c r="D307">
        <f>AVERAGE('R1'!K307,'R2'!K307,'R3'!K307)</f>
        <v>20.310029999999998</v>
      </c>
      <c r="E307">
        <f>AVERAGE('R1'!L307,'R2'!L307,'R3'!L307)</f>
        <v>1.3235407356152893</v>
      </c>
      <c r="F307">
        <f>AVERAGE('R1'!M307,'R2'!M307,'R3'!M307)</f>
        <v>0.49260447221215681</v>
      </c>
      <c r="G307">
        <f>AVERAGE('R1'!N307,'R2'!N307,'R3'!N307)</f>
        <v>-0.25814508725001145</v>
      </c>
      <c r="H307">
        <f>AVERAGE('R1'!O307,'R2'!O307,'R3'!O307)</f>
        <v>0.16380194432513892</v>
      </c>
      <c r="I307">
        <f t="shared" si="8"/>
        <v>3971.7391999999991</v>
      </c>
      <c r="K307">
        <f>_xlfn.STDEV.S('R1'!L307,'R2'!L307,'R3'!L307)</f>
        <v>5.1855155272309541E-3</v>
      </c>
      <c r="L307">
        <f>_xlfn.STDEV.S('R1'!M307,'R2'!M307,'R3'!M307)</f>
        <v>2.4721498147253422E-3</v>
      </c>
      <c r="M307">
        <f>_xlfn.STDEV.S('R1'!N307,'R2'!N307,'R3'!N307)</f>
        <v>3.9315980996976882E-3</v>
      </c>
      <c r="N307">
        <f>_xlfn.STDEV.S('R1'!O307,'R2'!O307,'R3'!O307)</f>
        <v>4.5263272499760105E-3</v>
      </c>
    </row>
    <row r="308" spans="1:14" x14ac:dyDescent="0.25">
      <c r="A308">
        <f>-'R1'!H308</f>
        <v>-8</v>
      </c>
      <c r="B308">
        <f>DEGREES(ATAN(-SIN(RADIANS(('R1'!I308)))/(COS(RADIANS(Sheet1!A308))*COS(RADIANS('R1'!I308)))))</f>
        <v>16.149081403494897</v>
      </c>
      <c r="C308">
        <f>AVERAGE('R1'!J308,'R2'!J308,'R3'!J308)</f>
        <v>1.1741666666666666</v>
      </c>
      <c r="D308">
        <f>AVERAGE('R1'!K308,'R2'!K308,'R3'!K308)</f>
        <v>20.655371000000002</v>
      </c>
      <c r="E308">
        <f>AVERAGE('R1'!L308,'R2'!L308,'R3'!L308)</f>
        <v>1.099322223905395</v>
      </c>
      <c r="F308">
        <f>AVERAGE('R1'!M308,'R2'!M308,'R3'!M308)</f>
        <v>0.50184015315996933</v>
      </c>
      <c r="G308">
        <f>AVERAGE('R1'!N308,'R2'!N308,'R3'!N308)</f>
        <v>-0.16538975127270825</v>
      </c>
      <c r="H308">
        <f>AVERAGE('R1'!O308,'R2'!O308,'R3'!O308)</f>
        <v>0.32459372568777561</v>
      </c>
      <c r="I308">
        <f t="shared" si="8"/>
        <v>4042.1413526388892</v>
      </c>
      <c r="K308">
        <f>_xlfn.STDEV.S('R1'!L308,'R2'!L308,'R3'!L308)</f>
        <v>5.2820714553302849E-3</v>
      </c>
      <c r="L308">
        <f>_xlfn.STDEV.S('R1'!M308,'R2'!M308,'R3'!M308)</f>
        <v>9.7345976856723186E-3</v>
      </c>
      <c r="M308">
        <f>_xlfn.STDEV.S('R1'!N308,'R2'!N308,'R3'!N308)</f>
        <v>4.6246474061305519E-3</v>
      </c>
      <c r="N308">
        <f>_xlfn.STDEV.S('R1'!O308,'R2'!O308,'R3'!O308)</f>
        <v>7.4327029276848111E-3</v>
      </c>
    </row>
    <row r="309" spans="1:14" x14ac:dyDescent="0.25">
      <c r="A309">
        <f>-'R1'!H309</f>
        <v>-8</v>
      </c>
      <c r="B309">
        <f>DEGREES(ATAN(-SIN(RADIANS(('R1'!I309)))/(COS(RADIANS(Sheet1!A309))*COS(RADIANS('R1'!I309)))))</f>
        <v>12.114463536188838</v>
      </c>
      <c r="C309">
        <f>AVERAGE('R1'!J309,'R2'!J309,'R3'!J309)</f>
        <v>1.1766666666666665</v>
      </c>
      <c r="D309">
        <f>AVERAGE('R1'!K309,'R2'!K309,'R3'!K309)</f>
        <v>20.927885249999999</v>
      </c>
      <c r="E309">
        <f>AVERAGE('R1'!L309,'R2'!L309,'R3'!L309)</f>
        <v>0.86088454677643733</v>
      </c>
      <c r="F309">
        <f>AVERAGE('R1'!M309,'R2'!M309,'R3'!M309)</f>
        <v>0.52833150149727537</v>
      </c>
      <c r="G309">
        <f>AVERAGE('R1'!N309,'R2'!N309,'R3'!N309)</f>
        <v>-9.6529845324695732E-2</v>
      </c>
      <c r="H309">
        <f>AVERAGE('R1'!O309,'R2'!O309,'R3'!O309)</f>
        <v>0.48995118062213061</v>
      </c>
      <c r="I309">
        <f t="shared" si="8"/>
        <v>4104.1908295833327</v>
      </c>
      <c r="K309">
        <f>_xlfn.STDEV.S('R1'!L309,'R2'!L309,'R3'!L309)</f>
        <v>7.1077740802589374E-3</v>
      </c>
      <c r="L309">
        <f>_xlfn.STDEV.S('R1'!M309,'R2'!M309,'R3'!M309)</f>
        <v>6.8227008768217082E-3</v>
      </c>
      <c r="M309">
        <f>_xlfn.STDEV.S('R1'!N309,'R2'!N309,'R3'!N309)</f>
        <v>5.094764479581051E-3</v>
      </c>
      <c r="N309">
        <f>_xlfn.STDEV.S('R1'!O309,'R2'!O309,'R3'!O309)</f>
        <v>1.5857402612068983E-3</v>
      </c>
    </row>
    <row r="310" spans="1:14" x14ac:dyDescent="0.25">
      <c r="A310">
        <f>-'R1'!H310</f>
        <v>-8</v>
      </c>
      <c r="B310">
        <f>DEGREES(ATAN(-SIN(RADIANS(('R1'!I310)))/(COS(RADIANS(Sheet1!A310))*COS(RADIANS('R1'!I310)))))</f>
        <v>8.0775879081011936</v>
      </c>
      <c r="C310">
        <f>AVERAGE('R1'!J310,'R2'!J310,'R3'!J310)</f>
        <v>1.1766666666666665</v>
      </c>
      <c r="D310">
        <f>AVERAGE('R1'!K310,'R2'!K310,'R3'!K310)</f>
        <v>20.736338166666666</v>
      </c>
      <c r="E310">
        <f>AVERAGE('R1'!L310,'R2'!L310,'R3'!L310)</f>
        <v>0.6056024226696558</v>
      </c>
      <c r="F310">
        <f>AVERAGE('R1'!M310,'R2'!M310,'R3'!M310)</f>
        <v>0.58373191634502619</v>
      </c>
      <c r="G310">
        <f>AVERAGE('R1'!N310,'R2'!N310,'R3'!N310)</f>
        <v>-5.2406748328687004E-2</v>
      </c>
      <c r="H310">
        <f>AVERAGE('R1'!O310,'R2'!O310,'R3'!O310)</f>
        <v>0.62984914310953166</v>
      </c>
      <c r="I310">
        <f t="shared" si="8"/>
        <v>4066.6263182407406</v>
      </c>
      <c r="K310">
        <f>_xlfn.STDEV.S('R1'!L310,'R2'!L310,'R3'!L310)</f>
        <v>7.3637070488783681E-3</v>
      </c>
      <c r="L310">
        <f>_xlfn.STDEV.S('R1'!M310,'R2'!M310,'R3'!M310)</f>
        <v>1.0450038923373832E-2</v>
      </c>
      <c r="M310">
        <f>_xlfn.STDEV.S('R1'!N310,'R2'!N310,'R3'!N310)</f>
        <v>5.7100862838127577E-3</v>
      </c>
      <c r="N310">
        <f>_xlfn.STDEV.S('R1'!O310,'R2'!O310,'R3'!O310)</f>
        <v>5.1293184443267515E-3</v>
      </c>
    </row>
    <row r="311" spans="1:14" x14ac:dyDescent="0.25">
      <c r="A311">
        <f>-'R1'!H311</f>
        <v>-8</v>
      </c>
      <c r="B311">
        <f>DEGREES(ATAN(-SIN(RADIANS(('R1'!I311)))/(COS(RADIANS(Sheet1!A311))*COS(RADIANS('R1'!I311)))))</f>
        <v>4.0391808057079874</v>
      </c>
      <c r="C311">
        <f>AVERAGE('R1'!J311,'R2'!J311,'R3'!J311)</f>
        <v>1.1766666666666665</v>
      </c>
      <c r="D311">
        <f>AVERAGE('R1'!K311,'R2'!K311,'R3'!K311)</f>
        <v>20.557540416666669</v>
      </c>
      <c r="E311">
        <f>AVERAGE('R1'!L311,'R2'!L311,'R3'!L311)</f>
        <v>0.31779458330469362</v>
      </c>
      <c r="F311">
        <f>AVERAGE('R1'!M311,'R2'!M311,'R3'!M311)</f>
        <v>0.64029239217343914</v>
      </c>
      <c r="G311">
        <f>AVERAGE('R1'!N311,'R2'!N311,'R3'!N311)</f>
        <v>-2.7790422182880279E-2</v>
      </c>
      <c r="H311">
        <f>AVERAGE('R1'!O311,'R2'!O311,'R3'!O311)</f>
        <v>0.7684673835335275</v>
      </c>
      <c r="I311">
        <f t="shared" si="8"/>
        <v>4031.5620928240742</v>
      </c>
      <c r="K311">
        <f>_xlfn.STDEV.S('R1'!L311,'R2'!L311,'R3'!L311)</f>
        <v>1.0499998847381797E-2</v>
      </c>
      <c r="L311">
        <f>_xlfn.STDEV.S('R1'!M311,'R2'!M311,'R3'!M311)</f>
        <v>1.5025713172208577E-2</v>
      </c>
      <c r="M311">
        <f>_xlfn.STDEV.S('R1'!N311,'R2'!N311,'R3'!N311)</f>
        <v>6.6234277762372978E-3</v>
      </c>
      <c r="N311">
        <f>_xlfn.STDEV.S('R1'!O311,'R2'!O311,'R3'!O311)</f>
        <v>9.9352594876899701E-3</v>
      </c>
    </row>
    <row r="312" spans="1:14" x14ac:dyDescent="0.25">
      <c r="A312">
        <f>-'R1'!H312</f>
        <v>-8</v>
      </c>
      <c r="B312">
        <f>DEGREES(ATAN(-SIN(RADIANS(('R1'!I312)))/(COS(RADIANS(Sheet1!A312))*COS(RADIANS('R1'!I312)))))</f>
        <v>0</v>
      </c>
      <c r="C312">
        <f>AVERAGE('R1'!J312,'R2'!J312,'R3'!J312)</f>
        <v>1.1766666666666665</v>
      </c>
      <c r="D312">
        <f>AVERAGE('R1'!K312,'R2'!K312,'R3'!K312)</f>
        <v>20.345082583333333</v>
      </c>
      <c r="E312">
        <f>AVERAGE('R1'!L312,'R2'!L312,'R3'!L312)</f>
        <v>-4.4399406751078107E-3</v>
      </c>
      <c r="F312">
        <f>AVERAGE('R1'!M312,'R2'!M312,'R3'!M312)</f>
        <v>0.7045011817885114</v>
      </c>
      <c r="G312">
        <f>AVERAGE('R1'!N312,'R2'!N312,'R3'!N312)</f>
        <v>-2.4241182017260304E-2</v>
      </c>
      <c r="H312">
        <f>AVERAGE('R1'!O312,'R2'!O312,'R3'!O312)</f>
        <v>0.89635742529571516</v>
      </c>
      <c r="I312">
        <f t="shared" si="8"/>
        <v>3989.896751064814</v>
      </c>
      <c r="K312">
        <f>_xlfn.STDEV.S('R1'!L312,'R2'!L312,'R3'!L312)</f>
        <v>8.2726740718938596E-3</v>
      </c>
      <c r="L312">
        <f>_xlfn.STDEV.S('R1'!M312,'R2'!M312,'R3'!M312)</f>
        <v>1.2546328246177687E-2</v>
      </c>
      <c r="M312">
        <f>_xlfn.STDEV.S('R1'!N312,'R2'!N312,'R3'!N312)</f>
        <v>3.4991523223484918E-3</v>
      </c>
      <c r="N312">
        <f>_xlfn.STDEV.S('R1'!O312,'R2'!O312,'R3'!O312)</f>
        <v>6.4352550344209765E-3</v>
      </c>
    </row>
    <row r="313" spans="1:14" x14ac:dyDescent="0.25">
      <c r="A313">
        <f>-'R1'!H313</f>
        <v>-8</v>
      </c>
      <c r="B313">
        <f>DEGREES(ATAN(-SIN(RADIANS(('R1'!I313)))/(COS(RADIANS(Sheet1!A313))*COS(RADIANS('R1'!I313)))))</f>
        <v>-4.0391808057079874</v>
      </c>
      <c r="C313">
        <f>AVERAGE('R1'!J313,'R2'!J313,'R3'!J313)</f>
        <v>1.1766666666666665</v>
      </c>
      <c r="D313">
        <f>AVERAGE('R1'!K313,'R2'!K313,'R3'!K313)</f>
        <v>20.485977083333335</v>
      </c>
      <c r="E313">
        <f>AVERAGE('R1'!L313,'R2'!L313,'R3'!L313)</f>
        <v>-0.31662389551091563</v>
      </c>
      <c r="F313">
        <f>AVERAGE('R1'!M313,'R2'!M313,'R3'!M313)</f>
        <v>0.63668265933495916</v>
      </c>
      <c r="G313">
        <f>AVERAGE('R1'!N313,'R2'!N313,'R3'!N313)</f>
        <v>-2.9126721277788148E-2</v>
      </c>
      <c r="H313">
        <f>AVERAGE('R1'!O313,'R2'!O313,'R3'!O313)</f>
        <v>0.75218633887781261</v>
      </c>
      <c r="I313">
        <f t="shared" si="8"/>
        <v>4017.5277280092591</v>
      </c>
      <c r="K313">
        <f>_xlfn.STDEV.S('R1'!L313,'R2'!L313,'R3'!L313)</f>
        <v>1.2267709418804411E-2</v>
      </c>
      <c r="L313">
        <f>_xlfn.STDEV.S('R1'!M313,'R2'!M313,'R3'!M313)</f>
        <v>1.6272306154889671E-2</v>
      </c>
      <c r="M313">
        <f>_xlfn.STDEV.S('R1'!N313,'R2'!N313,'R3'!N313)</f>
        <v>3.1659069768566073E-3</v>
      </c>
      <c r="N313">
        <f>_xlfn.STDEV.S('R1'!O313,'R2'!O313,'R3'!O313)</f>
        <v>3.0272868759269531E-3</v>
      </c>
    </row>
    <row r="314" spans="1:14" x14ac:dyDescent="0.25">
      <c r="A314">
        <f>-'R1'!H314</f>
        <v>-8</v>
      </c>
      <c r="B314">
        <f>DEGREES(ATAN(-SIN(RADIANS(('R1'!I314)))/(COS(RADIANS(Sheet1!A314))*COS(RADIANS('R1'!I314)))))</f>
        <v>-8.0775879081011936</v>
      </c>
      <c r="C314">
        <f>AVERAGE('R1'!J314,'R2'!J314,'R3'!J314)</f>
        <v>1.1766666666666665</v>
      </c>
      <c r="D314">
        <f>AVERAGE('R1'!K314,'R2'!K314,'R3'!K314)</f>
        <v>20.831284416666666</v>
      </c>
      <c r="E314">
        <f>AVERAGE('R1'!L314,'R2'!L314,'R3'!L314)</f>
        <v>-0.60606435012021542</v>
      </c>
      <c r="F314">
        <f>AVERAGE('R1'!M314,'R2'!M314,'R3'!M314)</f>
        <v>0.57480266912319877</v>
      </c>
      <c r="G314">
        <f>AVERAGE('R1'!N314,'R2'!N314,'R3'!N314)</f>
        <v>-5.2133523283232779E-2</v>
      </c>
      <c r="H314">
        <f>AVERAGE('R1'!O314,'R2'!O314,'R3'!O314)</f>
        <v>0.60679870466115737</v>
      </c>
      <c r="I314">
        <f t="shared" si="8"/>
        <v>4085.2463328240729</v>
      </c>
      <c r="K314">
        <f>_xlfn.STDEV.S('R1'!L314,'R2'!L314,'R3'!L314)</f>
        <v>1.3584609948881495E-2</v>
      </c>
      <c r="L314">
        <f>_xlfn.STDEV.S('R1'!M314,'R2'!M314,'R3'!M314)</f>
        <v>7.6621282212933489E-3</v>
      </c>
      <c r="M314">
        <f>_xlfn.STDEV.S('R1'!N314,'R2'!N314,'R3'!N314)</f>
        <v>3.1036835931770976E-3</v>
      </c>
      <c r="N314">
        <f>_xlfn.STDEV.S('R1'!O314,'R2'!O314,'R3'!O314)</f>
        <v>4.0242008057502091E-3</v>
      </c>
    </row>
    <row r="315" spans="1:14" x14ac:dyDescent="0.25">
      <c r="A315">
        <f>-'R1'!H315</f>
        <v>-8</v>
      </c>
      <c r="B315">
        <f>DEGREES(ATAN(-SIN(RADIANS(('R1'!I315)))/(COS(RADIANS(Sheet1!A315))*COS(RADIANS('R1'!I315)))))</f>
        <v>-12.114463536188838</v>
      </c>
      <c r="C315">
        <f>AVERAGE('R1'!J315,'R2'!J315,'R3'!J315)</f>
        <v>1.1766666666666665</v>
      </c>
      <c r="D315">
        <f>AVERAGE('R1'!K315,'R2'!K315,'R3'!K315)</f>
        <v>20.856657916666666</v>
      </c>
      <c r="E315">
        <f>AVERAGE('R1'!L315,'R2'!L315,'R3'!L315)</f>
        <v>-0.86257851293113175</v>
      </c>
      <c r="F315">
        <f>AVERAGE('R1'!M315,'R2'!M315,'R3'!M315)</f>
        <v>0.53904833401753416</v>
      </c>
      <c r="G315">
        <f>AVERAGE('R1'!N315,'R2'!N315,'R3'!N315)</f>
        <v>-9.7419431805480475E-2</v>
      </c>
      <c r="H315">
        <f>AVERAGE('R1'!O315,'R2'!O315,'R3'!O315)</f>
        <v>0.46279144631822605</v>
      </c>
      <c r="I315">
        <f t="shared" si="8"/>
        <v>4090.2223581018511</v>
      </c>
      <c r="K315">
        <f>_xlfn.STDEV.S('R1'!L315,'R2'!L315,'R3'!L315)</f>
        <v>9.7045516910869347E-3</v>
      </c>
      <c r="L315">
        <f>_xlfn.STDEV.S('R1'!M315,'R2'!M315,'R3'!M315)</f>
        <v>5.9805093621390967E-3</v>
      </c>
      <c r="M315">
        <f>_xlfn.STDEV.S('R1'!N315,'R2'!N315,'R3'!N315)</f>
        <v>2.2441652839529517E-3</v>
      </c>
      <c r="N315">
        <f>_xlfn.STDEV.S('R1'!O315,'R2'!O315,'R3'!O315)</f>
        <v>2.3890822026007247E-3</v>
      </c>
    </row>
    <row r="316" spans="1:14" x14ac:dyDescent="0.25">
      <c r="A316">
        <f>-'R1'!H316</f>
        <v>-8</v>
      </c>
      <c r="B316">
        <f>DEGREES(ATAN(-SIN(RADIANS(('R1'!I316)))/(COS(RADIANS(Sheet1!A316))*COS(RADIANS('R1'!I316)))))</f>
        <v>-16.149081403494897</v>
      </c>
      <c r="C316">
        <f>AVERAGE('R1'!J316,'R2'!J316,'R3'!J316)</f>
        <v>1.1766666666666665</v>
      </c>
      <c r="D316">
        <f>AVERAGE('R1'!K316,'R2'!K316,'R3'!K316)</f>
        <v>20.608863916666664</v>
      </c>
      <c r="E316">
        <f>AVERAGE('R1'!L316,'R2'!L316,'R3'!L316)</f>
        <v>-1.1058397998600318</v>
      </c>
      <c r="F316">
        <f>AVERAGE('R1'!M316,'R2'!M316,'R3'!M316)</f>
        <v>0.51553327340973021</v>
      </c>
      <c r="G316">
        <f>AVERAGE('R1'!N316,'R2'!N316,'R3'!N316)</f>
        <v>-0.17747736720180005</v>
      </c>
      <c r="H316">
        <f>AVERAGE('R1'!O316,'R2'!O316,'R3'!O316)</f>
        <v>0.32219504592179388</v>
      </c>
      <c r="I316">
        <f t="shared" si="8"/>
        <v>4041.6272014351839</v>
      </c>
      <c r="K316">
        <f>_xlfn.STDEV.S('R1'!L316,'R2'!L316,'R3'!L316)</f>
        <v>8.5022163125784804E-3</v>
      </c>
      <c r="L316">
        <f>_xlfn.STDEV.S('R1'!M316,'R2'!M316,'R3'!M316)</f>
        <v>1.280974703218637E-2</v>
      </c>
      <c r="M316">
        <f>_xlfn.STDEV.S('R1'!N316,'R2'!N316,'R3'!N316)</f>
        <v>1.15518247885702E-3</v>
      </c>
      <c r="N316">
        <f>_xlfn.STDEV.S('R1'!O316,'R2'!O316,'R3'!O316)</f>
        <v>1.9007987636939024E-3</v>
      </c>
    </row>
    <row r="317" spans="1:14" x14ac:dyDescent="0.25">
      <c r="A317">
        <f>-'R1'!H317</f>
        <v>-8</v>
      </c>
      <c r="B317">
        <f>DEGREES(ATAN(-SIN(RADIANS(('R1'!I317)))/(COS(RADIANS(Sheet1!A317))*COS(RADIANS('R1'!I317)))))</f>
        <v>-20.180761513231211</v>
      </c>
      <c r="C317">
        <f>AVERAGE('R1'!J317,'R2'!J317,'R3'!J317)</f>
        <v>1.1766666666666665</v>
      </c>
      <c r="D317">
        <f>AVERAGE('R1'!K317,'R2'!K317,'R3'!K317)</f>
        <v>20.443806166666665</v>
      </c>
      <c r="E317">
        <f>AVERAGE('R1'!L317,'R2'!L317,'R3'!L317)</f>
        <v>-1.3406280702998739</v>
      </c>
      <c r="F317">
        <f>AVERAGE('R1'!M317,'R2'!M317,'R3'!M317)</f>
        <v>0.53163873524951299</v>
      </c>
      <c r="G317">
        <f>AVERAGE('R1'!N317,'R2'!N317,'R3'!N317)</f>
        <v>-0.29108810405460606</v>
      </c>
      <c r="H317">
        <f>AVERAGE('R1'!O317,'R2'!O317,'R3'!O317)</f>
        <v>0.16213750314761041</v>
      </c>
      <c r="I317">
        <f t="shared" si="8"/>
        <v>4009.2575426851845</v>
      </c>
      <c r="K317">
        <f>_xlfn.STDEV.S('R1'!L317,'R2'!L317,'R3'!L317)</f>
        <v>9.5273770507998609E-3</v>
      </c>
      <c r="L317">
        <f>_xlfn.STDEV.S('R1'!M317,'R2'!M317,'R3'!M317)</f>
        <v>4.8471509191686472E-3</v>
      </c>
      <c r="M317">
        <f>_xlfn.STDEV.S('R1'!N317,'R2'!N317,'R3'!N317)</f>
        <v>3.2777864343770799E-3</v>
      </c>
      <c r="N317">
        <f>_xlfn.STDEV.S('R1'!O317,'R2'!O317,'R3'!O317)</f>
        <v>6.8708479300384556E-4</v>
      </c>
    </row>
    <row r="318" spans="1:14" x14ac:dyDescent="0.25">
      <c r="A318">
        <f>-'R1'!H318</f>
        <v>-8</v>
      </c>
      <c r="B318">
        <f>DEGREES(ATAN(-SIN(RADIANS(('R1'!I318)))/(COS(RADIANS(Sheet1!A318))*COS(RADIANS('R1'!I318)))))</f>
        <v>-24.208883875277589</v>
      </c>
      <c r="C318">
        <f>AVERAGE('R1'!J318,'R2'!J318,'R3'!J318)</f>
        <v>1.1766666666666665</v>
      </c>
      <c r="D318">
        <f>AVERAGE('R1'!K318,'R2'!K318,'R3'!K318)</f>
        <v>20.264429833333335</v>
      </c>
      <c r="E318">
        <f>AVERAGE('R1'!L318,'R2'!L318,'R3'!L318)</f>
        <v>-1.579738641010656</v>
      </c>
      <c r="F318">
        <f>AVERAGE('R1'!M318,'R2'!M318,'R3'!M318)</f>
        <v>0.59116377782633378</v>
      </c>
      <c r="G318">
        <f>AVERAGE('R1'!N318,'R2'!N318,'R3'!N318)</f>
        <v>-0.44924658447345928</v>
      </c>
      <c r="H318">
        <f>AVERAGE('R1'!O318,'R2'!O318,'R3'!O318)</f>
        <v>-1.0163601877917873E-2</v>
      </c>
      <c r="I318">
        <f t="shared" si="8"/>
        <v>3974.0798506481474</v>
      </c>
      <c r="K318">
        <f>_xlfn.STDEV.S('R1'!L318,'R2'!L318,'R3'!L318)</f>
        <v>7.5532275533065959E-3</v>
      </c>
      <c r="L318">
        <f>_xlfn.STDEV.S('R1'!M318,'R2'!M318,'R3'!M318)</f>
        <v>9.245137394993469E-3</v>
      </c>
      <c r="M318">
        <f>_xlfn.STDEV.S('R1'!N318,'R2'!N318,'R3'!N318)</f>
        <v>1.9879895972374603E-3</v>
      </c>
      <c r="N318">
        <f>_xlfn.STDEV.S('R1'!O318,'R2'!O318,'R3'!O318)</f>
        <v>5.893164653878181E-3</v>
      </c>
    </row>
    <row r="319" spans="1:14" x14ac:dyDescent="0.25">
      <c r="A319">
        <f>-'R1'!H319</f>
        <v>-8</v>
      </c>
      <c r="B319">
        <f>DEGREES(ATAN(-SIN(RADIANS(('R1'!I319)))/(COS(RADIANS(Sheet1!A319))*COS(RADIANS('R1'!I319)))))</f>
        <v>-28.23290083045832</v>
      </c>
      <c r="C319">
        <f>AVERAGE('R1'!J319,'R2'!J319,'R3'!J319)</f>
        <v>1.1766666666666665</v>
      </c>
      <c r="D319">
        <f>AVERAGE('R1'!K319,'R2'!K319,'R3'!K319)</f>
        <v>20.185337666666666</v>
      </c>
      <c r="E319">
        <f>AVERAGE('R1'!L319,'R2'!L319,'R3'!L319)</f>
        <v>-1.8291113361157123</v>
      </c>
      <c r="F319">
        <f>AVERAGE('R1'!M319,'R2'!M319,'R3'!M319)</f>
        <v>0.6947579733258169</v>
      </c>
      <c r="G319">
        <f>AVERAGE('R1'!N319,'R2'!N319,'R3'!N319)</f>
        <v>-0.65646489185441592</v>
      </c>
      <c r="H319">
        <f>AVERAGE('R1'!O319,'R2'!O319,'R3'!O319)</f>
        <v>-0.21395240074485797</v>
      </c>
      <c r="I319">
        <f t="shared" si="8"/>
        <v>3958.5689979629624</v>
      </c>
      <c r="K319">
        <f>_xlfn.STDEV.S('R1'!L319,'R2'!L319,'R3'!L319)</f>
        <v>1.6004735222885917E-2</v>
      </c>
      <c r="L319">
        <f>_xlfn.STDEV.S('R1'!M319,'R2'!M319,'R3'!M319)</f>
        <v>6.8109100104997104E-3</v>
      </c>
      <c r="M319">
        <f>_xlfn.STDEV.S('R1'!N319,'R2'!N319,'R3'!N319)</f>
        <v>1.126821338893922E-2</v>
      </c>
      <c r="N319">
        <f>_xlfn.STDEV.S('R1'!O319,'R2'!O319,'R3'!O319)</f>
        <v>4.2416273864713241E-3</v>
      </c>
    </row>
    <row r="320" spans="1:14" x14ac:dyDescent="0.25">
      <c r="A320">
        <f>-'R1'!H320</f>
        <v>-8</v>
      </c>
      <c r="B320">
        <f>DEGREES(ATAN(-SIN(RADIANS(('R1'!I320)))/(COS(RADIANS(Sheet1!A320))*COS(RADIANS('R1'!I320)))))</f>
        <v>-32.252347723135095</v>
      </c>
      <c r="C320">
        <f>AVERAGE('R1'!J320,'R2'!J320,'R3'!J320)</f>
        <v>1.1766666666666665</v>
      </c>
      <c r="D320">
        <f>AVERAGE('R1'!K320,'R2'!K320,'R3'!K320)</f>
        <v>20.061753499999998</v>
      </c>
      <c r="E320">
        <f>AVERAGE('R1'!L320,'R2'!L320,'R3'!L320)</f>
        <v>-2.1311786786894924</v>
      </c>
      <c r="F320">
        <f>AVERAGE('R1'!M320,'R2'!M320,'R3'!M320)</f>
        <v>0.82201613578115529</v>
      </c>
      <c r="G320">
        <f>AVERAGE('R1'!N320,'R2'!N320,'R3'!N320)</f>
        <v>-0.9300616878679614</v>
      </c>
      <c r="H320">
        <f>AVERAGE('R1'!O320,'R2'!O320,'R3'!O320)</f>
        <v>-0.44417707149280483</v>
      </c>
      <c r="I320">
        <f t="shared" si="8"/>
        <v>3934.3327697222212</v>
      </c>
      <c r="K320">
        <f>_xlfn.STDEV.S('R1'!L320,'R2'!L320,'R3'!L320)</f>
        <v>2.0262012246441728E-2</v>
      </c>
      <c r="L320">
        <f>_xlfn.STDEV.S('R1'!M320,'R2'!M320,'R3'!M320)</f>
        <v>1.2941538941523025E-2</v>
      </c>
      <c r="M320">
        <f>_xlfn.STDEV.S('R1'!N320,'R2'!N320,'R3'!N320)</f>
        <v>1.283569955835303E-2</v>
      </c>
      <c r="N320">
        <f>_xlfn.STDEV.S('R1'!O320,'R2'!O320,'R3'!O320)</f>
        <v>8.0491860927674186E-4</v>
      </c>
    </row>
    <row r="321" spans="1:14" x14ac:dyDescent="0.25">
      <c r="A321">
        <f>-'R1'!H321</f>
        <v>-8</v>
      </c>
      <c r="B321">
        <f>DEGREES(ATAN(-SIN(RADIANS(('R1'!I321)))/(COS(RADIANS(Sheet1!A321))*COS(RADIANS('R1'!I321)))))</f>
        <v>-36.2668517150396</v>
      </c>
      <c r="C321">
        <f>AVERAGE('R1'!J321,'R2'!J321,'R3'!J321)</f>
        <v>1.1766666666666665</v>
      </c>
      <c r="D321">
        <f>AVERAGE('R1'!K321,'R2'!K321,'R3'!K321)</f>
        <v>19.961323916666668</v>
      </c>
      <c r="E321">
        <f>AVERAGE('R1'!L321,'R2'!L321,'R3'!L321)</f>
        <v>-2.5645852287610356</v>
      </c>
      <c r="F321">
        <f>AVERAGE('R1'!M321,'R2'!M321,'R3'!M321)</f>
        <v>0.9864737238394623</v>
      </c>
      <c r="G321">
        <f>AVERAGE('R1'!N321,'R2'!N321,'R3'!N321)</f>
        <v>-1.3404763893352023</v>
      </c>
      <c r="H321">
        <f>AVERAGE('R1'!O321,'R2'!O321,'R3'!O321)</f>
        <v>-0.72517991061587639</v>
      </c>
      <c r="I321">
        <f t="shared" si="8"/>
        <v>3914.6374125462958</v>
      </c>
      <c r="K321">
        <f>_xlfn.STDEV.S('R1'!L321,'R2'!L321,'R3'!L321)</f>
        <v>3.077636790854146E-2</v>
      </c>
      <c r="L321">
        <f>_xlfn.STDEV.S('R1'!M321,'R2'!M321,'R3'!M321)</f>
        <v>2.0034630084753421E-2</v>
      </c>
      <c r="M321">
        <f>_xlfn.STDEV.S('R1'!N321,'R2'!N321,'R3'!N321)</f>
        <v>1.8307762379166145E-2</v>
      </c>
      <c r="N321">
        <f>_xlfn.STDEV.S('R1'!O321,'R2'!O321,'R3'!O321)</f>
        <v>2.5680657367976455E-3</v>
      </c>
    </row>
    <row r="322" spans="1:14" x14ac:dyDescent="0.25">
      <c r="A322">
        <f>-'R1'!H322</f>
        <v>-8</v>
      </c>
      <c r="B322">
        <f>DEGREES(ATAN(-SIN(RADIANS(('R1'!I322)))/(COS(RADIANS(Sheet1!A322))*COS(RADIANS('R1'!I322)))))</f>
        <v>-40.276138588852518</v>
      </c>
      <c r="C322">
        <f>AVERAGE('R1'!J322,'R2'!J322,'R3'!J322)</f>
        <v>1.1766666666666665</v>
      </c>
      <c r="D322">
        <f>AVERAGE('R1'!K322,'R2'!K322,'R3'!K322)</f>
        <v>20.23607475</v>
      </c>
      <c r="E322">
        <f>AVERAGE('R1'!L322,'R2'!L322,'R3'!L322)</f>
        <v>-3.1497902760713443</v>
      </c>
      <c r="F322">
        <f>AVERAGE('R1'!M322,'R2'!M322,'R3'!M322)</f>
        <v>1.2091771487602962</v>
      </c>
      <c r="G322">
        <f>AVERAGE('R1'!N322,'R2'!N322,'R3'!N322)</f>
        <v>-1.9136001963677669</v>
      </c>
      <c r="H322">
        <f>AVERAGE('R1'!O322,'R2'!O322,'R3'!O322)</f>
        <v>-1.088813759783678</v>
      </c>
      <c r="I322">
        <f t="shared" si="8"/>
        <v>3968.519103749999</v>
      </c>
      <c r="K322">
        <f>_xlfn.STDEV.S('R1'!L322,'R2'!L322,'R3'!L322)</f>
        <v>5.1578604545415407E-2</v>
      </c>
      <c r="L322">
        <f>_xlfn.STDEV.S('R1'!M322,'R2'!M322,'R3'!M322)</f>
        <v>4.3686760869533145E-3</v>
      </c>
      <c r="M322">
        <f>_xlfn.STDEV.S('R1'!N322,'R2'!N322,'R3'!N322)</f>
        <v>4.1382236875661393E-2</v>
      </c>
      <c r="N322">
        <f>_xlfn.STDEV.S('R1'!O322,'R2'!O322,'R3'!O322)</f>
        <v>9.0581603454801488E-3</v>
      </c>
    </row>
    <row r="323" spans="1:14" x14ac:dyDescent="0.25">
      <c r="A323">
        <f>-'R1'!H323</f>
        <v>-8</v>
      </c>
      <c r="B323">
        <f>DEGREES(ATAN(-SIN(RADIANS(('R1'!I323)))/(COS(RADIANS(Sheet1!A323))*COS(RADIANS('R1'!I323)))))</f>
        <v>-44.280037446618948</v>
      </c>
      <c r="C323">
        <f>AVERAGE('R1'!J323,'R2'!J323,'R3'!J323)</f>
        <v>1.1766666666666665</v>
      </c>
      <c r="D323">
        <f>AVERAGE('R1'!K323,'R2'!K323,'R3'!K323)</f>
        <v>20.895515083333333</v>
      </c>
      <c r="E323">
        <f>AVERAGE('R1'!L323,'R2'!L323,'R3'!L323)</f>
        <v>-4.0285958369205472</v>
      </c>
      <c r="F323">
        <f>AVERAGE('R1'!M323,'R2'!M323,'R3'!M323)</f>
        <v>1.5489023866453193</v>
      </c>
      <c r="G323">
        <f>AVERAGE('R1'!N323,'R2'!N323,'R3'!N323)</f>
        <v>-2.8048691090487892</v>
      </c>
      <c r="H323">
        <f>AVERAGE('R1'!O323,'R2'!O323,'R3'!O323)</f>
        <v>-1.62204906394171</v>
      </c>
      <c r="I323">
        <f t="shared" ref="I323:I386" si="9">C323*D323*0.003/(1.8*10^-5)</f>
        <v>4097.8426802314807</v>
      </c>
      <c r="K323">
        <f>_xlfn.STDEV.S('R1'!L323,'R2'!L323,'R3'!L323)</f>
        <v>5.0049323865610652E-2</v>
      </c>
      <c r="L323">
        <f>_xlfn.STDEV.S('R1'!M323,'R2'!M323,'R3'!M323)</f>
        <v>1.1027631021681647E-2</v>
      </c>
      <c r="M323">
        <f>_xlfn.STDEV.S('R1'!N323,'R2'!N323,'R3'!N323)</f>
        <v>3.0546155718403516E-2</v>
      </c>
      <c r="N323">
        <f>_xlfn.STDEV.S('R1'!O323,'R2'!O323,'R3'!O323)</f>
        <v>6.3927837659380005E-3</v>
      </c>
    </row>
    <row r="324" spans="1:14" x14ac:dyDescent="0.25">
      <c r="A324">
        <f>-'R1'!H324</f>
        <v>-12</v>
      </c>
      <c r="B324">
        <f>DEGREES(ATAN(-SIN(RADIANS(('R1'!I324)))/(COS(RADIANS(Sheet1!A324))*COS(RADIANS('R1'!I324)))))</f>
        <v>44.632773428056808</v>
      </c>
      <c r="C324">
        <f>AVERAGE('R1'!J324,'R2'!J324,'R3'!J324)</f>
        <v>1.1758333333333333</v>
      </c>
      <c r="D324">
        <f>AVERAGE('R1'!K324,'R2'!K324,'R3'!K324)</f>
        <v>21.310156000000003</v>
      </c>
      <c r="E324">
        <f>AVERAGE('R1'!L324,'R2'!L324,'R3'!L324)</f>
        <v>2.7217294950554116</v>
      </c>
      <c r="F324">
        <f>AVERAGE('R1'!M324,'R2'!M324,'R3'!M324)</f>
        <v>1.1606369685971301</v>
      </c>
      <c r="G324">
        <f>AVERAGE('R1'!N324,'R2'!N324,'R3'!N324)</f>
        <v>-1.5704045229486912</v>
      </c>
      <c r="H324">
        <f>AVERAGE('R1'!O324,'R2'!O324,'R3'!O324)</f>
        <v>-1.1763746553455023</v>
      </c>
      <c r="I324">
        <f t="shared" si="9"/>
        <v>4176.198627222223</v>
      </c>
      <c r="K324">
        <f>_xlfn.STDEV.S('R1'!L324,'R2'!L324,'R3'!L324)</f>
        <v>9.5766511530375933E-3</v>
      </c>
      <c r="L324">
        <f>_xlfn.STDEV.S('R1'!M324,'R2'!M324,'R3'!M324)</f>
        <v>6.9833505840539937E-3</v>
      </c>
      <c r="M324">
        <f>_xlfn.STDEV.S('R1'!N324,'R2'!N324,'R3'!N324)</f>
        <v>3.9971705735733698E-3</v>
      </c>
      <c r="N324">
        <f>_xlfn.STDEV.S('R1'!O324,'R2'!O324,'R3'!O324)</f>
        <v>1.1927925975958856E-3</v>
      </c>
    </row>
    <row r="325" spans="1:14" x14ac:dyDescent="0.25">
      <c r="A325">
        <f>-'R1'!H325</f>
        <v>-12</v>
      </c>
      <c r="B325">
        <f>DEGREES(ATAN(-SIN(RADIANS(('R1'!I325)))/(COS(RADIANS(Sheet1!A325))*COS(RADIANS('R1'!I325)))))</f>
        <v>40.624498244732152</v>
      </c>
      <c r="C325">
        <f>AVERAGE('R1'!J325,'R2'!J325,'R3'!J325)</f>
        <v>1.1766666666666665</v>
      </c>
      <c r="D325">
        <f>AVERAGE('R1'!K325,'R2'!K325,'R3'!K325)</f>
        <v>20.959121750000001</v>
      </c>
      <c r="E325">
        <f>AVERAGE('R1'!L325,'R2'!L325,'R3'!L325)</f>
        <v>2.3897735618232137</v>
      </c>
      <c r="F325">
        <f>AVERAGE('R1'!M325,'R2'!M325,'R3'!M325)</f>
        <v>1.0420072748278273</v>
      </c>
      <c r="G325">
        <f>AVERAGE('R1'!N325,'R2'!N325,'R3'!N325)</f>
        <v>-1.2194635456051059</v>
      </c>
      <c r="H325">
        <f>AVERAGE('R1'!O325,'R2'!O325,'R3'!O325)</f>
        <v>-0.90950366262731708</v>
      </c>
      <c r="I325">
        <f t="shared" si="9"/>
        <v>4110.3166543055549</v>
      </c>
      <c r="K325">
        <f>_xlfn.STDEV.S('R1'!L325,'R2'!L325,'R3'!L325)</f>
        <v>5.4585370558035608E-3</v>
      </c>
      <c r="L325">
        <f>_xlfn.STDEV.S('R1'!M325,'R2'!M325,'R3'!M325)</f>
        <v>6.7249906060639986E-3</v>
      </c>
      <c r="M325">
        <f>_xlfn.STDEV.S('R1'!N325,'R2'!N325,'R3'!N325)</f>
        <v>2.8400358343276515E-3</v>
      </c>
      <c r="N325">
        <f>_xlfn.STDEV.S('R1'!O325,'R2'!O325,'R3'!O325)</f>
        <v>1.8690403890074861E-3</v>
      </c>
    </row>
    <row r="326" spans="1:14" x14ac:dyDescent="0.25">
      <c r="A326">
        <f>-'R1'!H326</f>
        <v>-12</v>
      </c>
      <c r="B326">
        <f>DEGREES(ATAN(-SIN(RADIANS(('R1'!I326)))/(COS(RADIANS(Sheet1!A326))*COS(RADIANS('R1'!I326)))))</f>
        <v>36.604002006988381</v>
      </c>
      <c r="C326">
        <f>AVERAGE('R1'!J326,'R2'!J326,'R3'!J326)</f>
        <v>1.1766666666666665</v>
      </c>
      <c r="D326">
        <f>AVERAGE('R1'!K326,'R2'!K326,'R3'!K326)</f>
        <v>20.837932249999998</v>
      </c>
      <c r="E326">
        <f>AVERAGE('R1'!L326,'R2'!L326,'R3'!L326)</f>
        <v>2.1033641746474454</v>
      </c>
      <c r="F326">
        <f>AVERAGE('R1'!M326,'R2'!M326,'R3'!M326)</f>
        <v>0.95478664662193502</v>
      </c>
      <c r="G326">
        <f>AVERAGE('R1'!N326,'R2'!N326,'R3'!N326)</f>
        <v>-0.9409549949348408</v>
      </c>
      <c r="H326">
        <f>AVERAGE('R1'!O326,'R2'!O326,'R3'!O326)</f>
        <v>-0.67875973542152446</v>
      </c>
      <c r="I326">
        <f t="shared" si="9"/>
        <v>4086.5500468055543</v>
      </c>
      <c r="K326">
        <f>_xlfn.STDEV.S('R1'!L326,'R2'!L326,'R3'!L326)</f>
        <v>7.0956302388314723E-3</v>
      </c>
      <c r="L326">
        <f>_xlfn.STDEV.S('R1'!M326,'R2'!M326,'R3'!M326)</f>
        <v>8.6979057415592087E-3</v>
      </c>
      <c r="M326">
        <f>_xlfn.STDEV.S('R1'!N326,'R2'!N326,'R3'!N326)</f>
        <v>1.7570434582694415E-3</v>
      </c>
      <c r="N326">
        <f>_xlfn.STDEV.S('R1'!O326,'R2'!O326,'R3'!O326)</f>
        <v>2.2940989214093647E-3</v>
      </c>
    </row>
    <row r="327" spans="1:14" x14ac:dyDescent="0.25">
      <c r="A327">
        <f>-'R1'!H327</f>
        <v>-12</v>
      </c>
      <c r="B327">
        <f>DEGREES(ATAN(-SIN(RADIANS(('R1'!I327)))/(COS(RADIANS(Sheet1!A327))*COS(RADIANS('R1'!I327)))))</f>
        <v>32.571632726288172</v>
      </c>
      <c r="C327">
        <f>AVERAGE('R1'!J327,'R2'!J327,'R3'!J327)</f>
        <v>1.1766666666666665</v>
      </c>
      <c r="D327">
        <f>AVERAGE('R1'!K327,'R2'!K327,'R3'!K327)</f>
        <v>21.119021083333333</v>
      </c>
      <c r="E327">
        <f>AVERAGE('R1'!L327,'R2'!L327,'R3'!L327)</f>
        <v>1.864358809361877</v>
      </c>
      <c r="F327">
        <f>AVERAGE('R1'!M327,'R2'!M327,'R3'!M327)</f>
        <v>0.886343239149606</v>
      </c>
      <c r="G327">
        <f>AVERAGE('R1'!N327,'R2'!N327,'R3'!N327)</f>
        <v>-0.73157795213339616</v>
      </c>
      <c r="H327">
        <f>AVERAGE('R1'!O327,'R2'!O327,'R3'!O327)</f>
        <v>-0.47373826184676265</v>
      </c>
      <c r="I327">
        <f t="shared" si="9"/>
        <v>4141.6746902314808</v>
      </c>
      <c r="K327">
        <f>_xlfn.STDEV.S('R1'!L327,'R2'!L327,'R3'!L327)</f>
        <v>2.6668391304010951E-3</v>
      </c>
      <c r="L327">
        <f>_xlfn.STDEV.S('R1'!M327,'R2'!M327,'R3'!M327)</f>
        <v>1.0438295291258681E-2</v>
      </c>
      <c r="M327">
        <f>_xlfn.STDEV.S('R1'!N327,'R2'!N327,'R3'!N327)</f>
        <v>2.0363912462895654E-3</v>
      </c>
      <c r="N327">
        <f>_xlfn.STDEV.S('R1'!O327,'R2'!O327,'R3'!O327)</f>
        <v>8.1612197095736871E-3</v>
      </c>
    </row>
    <row r="328" spans="1:14" x14ac:dyDescent="0.25">
      <c r="A328">
        <f>-'R1'!H328</f>
        <v>-12</v>
      </c>
      <c r="B328">
        <f>DEGREES(ATAN(-SIN(RADIANS(('R1'!I328)))/(COS(RADIANS(Sheet1!A328))*COS(RADIANS('R1'!I328)))))</f>
        <v>28.527978326363606</v>
      </c>
      <c r="C328">
        <f>AVERAGE('R1'!J328,'R2'!J328,'R3'!J328)</f>
        <v>1.1766666666666665</v>
      </c>
      <c r="D328">
        <f>AVERAGE('R1'!K328,'R2'!K328,'R3'!K328)</f>
        <v>21.344852416666669</v>
      </c>
      <c r="E328">
        <f>AVERAGE('R1'!L328,'R2'!L328,'R3'!L328)</f>
        <v>1.6518527336596838</v>
      </c>
      <c r="F328">
        <f>AVERAGE('R1'!M328,'R2'!M328,'R3'!M328)</f>
        <v>0.83735394017731501</v>
      </c>
      <c r="G328">
        <f>AVERAGE('R1'!N328,'R2'!N328,'R3'!N328)</f>
        <v>-0.56225455987371553</v>
      </c>
      <c r="H328">
        <f>AVERAGE('R1'!O328,'R2'!O328,'R3'!O328)</f>
        <v>-0.27743467199557642</v>
      </c>
      <c r="I328">
        <f t="shared" si="9"/>
        <v>4185.9627239351848</v>
      </c>
      <c r="K328">
        <f>_xlfn.STDEV.S('R1'!L328,'R2'!L328,'R3'!L328)</f>
        <v>3.6656616328944432E-3</v>
      </c>
      <c r="L328">
        <f>_xlfn.STDEV.S('R1'!M328,'R2'!M328,'R3'!M328)</f>
        <v>8.0022103645494367E-3</v>
      </c>
      <c r="M328">
        <f>_xlfn.STDEV.S('R1'!N328,'R2'!N328,'R3'!N328)</f>
        <v>6.9913023681662844E-3</v>
      </c>
      <c r="N328">
        <f>_xlfn.STDEV.S('R1'!O328,'R2'!O328,'R3'!O328)</f>
        <v>4.5586104739086608E-3</v>
      </c>
    </row>
    <row r="329" spans="1:14" x14ac:dyDescent="0.25">
      <c r="A329">
        <f>-'R1'!H329</f>
        <v>-12</v>
      </c>
      <c r="B329">
        <f>DEGREES(ATAN(-SIN(RADIANS(('R1'!I329)))/(COS(RADIANS(Sheet1!A329))*COS(RADIANS('R1'!I329)))))</f>
        <v>24.473858605038014</v>
      </c>
      <c r="C329">
        <f>AVERAGE('R1'!J329,'R2'!J329,'R3'!J329)</f>
        <v>1.1766666666666665</v>
      </c>
      <c r="D329">
        <f>AVERAGE('R1'!K329,'R2'!K329,'R3'!K329)</f>
        <v>21.051960666666666</v>
      </c>
      <c r="E329">
        <f>AVERAGE('R1'!L329,'R2'!L329,'R3'!L329)</f>
        <v>1.4535128019967469</v>
      </c>
      <c r="F329">
        <f>AVERAGE('R1'!M329,'R2'!M329,'R3'!M329)</f>
        <v>0.7857281105697046</v>
      </c>
      <c r="G329">
        <f>AVERAGE('R1'!N329,'R2'!N329,'R3'!N329)</f>
        <v>-0.42174414330468307</v>
      </c>
      <c r="H329">
        <f>AVERAGE('R1'!O329,'R2'!O329,'R3'!O329)</f>
        <v>-8.6400718039361113E-2</v>
      </c>
      <c r="I329">
        <f t="shared" si="9"/>
        <v>4128.5233974074063</v>
      </c>
      <c r="K329">
        <f>_xlfn.STDEV.S('R1'!L329,'R2'!L329,'R3'!L329)</f>
        <v>5.2316380135494578E-3</v>
      </c>
      <c r="L329">
        <f>_xlfn.STDEV.S('R1'!M329,'R2'!M329,'R3'!M329)</f>
        <v>5.688335693882907E-3</v>
      </c>
      <c r="M329">
        <f>_xlfn.STDEV.S('R1'!N329,'R2'!N329,'R3'!N329)</f>
        <v>2.0213262751375021E-3</v>
      </c>
      <c r="N329">
        <f>_xlfn.STDEV.S('R1'!O329,'R2'!O329,'R3'!O329)</f>
        <v>1.0804376432021505E-2</v>
      </c>
    </row>
    <row r="330" spans="1:14" x14ac:dyDescent="0.25">
      <c r="A330">
        <f>-'R1'!H330</f>
        <v>-12</v>
      </c>
      <c r="B330">
        <f>DEGREES(ATAN(-SIN(RADIANS(('R1'!I330)))/(COS(RADIANS(Sheet1!A330))*COS(RADIANS('R1'!I330)))))</f>
        <v>20.410311753659691</v>
      </c>
      <c r="C330">
        <f>AVERAGE('R1'!J330,'R2'!J330,'R3'!J330)</f>
        <v>1.1766666666666665</v>
      </c>
      <c r="D330">
        <f>AVERAGE('R1'!K330,'R2'!K330,'R3'!K330)</f>
        <v>20.874722083333332</v>
      </c>
      <c r="E330">
        <f>AVERAGE('R1'!L330,'R2'!L330,'R3'!L330)</f>
        <v>1.2581520139099684</v>
      </c>
      <c r="F330">
        <f>AVERAGE('R1'!M330,'R2'!M330,'R3'!M330)</f>
        <v>0.75023403690934554</v>
      </c>
      <c r="G330">
        <f>AVERAGE('R1'!N330,'R2'!N330,'R3'!N330)</f>
        <v>-0.30713215135508526</v>
      </c>
      <c r="H330">
        <f>AVERAGE('R1'!O330,'R2'!O330,'R3'!O330)</f>
        <v>9.841144426365793E-2</v>
      </c>
      <c r="I330">
        <f t="shared" si="9"/>
        <v>4093.7649418981473</v>
      </c>
      <c r="K330">
        <f>_xlfn.STDEV.S('R1'!L330,'R2'!L330,'R3'!L330)</f>
        <v>7.9562856513304924E-4</v>
      </c>
      <c r="L330">
        <f>_xlfn.STDEV.S('R1'!M330,'R2'!M330,'R3'!M330)</f>
        <v>3.1420589236477005E-3</v>
      </c>
      <c r="M330">
        <f>_xlfn.STDEV.S('R1'!N330,'R2'!N330,'R3'!N330)</f>
        <v>3.124947816774666E-3</v>
      </c>
      <c r="N330">
        <f>_xlfn.STDEV.S('R1'!O330,'R2'!O330,'R3'!O330)</f>
        <v>4.33873142156249E-3</v>
      </c>
    </row>
    <row r="331" spans="1:14" x14ac:dyDescent="0.25">
      <c r="A331">
        <f>-'R1'!H331</f>
        <v>-12</v>
      </c>
      <c r="B331">
        <f>DEGREES(ATAN(-SIN(RADIANS(('R1'!I331)))/(COS(RADIANS(Sheet1!A331))*COS(RADIANS('R1'!I331)))))</f>
        <v>16.338575476506957</v>
      </c>
      <c r="C331">
        <f>AVERAGE('R1'!J331,'R2'!J331,'R3'!J331)</f>
        <v>1.1766666666666665</v>
      </c>
      <c r="D331">
        <f>AVERAGE('R1'!K331,'R2'!K331,'R3'!K331)</f>
        <v>20.652627583333334</v>
      </c>
      <c r="E331">
        <f>AVERAGE('R1'!L331,'R2'!L331,'R3'!L331)</f>
        <v>1.0380674771086051</v>
      </c>
      <c r="F331">
        <f>AVERAGE('R1'!M331,'R2'!M331,'R3'!M331)</f>
        <v>0.7589364738280695</v>
      </c>
      <c r="G331">
        <f>AVERAGE('R1'!N331,'R2'!N331,'R3'!N331)</f>
        <v>-0.21160272009947059</v>
      </c>
      <c r="H331">
        <f>AVERAGE('R1'!O331,'R2'!O331,'R3'!O331)</f>
        <v>0.24221771946311635</v>
      </c>
      <c r="I331">
        <f t="shared" si="9"/>
        <v>4050.2097427314811</v>
      </c>
      <c r="K331">
        <f>_xlfn.STDEV.S('R1'!L331,'R2'!L331,'R3'!L331)</f>
        <v>4.7955305858174199E-3</v>
      </c>
      <c r="L331">
        <f>_xlfn.STDEV.S('R1'!M331,'R2'!M331,'R3'!M331)</f>
        <v>1.4696908981340505E-3</v>
      </c>
      <c r="M331">
        <f>_xlfn.STDEV.S('R1'!N331,'R2'!N331,'R3'!N331)</f>
        <v>3.005542471494762E-4</v>
      </c>
      <c r="N331">
        <f>_xlfn.STDEV.S('R1'!O331,'R2'!O331,'R3'!O331)</f>
        <v>4.7288314720308902E-3</v>
      </c>
    </row>
    <row r="332" spans="1:14" x14ac:dyDescent="0.25">
      <c r="A332">
        <f>-'R1'!H332</f>
        <v>-12</v>
      </c>
      <c r="B332">
        <f>DEGREES(ATAN(-SIN(RADIANS(('R1'!I332)))/(COS(RADIANS(Sheet1!A332))*COS(RADIANS('R1'!I332)))))</f>
        <v>12.260062948059348</v>
      </c>
      <c r="C332">
        <f>AVERAGE('R1'!J332,'R2'!J332,'R3'!J332)</f>
        <v>1.1766666666666665</v>
      </c>
      <c r="D332">
        <f>AVERAGE('R1'!K332,'R2'!K332,'R3'!K332)</f>
        <v>20.497499250000001</v>
      </c>
      <c r="E332">
        <f>AVERAGE('R1'!L332,'R2'!L332,'R3'!L332)</f>
        <v>0.80890510453420239</v>
      </c>
      <c r="F332">
        <f>AVERAGE('R1'!M332,'R2'!M332,'R3'!M332)</f>
        <v>0.78220239081156839</v>
      </c>
      <c r="G332">
        <f>AVERAGE('R1'!N332,'R2'!N332,'R3'!N332)</f>
        <v>-0.13891234069077465</v>
      </c>
      <c r="H332">
        <f>AVERAGE('R1'!O332,'R2'!O332,'R3'!O332)</f>
        <v>0.38436603933583141</v>
      </c>
      <c r="I332">
        <f t="shared" si="9"/>
        <v>4019.7873529166664</v>
      </c>
      <c r="K332">
        <f>_xlfn.STDEV.S('R1'!L332,'R2'!L332,'R3'!L332)</f>
        <v>1.1987536813215186E-3</v>
      </c>
      <c r="L332">
        <f>_xlfn.STDEV.S('R1'!M332,'R2'!M332,'R3'!M332)</f>
        <v>9.2889939058917095E-3</v>
      </c>
      <c r="M332">
        <f>_xlfn.STDEV.S('R1'!N332,'R2'!N332,'R3'!N332)</f>
        <v>1.6018816695715006E-3</v>
      </c>
      <c r="N332">
        <f>_xlfn.STDEV.S('R1'!O332,'R2'!O332,'R3'!O332)</f>
        <v>8.9790361201503906E-3</v>
      </c>
    </row>
    <row r="333" spans="1:14" x14ac:dyDescent="0.25">
      <c r="A333">
        <f>-'R1'!H333</f>
        <v>-12</v>
      </c>
      <c r="B333">
        <f>DEGREES(ATAN(-SIN(RADIANS(('R1'!I333)))/(COS(RADIANS(Sheet1!A333))*COS(RADIANS('R1'!I333)))))</f>
        <v>8.1763340518815415</v>
      </c>
      <c r="C333">
        <f>AVERAGE('R1'!J333,'R2'!J333,'R3'!J333)</f>
        <v>1.1766666666666665</v>
      </c>
      <c r="D333">
        <f>AVERAGE('R1'!K333,'R2'!K333,'R3'!K333)</f>
        <v>20.387381166666668</v>
      </c>
      <c r="E333">
        <f>AVERAGE('R1'!L333,'R2'!L333,'R3'!L333)</f>
        <v>0.56999280774867822</v>
      </c>
      <c r="F333">
        <f>AVERAGE('R1'!M333,'R2'!M333,'R3'!M333)</f>
        <v>0.84661532340549039</v>
      </c>
      <c r="G333">
        <f>AVERAGE('R1'!N333,'R2'!N333,'R3'!N333)</f>
        <v>-9.7132699226742156E-2</v>
      </c>
      <c r="H333">
        <f>AVERAGE('R1'!O333,'R2'!O333,'R3'!O333)</f>
        <v>0.48599798657060544</v>
      </c>
      <c r="I333">
        <f t="shared" si="9"/>
        <v>3998.1919732407405</v>
      </c>
      <c r="K333">
        <f>_xlfn.STDEV.S('R1'!L333,'R2'!L333,'R3'!L333)</f>
        <v>3.3080811249387504E-3</v>
      </c>
      <c r="L333">
        <f>_xlfn.STDEV.S('R1'!M333,'R2'!M333,'R3'!M333)</f>
        <v>5.7233490297861622E-4</v>
      </c>
      <c r="M333">
        <f>_xlfn.STDEV.S('R1'!N333,'R2'!N333,'R3'!N333)</f>
        <v>1.729616153777986E-3</v>
      </c>
      <c r="N333">
        <f>_xlfn.STDEV.S('R1'!O333,'R2'!O333,'R3'!O333)</f>
        <v>1.3126773436447467E-3</v>
      </c>
    </row>
    <row r="334" spans="1:14" x14ac:dyDescent="0.25">
      <c r="A334">
        <f>-'R1'!H334</f>
        <v>-12</v>
      </c>
      <c r="B334">
        <f>DEGREES(ATAN(-SIN(RADIANS(('R1'!I334)))/(COS(RADIANS(Sheet1!A334))*COS(RADIANS('R1'!I334)))))</f>
        <v>4.0890625478299265</v>
      </c>
      <c r="C334">
        <f>AVERAGE('R1'!J334,'R2'!J334,'R3'!J334)</f>
        <v>1.1766666666666665</v>
      </c>
      <c r="D334">
        <f>AVERAGE('R1'!K334,'R2'!K334,'R3'!K334)</f>
        <v>20.238722416666665</v>
      </c>
      <c r="E334">
        <f>AVERAGE('R1'!L334,'R2'!L334,'R3'!L334)</f>
        <v>0.30976154465995526</v>
      </c>
      <c r="F334">
        <f>AVERAGE('R1'!M334,'R2'!M334,'R3'!M334)</f>
        <v>0.91412232840396923</v>
      </c>
      <c r="G334">
        <f>AVERAGE('R1'!N334,'R2'!N334,'R3'!N334)</f>
        <v>-7.2765989154283034E-2</v>
      </c>
      <c r="H334">
        <f>AVERAGE('R1'!O334,'R2'!O334,'R3'!O334)</f>
        <v>0.58699326035058241</v>
      </c>
      <c r="I334">
        <f t="shared" si="9"/>
        <v>3969.0383406018509</v>
      </c>
      <c r="K334">
        <f>_xlfn.STDEV.S('R1'!L334,'R2'!L334,'R3'!L334)</f>
        <v>5.4017563431818455E-3</v>
      </c>
      <c r="L334">
        <f>_xlfn.STDEV.S('R1'!M334,'R2'!M334,'R3'!M334)</f>
        <v>4.08490815998468E-3</v>
      </c>
      <c r="M334">
        <f>_xlfn.STDEV.S('R1'!N334,'R2'!N334,'R3'!N334)</f>
        <v>2.797633962496813E-3</v>
      </c>
      <c r="N334">
        <f>_xlfn.STDEV.S('R1'!O334,'R2'!O334,'R3'!O334)</f>
        <v>7.2921536388888732E-3</v>
      </c>
    </row>
    <row r="335" spans="1:14" x14ac:dyDescent="0.25">
      <c r="A335">
        <f>-'R1'!H335</f>
        <v>-12</v>
      </c>
      <c r="B335">
        <f>DEGREES(ATAN(-SIN(RADIANS(('R1'!I335)))/(COS(RADIANS(Sheet1!A335))*COS(RADIANS('R1'!I335)))))</f>
        <v>0</v>
      </c>
      <c r="C335">
        <f>AVERAGE('R1'!J335,'R2'!J335,'R3'!J335)</f>
        <v>1.1766666666666665</v>
      </c>
      <c r="D335">
        <f>AVERAGE('R1'!K335,'R2'!K335,'R3'!K335)</f>
        <v>20.562058666666669</v>
      </c>
      <c r="E335">
        <f>AVERAGE('R1'!L335,'R2'!L335,'R3'!L335)</f>
        <v>2.5450435243462632E-2</v>
      </c>
      <c r="F335">
        <f>AVERAGE('R1'!M335,'R2'!M335,'R3'!M335)</f>
        <v>0.98652730676626088</v>
      </c>
      <c r="G335">
        <f>AVERAGE('R1'!N335,'R2'!N335,'R3'!N335)</f>
        <v>-7.0018700206445433E-2</v>
      </c>
      <c r="H335">
        <f>AVERAGE('R1'!O335,'R2'!O335,'R3'!O335)</f>
        <v>0.69027635767582607</v>
      </c>
      <c r="I335">
        <f t="shared" si="9"/>
        <v>4032.4481718518514</v>
      </c>
      <c r="K335">
        <f>_xlfn.STDEV.S('R1'!L335,'R2'!L335,'R3'!L335)</f>
        <v>5.1303874328707966E-3</v>
      </c>
      <c r="L335">
        <f>_xlfn.STDEV.S('R1'!M335,'R2'!M335,'R3'!M335)</f>
        <v>1.3359057347047018E-2</v>
      </c>
      <c r="M335">
        <f>_xlfn.STDEV.S('R1'!N335,'R2'!N335,'R3'!N335)</f>
        <v>5.8810315354715977E-3</v>
      </c>
      <c r="N335">
        <f>_xlfn.STDEV.S('R1'!O335,'R2'!O335,'R3'!O335)</f>
        <v>1.3489919431317067E-2</v>
      </c>
    </row>
    <row r="336" spans="1:14" x14ac:dyDescent="0.25">
      <c r="A336">
        <f>-'R1'!H336</f>
        <v>-12</v>
      </c>
      <c r="B336">
        <f>DEGREES(ATAN(-SIN(RADIANS(('R1'!I336)))/(COS(RADIANS(Sheet1!A336))*COS(RADIANS('R1'!I336)))))</f>
        <v>-4.0890625478299265</v>
      </c>
      <c r="C336">
        <f>AVERAGE('R1'!J336,'R2'!J336,'R3'!J336)</f>
        <v>1.1766666666666665</v>
      </c>
      <c r="D336">
        <f>AVERAGE('R1'!K336,'R2'!K336,'R3'!K336)</f>
        <v>20.851595833333331</v>
      </c>
      <c r="E336">
        <f>AVERAGE('R1'!L336,'R2'!L336,'R3'!L336)</f>
        <v>-0.26930253115971808</v>
      </c>
      <c r="F336">
        <f>AVERAGE('R1'!M336,'R2'!M336,'R3'!M336)</f>
        <v>0.91066041429169509</v>
      </c>
      <c r="G336">
        <f>AVERAGE('R1'!N336,'R2'!N336,'R3'!N336)</f>
        <v>-7.1983035674846554E-2</v>
      </c>
      <c r="H336">
        <f>AVERAGE('R1'!O336,'R2'!O336,'R3'!O336)</f>
        <v>0.59255432190333368</v>
      </c>
      <c r="I336">
        <f t="shared" si="9"/>
        <v>4089.2296273148131</v>
      </c>
      <c r="K336">
        <f>_xlfn.STDEV.S('R1'!L336,'R2'!L336,'R3'!L336)</f>
        <v>6.8867866311445886E-3</v>
      </c>
      <c r="L336">
        <f>_xlfn.STDEV.S('R1'!M336,'R2'!M336,'R3'!M336)</f>
        <v>1.3736408388903359E-2</v>
      </c>
      <c r="M336">
        <f>_xlfn.STDEV.S('R1'!N336,'R2'!N336,'R3'!N336)</f>
        <v>4.990665008773966E-3</v>
      </c>
      <c r="N336">
        <f>_xlfn.STDEV.S('R1'!O336,'R2'!O336,'R3'!O336)</f>
        <v>5.8528050761303138E-3</v>
      </c>
    </row>
    <row r="337" spans="1:14" x14ac:dyDescent="0.25">
      <c r="A337">
        <f>-'R1'!H337</f>
        <v>-12</v>
      </c>
      <c r="B337">
        <f>DEGREES(ATAN(-SIN(RADIANS(('R1'!I337)))/(COS(RADIANS(Sheet1!A337))*COS(RADIANS('R1'!I337)))))</f>
        <v>-8.1763340518815415</v>
      </c>
      <c r="C337">
        <f>AVERAGE('R1'!J337,'R2'!J337,'R3'!J337)</f>
        <v>1.1766666666666665</v>
      </c>
      <c r="D337">
        <f>AVERAGE('R1'!K337,'R2'!K337,'R3'!K337)</f>
        <v>20.720920750000001</v>
      </c>
      <c r="E337">
        <f>AVERAGE('R1'!L337,'R2'!L337,'R3'!L337)</f>
        <v>-0.53088474116019613</v>
      </c>
      <c r="F337">
        <f>AVERAGE('R1'!M337,'R2'!M337,'R3'!M337)</f>
        <v>0.84285588152223623</v>
      </c>
      <c r="G337">
        <f>AVERAGE('R1'!N337,'R2'!N337,'R3'!N337)</f>
        <v>-9.2448123469845322E-2</v>
      </c>
      <c r="H337">
        <f>AVERAGE('R1'!O337,'R2'!O337,'R3'!O337)</f>
        <v>0.48246124490327169</v>
      </c>
      <c r="I337">
        <f t="shared" si="9"/>
        <v>4063.6027915277773</v>
      </c>
      <c r="K337">
        <f>_xlfn.STDEV.S('R1'!L337,'R2'!L337,'R3'!L337)</f>
        <v>4.3531774893658852E-3</v>
      </c>
      <c r="L337">
        <f>_xlfn.STDEV.S('R1'!M337,'R2'!M337,'R3'!M337)</f>
        <v>6.5368787432972487E-3</v>
      </c>
      <c r="M337">
        <f>_xlfn.STDEV.S('R1'!N337,'R2'!N337,'R3'!N337)</f>
        <v>1.9933939956497644E-3</v>
      </c>
      <c r="N337">
        <f>_xlfn.STDEV.S('R1'!O337,'R2'!O337,'R3'!O337)</f>
        <v>4.1678439840656511E-3</v>
      </c>
    </row>
    <row r="338" spans="1:14" x14ac:dyDescent="0.25">
      <c r="A338">
        <f>-'R1'!H338</f>
        <v>-12</v>
      </c>
      <c r="B338">
        <f>DEGREES(ATAN(-SIN(RADIANS(('R1'!I338)))/(COS(RADIANS(Sheet1!A338))*COS(RADIANS('R1'!I338)))))</f>
        <v>-12.260062948059348</v>
      </c>
      <c r="C338">
        <f>AVERAGE('R1'!J338,'R2'!J338,'R3'!J338)</f>
        <v>1.1766666666666665</v>
      </c>
      <c r="D338">
        <f>AVERAGE('R1'!K338,'R2'!K338,'R3'!K338)</f>
        <v>20.911338083333334</v>
      </c>
      <c r="E338">
        <f>AVERAGE('R1'!L338,'R2'!L338,'R3'!L338)</f>
        <v>-0.78935615774119394</v>
      </c>
      <c r="F338">
        <f>AVERAGE('R1'!M338,'R2'!M338,'R3'!M338)</f>
        <v>0.79564878605697931</v>
      </c>
      <c r="G338">
        <f>AVERAGE('R1'!N338,'R2'!N338,'R3'!N338)</f>
        <v>-0.1410607551744667</v>
      </c>
      <c r="H338">
        <f>AVERAGE('R1'!O338,'R2'!O338,'R3'!O338)</f>
        <v>0.3629171851950545</v>
      </c>
      <c r="I338">
        <f t="shared" si="9"/>
        <v>4100.9457463425924</v>
      </c>
      <c r="K338">
        <f>_xlfn.STDEV.S('R1'!L338,'R2'!L338,'R3'!L338)</f>
        <v>2.9714751480745586E-3</v>
      </c>
      <c r="L338">
        <f>_xlfn.STDEV.S('R1'!M338,'R2'!M338,'R3'!M338)</f>
        <v>6.871521315234142E-3</v>
      </c>
      <c r="M338">
        <f>_xlfn.STDEV.S('R1'!N338,'R2'!N338,'R3'!N338)</f>
        <v>3.2198051960384325E-3</v>
      </c>
      <c r="N338">
        <f>_xlfn.STDEV.S('R1'!O338,'R2'!O338,'R3'!O338)</f>
        <v>2.8139412113233923E-3</v>
      </c>
    </row>
    <row r="339" spans="1:14" x14ac:dyDescent="0.25">
      <c r="A339">
        <f>-'R1'!H339</f>
        <v>-12</v>
      </c>
      <c r="B339">
        <f>DEGREES(ATAN(-SIN(RADIANS(('R1'!I339)))/(COS(RADIANS(Sheet1!A339))*COS(RADIANS('R1'!I339)))))</f>
        <v>-16.338575476506957</v>
      </c>
      <c r="C339">
        <f>AVERAGE('R1'!J339,'R2'!J339,'R3'!J339)</f>
        <v>1.1766666666666665</v>
      </c>
      <c r="D339">
        <f>AVERAGE('R1'!K339,'R2'!K339,'R3'!K339)</f>
        <v>21.157251083333332</v>
      </c>
      <c r="E339">
        <f>AVERAGE('R1'!L339,'R2'!L339,'R3'!L339)</f>
        <v>-1.0431126831137469</v>
      </c>
      <c r="F339">
        <f>AVERAGE('R1'!M339,'R2'!M339,'R3'!M339)</f>
        <v>0.76413434500437116</v>
      </c>
      <c r="G339">
        <f>AVERAGE('R1'!N339,'R2'!N339,'R3'!N339)</f>
        <v>-0.22346405203457528</v>
      </c>
      <c r="H339">
        <f>AVERAGE('R1'!O339,'R2'!O339,'R3'!O339)</f>
        <v>0.24037966893934803</v>
      </c>
      <c r="I339">
        <f t="shared" si="9"/>
        <v>4149.1720180092589</v>
      </c>
      <c r="K339">
        <f>_xlfn.STDEV.S('R1'!L339,'R2'!L339,'R3'!L339)</f>
        <v>7.9906090684619818E-3</v>
      </c>
      <c r="L339">
        <f>_xlfn.STDEV.S('R1'!M339,'R2'!M339,'R3'!M339)</f>
        <v>9.2154281115999562E-3</v>
      </c>
      <c r="M339">
        <f>_xlfn.STDEV.S('R1'!N339,'R2'!N339,'R3'!N339)</f>
        <v>5.1570432662018106E-3</v>
      </c>
      <c r="N339">
        <f>_xlfn.STDEV.S('R1'!O339,'R2'!O339,'R3'!O339)</f>
        <v>3.2767959817705961E-3</v>
      </c>
    </row>
    <row r="340" spans="1:14" x14ac:dyDescent="0.25">
      <c r="A340">
        <f>-'R1'!H340</f>
        <v>-12</v>
      </c>
      <c r="B340">
        <f>DEGREES(ATAN(-SIN(RADIANS(('R1'!I340)))/(COS(RADIANS(Sheet1!A340))*COS(RADIANS('R1'!I340)))))</f>
        <v>-20.410311753659691</v>
      </c>
      <c r="C340">
        <f>AVERAGE('R1'!J340,'R2'!J340,'R3'!J340)</f>
        <v>1.1766666666666665</v>
      </c>
      <c r="D340">
        <f>AVERAGE('R1'!K340,'R2'!K340,'R3'!K340)</f>
        <v>20.966279166666666</v>
      </c>
      <c r="E340">
        <f>AVERAGE('R1'!L340,'R2'!L340,'R3'!L340)</f>
        <v>-1.267485876204536</v>
      </c>
      <c r="F340">
        <f>AVERAGE('R1'!M340,'R2'!M340,'R3'!M340)</f>
        <v>0.78493096227812253</v>
      </c>
      <c r="G340">
        <f>AVERAGE('R1'!N340,'R2'!N340,'R3'!N340)</f>
        <v>-0.33331726845758441</v>
      </c>
      <c r="H340">
        <f>AVERAGE('R1'!O340,'R2'!O340,'R3'!O340)</f>
        <v>9.215922252347071E-2</v>
      </c>
      <c r="I340">
        <f t="shared" si="9"/>
        <v>4111.7203032407406</v>
      </c>
      <c r="K340">
        <f>_xlfn.STDEV.S('R1'!L340,'R2'!L340,'R3'!L340)</f>
        <v>5.5367336133868277E-3</v>
      </c>
      <c r="L340">
        <f>_xlfn.STDEV.S('R1'!M340,'R2'!M340,'R3'!M340)</f>
        <v>1.4607522988493549E-2</v>
      </c>
      <c r="M340">
        <f>_xlfn.STDEV.S('R1'!N340,'R2'!N340,'R3'!N340)</f>
        <v>2.6987495964824432E-3</v>
      </c>
      <c r="N340">
        <f>_xlfn.STDEV.S('R1'!O340,'R2'!O340,'R3'!O340)</f>
        <v>8.030255392410349E-3</v>
      </c>
    </row>
    <row r="341" spans="1:14" x14ac:dyDescent="0.25">
      <c r="A341">
        <f>-'R1'!H341</f>
        <v>-12</v>
      </c>
      <c r="B341">
        <f>DEGREES(ATAN(-SIN(RADIANS(('R1'!I341)))/(COS(RADIANS(Sheet1!A341))*COS(RADIANS('R1'!I341)))))</f>
        <v>-24.473858605038014</v>
      </c>
      <c r="C341">
        <f>AVERAGE('R1'!J341,'R2'!J341,'R3'!J341)</f>
        <v>1.1766666666666665</v>
      </c>
      <c r="D341">
        <f>AVERAGE('R1'!K341,'R2'!K341,'R3'!K341)</f>
        <v>20.776518833333331</v>
      </c>
      <c r="E341">
        <f>AVERAGE('R1'!L341,'R2'!L341,'R3'!L341)</f>
        <v>-1.4864211787454529</v>
      </c>
      <c r="F341">
        <f>AVERAGE('R1'!M341,'R2'!M341,'R3'!M341)</f>
        <v>0.8537845914007528</v>
      </c>
      <c r="G341">
        <f>AVERAGE('R1'!N341,'R2'!N341,'R3'!N341)</f>
        <v>-0.47955108872975311</v>
      </c>
      <c r="H341">
        <f>AVERAGE('R1'!O341,'R2'!O341,'R3'!O341)</f>
        <v>-7.9962457669968248E-2</v>
      </c>
      <c r="I341">
        <f t="shared" si="9"/>
        <v>4074.5061934259252</v>
      </c>
      <c r="K341">
        <f>_xlfn.STDEV.S('R1'!L341,'R2'!L341,'R3'!L341)</f>
        <v>1.1289152631322913E-2</v>
      </c>
      <c r="L341">
        <f>_xlfn.STDEV.S('R1'!M341,'R2'!M341,'R3'!M341)</f>
        <v>5.7263368766964015E-3</v>
      </c>
      <c r="M341">
        <f>_xlfn.STDEV.S('R1'!N341,'R2'!N341,'R3'!N341)</f>
        <v>4.3969170027659092E-3</v>
      </c>
      <c r="N341">
        <f>_xlfn.STDEV.S('R1'!O341,'R2'!O341,'R3'!O341)</f>
        <v>1.4360988321895293E-3</v>
      </c>
    </row>
    <row r="342" spans="1:14" x14ac:dyDescent="0.25">
      <c r="A342">
        <f>-'R1'!H342</f>
        <v>-12</v>
      </c>
      <c r="B342">
        <f>DEGREES(ATAN(-SIN(RADIANS(('R1'!I342)))/(COS(RADIANS(Sheet1!A342))*COS(RADIANS('R1'!I342)))))</f>
        <v>-28.527978326363606</v>
      </c>
      <c r="C342">
        <f>AVERAGE('R1'!J342,'R2'!J342,'R3'!J342)</f>
        <v>1.1766666666666665</v>
      </c>
      <c r="D342">
        <f>AVERAGE('R1'!K342,'R2'!K342,'R3'!K342)</f>
        <v>20.553747999999999</v>
      </c>
      <c r="E342">
        <f>AVERAGE('R1'!L342,'R2'!L342,'R3'!L342)</f>
        <v>-1.7072218848034293</v>
      </c>
      <c r="F342">
        <f>AVERAGE('R1'!M342,'R2'!M342,'R3'!M342)</f>
        <v>0.96481425612146821</v>
      </c>
      <c r="G342">
        <f>AVERAGE('R1'!N342,'R2'!N342,'R3'!N342)</f>
        <v>-0.66437183784711495</v>
      </c>
      <c r="H342">
        <f>AVERAGE('R1'!O342,'R2'!O342,'R3'!O342)</f>
        <v>-0.288164153088664</v>
      </c>
      <c r="I342">
        <f t="shared" si="9"/>
        <v>4030.8183577777772</v>
      </c>
      <c r="K342">
        <f>_xlfn.STDEV.S('R1'!L342,'R2'!L342,'R3'!L342)</f>
        <v>8.2739293298240042E-3</v>
      </c>
      <c r="L342">
        <f>_xlfn.STDEV.S('R1'!M342,'R2'!M342,'R3'!M342)</f>
        <v>1.7967917855488704E-2</v>
      </c>
      <c r="M342">
        <f>_xlfn.STDEV.S('R1'!N342,'R2'!N342,'R3'!N342)</f>
        <v>1.6281640163509248E-3</v>
      </c>
      <c r="N342">
        <f>_xlfn.STDEV.S('R1'!O342,'R2'!O342,'R3'!O342)</f>
        <v>8.8202663941394244E-3</v>
      </c>
    </row>
    <row r="343" spans="1:14" x14ac:dyDescent="0.25">
      <c r="A343">
        <f>-'R1'!H343</f>
        <v>-12</v>
      </c>
      <c r="B343">
        <f>DEGREES(ATAN(-SIN(RADIANS(('R1'!I343)))/(COS(RADIANS(Sheet1!A343))*COS(RADIANS('R1'!I343)))))</f>
        <v>-32.571632726288172</v>
      </c>
      <c r="C343">
        <f>AVERAGE('R1'!J343,'R2'!J343,'R3'!J343)</f>
        <v>1.1766666666666665</v>
      </c>
      <c r="D343">
        <f>AVERAGE('R1'!K343,'R2'!K343,'R3'!K343)</f>
        <v>20.405792166666668</v>
      </c>
      <c r="E343">
        <f>AVERAGE('R1'!L343,'R2'!L343,'R3'!L343)</f>
        <v>-1.9589796439984888</v>
      </c>
      <c r="F343">
        <f>AVERAGE('R1'!M343,'R2'!M343,'R3'!M343)</f>
        <v>1.1067826261519629</v>
      </c>
      <c r="G343">
        <f>AVERAGE('R1'!N343,'R2'!N343,'R3'!N343)</f>
        <v>-0.9031358610892527</v>
      </c>
      <c r="H343">
        <f>AVERAGE('R1'!O343,'R2'!O343,'R3'!O343)</f>
        <v>-0.51149518330118104</v>
      </c>
      <c r="I343">
        <f t="shared" si="9"/>
        <v>4001.8025749074072</v>
      </c>
      <c r="K343">
        <f>_xlfn.STDEV.S('R1'!L343,'R2'!L343,'R3'!L343)</f>
        <v>2.2051115969963352E-2</v>
      </c>
      <c r="L343">
        <f>_xlfn.STDEV.S('R1'!M343,'R2'!M343,'R3'!M343)</f>
        <v>8.8716799802034101E-3</v>
      </c>
      <c r="M343">
        <f>_xlfn.STDEV.S('R1'!N343,'R2'!N343,'R3'!N343)</f>
        <v>1.0909388238660132E-2</v>
      </c>
      <c r="N343">
        <f>_xlfn.STDEV.S('R1'!O343,'R2'!O343,'R3'!O343)</f>
        <v>2.0639685632964722E-3</v>
      </c>
    </row>
    <row r="344" spans="1:14" x14ac:dyDescent="0.25">
      <c r="A344">
        <f>-'R1'!H344</f>
        <v>-12</v>
      </c>
      <c r="B344">
        <f>DEGREES(ATAN(-SIN(RADIANS(('R1'!I344)))/(COS(RADIANS(Sheet1!A344))*COS(RADIANS('R1'!I344)))))</f>
        <v>-36.604002006988381</v>
      </c>
      <c r="C344">
        <f>AVERAGE('R1'!J344,'R2'!J344,'R3'!J344)</f>
        <v>1.1758333333333333</v>
      </c>
      <c r="D344">
        <f>AVERAGE('R1'!K344,'R2'!K344,'R3'!K344)</f>
        <v>20.291434083333332</v>
      </c>
      <c r="E344">
        <f>AVERAGE('R1'!L344,'R2'!L344,'R3'!L344)</f>
        <v>-2.294897968090444</v>
      </c>
      <c r="F344">
        <f>AVERAGE('R1'!M344,'R2'!M344,'R3'!M344)</f>
        <v>1.2825116402621106</v>
      </c>
      <c r="G344">
        <f>AVERAGE('R1'!N344,'R2'!N344,'R3'!N344)</f>
        <v>-1.2405755357157391</v>
      </c>
      <c r="H344">
        <f>AVERAGE('R1'!O344,'R2'!O344,'R3'!O344)</f>
        <v>-0.76893111610621734</v>
      </c>
      <c r="I344">
        <f t="shared" si="9"/>
        <v>3976.5574293865734</v>
      </c>
      <c r="K344">
        <f>_xlfn.STDEV.S('R1'!L344,'R2'!L344,'R3'!L344)</f>
        <v>1.7546875807501024E-2</v>
      </c>
      <c r="L344">
        <f>_xlfn.STDEV.S('R1'!M344,'R2'!M344,'R3'!M344)</f>
        <v>5.3970421970356581E-3</v>
      </c>
      <c r="M344">
        <f>_xlfn.STDEV.S('R1'!N344,'R2'!N344,'R3'!N344)</f>
        <v>9.5482584941046552E-3</v>
      </c>
      <c r="N344">
        <f>_xlfn.STDEV.S('R1'!O344,'R2'!O344,'R3'!O344)</f>
        <v>9.6072660238050308E-4</v>
      </c>
    </row>
    <row r="345" spans="1:14" x14ac:dyDescent="0.25">
      <c r="A345">
        <f>-'R1'!H345</f>
        <v>-12</v>
      </c>
      <c r="B345">
        <f>DEGREES(ATAN(-SIN(RADIANS(('R1'!I345)))/(COS(RADIANS(Sheet1!A345))*COS(RADIANS('R1'!I345)))))</f>
        <v>-40.624498244732152</v>
      </c>
      <c r="C345">
        <f>AVERAGE('R1'!J345,'R2'!J345,'R3'!J345)</f>
        <v>1.1766666666666665</v>
      </c>
      <c r="D345">
        <f>AVERAGE('R1'!K345,'R2'!K345,'R3'!K345)</f>
        <v>20.138334916666665</v>
      </c>
      <c r="E345">
        <f>AVERAGE('R1'!L345,'R2'!L345,'R3'!L345)</f>
        <v>-2.770192324493514</v>
      </c>
      <c r="F345">
        <f>AVERAGE('R1'!M345,'R2'!M345,'R3'!M345)</f>
        <v>1.5236346813359367</v>
      </c>
      <c r="G345">
        <f>AVERAGE('R1'!N345,'R2'!N345,'R3'!N345)</f>
        <v>-1.7317292934857587</v>
      </c>
      <c r="H345">
        <f>AVERAGE('R1'!O345,'R2'!O345,'R3'!O345)</f>
        <v>-1.0984725414633276</v>
      </c>
      <c r="I345">
        <f t="shared" si="9"/>
        <v>3949.3512364351845</v>
      </c>
      <c r="K345">
        <f>_xlfn.STDEV.S('R1'!L345,'R2'!L345,'R3'!L345)</f>
        <v>2.31234795378873E-2</v>
      </c>
      <c r="L345">
        <f>_xlfn.STDEV.S('R1'!M345,'R2'!M345,'R3'!M345)</f>
        <v>1.4895003495512369E-2</v>
      </c>
      <c r="M345">
        <f>_xlfn.STDEV.S('R1'!N345,'R2'!N345,'R3'!N345)</f>
        <v>1.6668925223225915E-2</v>
      </c>
      <c r="N345">
        <f>_xlfn.STDEV.S('R1'!O345,'R2'!O345,'R3'!O345)</f>
        <v>1.7231932092475299E-3</v>
      </c>
    </row>
    <row r="346" spans="1:14" x14ac:dyDescent="0.25">
      <c r="A346">
        <f>-'R1'!H346</f>
        <v>-12</v>
      </c>
      <c r="B346">
        <f>DEGREES(ATAN(-SIN(RADIANS(('R1'!I346)))/(COS(RADIANS(Sheet1!A346))*COS(RADIANS('R1'!I346)))))</f>
        <v>-44.632773428056808</v>
      </c>
      <c r="C346">
        <f>AVERAGE('R1'!J346,'R2'!J346,'R3'!J346)</f>
        <v>1.1766666666666665</v>
      </c>
      <c r="D346">
        <f>AVERAGE('R1'!K346,'R2'!K346,'R3'!K346)</f>
        <v>20.040262583333334</v>
      </c>
      <c r="E346">
        <f>AVERAGE('R1'!L346,'R2'!L346,'R3'!L346)</f>
        <v>-3.4421725005710129</v>
      </c>
      <c r="F346">
        <f>AVERAGE('R1'!M346,'R2'!M346,'R3'!M346)</f>
        <v>1.8557108734043795</v>
      </c>
      <c r="G346">
        <f>AVERAGE('R1'!N346,'R2'!N346,'R3'!N346)</f>
        <v>-2.4515544288926754</v>
      </c>
      <c r="H346">
        <f>AVERAGE('R1'!O346,'R2'!O346,'R3'!O346)</f>
        <v>-1.546215080543232</v>
      </c>
      <c r="I346">
        <f t="shared" si="9"/>
        <v>3930.1181621759256</v>
      </c>
      <c r="K346">
        <f>_xlfn.STDEV.S('R1'!L346,'R2'!L346,'R3'!L346)</f>
        <v>3.5982474486388638E-2</v>
      </c>
      <c r="L346">
        <f>_xlfn.STDEV.S('R1'!M346,'R2'!M346,'R3'!M346)</f>
        <v>1.2041632355654704E-2</v>
      </c>
      <c r="M346">
        <f>_xlfn.STDEV.S('R1'!N346,'R2'!N346,'R3'!N346)</f>
        <v>2.8424113456779167E-2</v>
      </c>
      <c r="N346">
        <f>_xlfn.STDEV.S('R1'!O346,'R2'!O346,'R3'!O346)</f>
        <v>9.7852751655737088E-3</v>
      </c>
    </row>
    <row r="347" spans="1:14" x14ac:dyDescent="0.25">
      <c r="A347">
        <f>-'R1'!H347</f>
        <v>-16</v>
      </c>
      <c r="B347">
        <f>DEGREES(ATAN(-SIN(RADIANS(('R1'!I347)))/(COS(RADIANS(Sheet1!A347))*COS(RADIANS('R1'!I347)))))</f>
        <v>45.131634150601585</v>
      </c>
      <c r="C347">
        <f>AVERAGE('R1'!J347,'R2'!J347,'R3'!J347)</f>
        <v>1.1766666666666665</v>
      </c>
      <c r="D347">
        <f>AVERAGE('R1'!K347,'R2'!K347,'R3'!K347)</f>
        <v>19.864226083333332</v>
      </c>
      <c r="E347">
        <f>AVERAGE('R1'!L347,'R2'!L347,'R3'!L347)</f>
        <v>2.5171588501664761</v>
      </c>
      <c r="F347">
        <f>AVERAGE('R1'!M347,'R2'!M347,'R3'!M347)</f>
        <v>1.415369019340817</v>
      </c>
      <c r="G347">
        <f>AVERAGE('R1'!N347,'R2'!N347,'R3'!N347)</f>
        <v>-1.5117423173129072</v>
      </c>
      <c r="H347">
        <f>AVERAGE('R1'!O347,'R2'!O347,'R3'!O347)</f>
        <v>-1.2049833276657183</v>
      </c>
      <c r="I347">
        <f t="shared" si="9"/>
        <v>3895.5954485648144</v>
      </c>
      <c r="K347">
        <f>_xlfn.STDEV.S('R1'!L347,'R2'!L347,'R3'!L347)</f>
        <v>2.5819531085698403E-3</v>
      </c>
      <c r="L347">
        <f>_xlfn.STDEV.S('R1'!M347,'R2'!M347,'R3'!M347)</f>
        <v>8.3203221786715305E-3</v>
      </c>
      <c r="M347">
        <f>_xlfn.STDEV.S('R1'!N347,'R2'!N347,'R3'!N347)</f>
        <v>3.6745535038412028E-3</v>
      </c>
      <c r="N347">
        <f>_xlfn.STDEV.S('R1'!O347,'R2'!O347,'R3'!O347)</f>
        <v>9.2114987094678077E-3</v>
      </c>
    </row>
    <row r="348" spans="1:14" x14ac:dyDescent="0.25">
      <c r="A348">
        <f>-'R1'!H348</f>
        <v>-16</v>
      </c>
      <c r="B348">
        <f>DEGREES(ATAN(-SIN(RADIANS(('R1'!I348)))/(COS(RADIANS(Sheet1!A348))*COS(RADIANS('R1'!I348)))))</f>
        <v>41.118191358294368</v>
      </c>
      <c r="C348">
        <f>AVERAGE('R1'!J348,'R2'!J348,'R3'!J348)</f>
        <v>1.1766666666666665</v>
      </c>
      <c r="D348">
        <f>AVERAGE('R1'!K348,'R2'!K348,'R3'!K348)</f>
        <v>20.031556249999998</v>
      </c>
      <c r="E348">
        <f>AVERAGE('R1'!L348,'R2'!L348,'R3'!L348)</f>
        <v>2.2300875706537315</v>
      </c>
      <c r="F348">
        <f>AVERAGE('R1'!M348,'R2'!M348,'R3'!M348)</f>
        <v>1.2937235316936402</v>
      </c>
      <c r="G348">
        <f>AVERAGE('R1'!N348,'R2'!N348,'R3'!N348)</f>
        <v>-1.1981097284854021</v>
      </c>
      <c r="H348">
        <f>AVERAGE('R1'!O348,'R2'!O348,'R3'!O348)</f>
        <v>-0.96091944509369476</v>
      </c>
      <c r="I348">
        <f t="shared" si="9"/>
        <v>3928.4107534722207</v>
      </c>
      <c r="K348">
        <f>_xlfn.STDEV.S('R1'!L348,'R2'!L348,'R3'!L348)</f>
        <v>9.9624039272726648E-3</v>
      </c>
      <c r="L348">
        <f>_xlfn.STDEV.S('R1'!M348,'R2'!M348,'R3'!M348)</f>
        <v>8.0242854117731841E-3</v>
      </c>
      <c r="M348">
        <f>_xlfn.STDEV.S('R1'!N348,'R2'!N348,'R3'!N348)</f>
        <v>5.8177020705453822E-3</v>
      </c>
      <c r="N348">
        <f>_xlfn.STDEV.S('R1'!O348,'R2'!O348,'R3'!O348)</f>
        <v>5.4413468138285719E-3</v>
      </c>
    </row>
    <row r="349" spans="1:14" x14ac:dyDescent="0.25">
      <c r="A349">
        <f>-'R1'!H349</f>
        <v>-16</v>
      </c>
      <c r="B349">
        <f>DEGREES(ATAN(-SIN(RADIANS(('R1'!I349)))/(COS(RADIANS(Sheet1!A349))*COS(RADIANS('R1'!I349)))))</f>
        <v>37.082782431142171</v>
      </c>
      <c r="C349">
        <f>AVERAGE('R1'!J349,'R2'!J349,'R3'!J349)</f>
        <v>1.1766666666666665</v>
      </c>
      <c r="D349">
        <f>AVERAGE('R1'!K349,'R2'!K349,'R3'!K349)</f>
        <v>20.461128833333333</v>
      </c>
      <c r="E349">
        <f>AVERAGE('R1'!L349,'R2'!L349,'R3'!L349)</f>
        <v>1.9876295366095811</v>
      </c>
      <c r="F349">
        <f>AVERAGE('R1'!M349,'R2'!M349,'R3'!M349)</f>
        <v>1.2039588463099682</v>
      </c>
      <c r="G349">
        <f>AVERAGE('R1'!N349,'R2'!N349,'R3'!N349)</f>
        <v>-0.95528726130464292</v>
      </c>
      <c r="H349">
        <f>AVERAGE('R1'!O349,'R2'!O349,'R3'!O349)</f>
        <v>-0.75058006514172793</v>
      </c>
      <c r="I349">
        <f t="shared" si="9"/>
        <v>4012.6547100925923</v>
      </c>
      <c r="K349">
        <f>_xlfn.STDEV.S('R1'!L349,'R2'!L349,'R3'!L349)</f>
        <v>7.6544375750310333E-3</v>
      </c>
      <c r="L349">
        <f>_xlfn.STDEV.S('R1'!M349,'R2'!M349,'R3'!M349)</f>
        <v>1.0291978732417724E-2</v>
      </c>
      <c r="M349">
        <f>_xlfn.STDEV.S('R1'!N349,'R2'!N349,'R3'!N349)</f>
        <v>1.8262492831856529E-3</v>
      </c>
      <c r="N349">
        <f>_xlfn.STDEV.S('R1'!O349,'R2'!O349,'R3'!O349)</f>
        <v>1.0109454177747298E-2</v>
      </c>
    </row>
    <row r="350" spans="1:14" x14ac:dyDescent="0.25">
      <c r="A350">
        <f>-'R1'!H350</f>
        <v>-16</v>
      </c>
      <c r="B350">
        <f>DEGREES(ATAN(-SIN(RADIANS(('R1'!I350)))/(COS(RADIANS(Sheet1!A350))*COS(RADIANS('R1'!I350)))))</f>
        <v>33.025931133441695</v>
      </c>
      <c r="C350">
        <f>AVERAGE('R1'!J350,'R2'!J350,'R3'!J350)</f>
        <v>1.1766666666666665</v>
      </c>
      <c r="D350">
        <f>AVERAGE('R1'!K350,'R2'!K350,'R3'!K350)</f>
        <v>21.034197500000001</v>
      </c>
      <c r="E350">
        <f>AVERAGE('R1'!L350,'R2'!L350,'R3'!L350)</f>
        <v>1.7803735379200285</v>
      </c>
      <c r="F350">
        <f>AVERAGE('R1'!M350,'R2'!M350,'R3'!M350)</f>
        <v>1.1416154448328051</v>
      </c>
      <c r="G350">
        <f>AVERAGE('R1'!N350,'R2'!N350,'R3'!N350)</f>
        <v>-0.7675246416727376</v>
      </c>
      <c r="H350">
        <f>AVERAGE('R1'!O350,'R2'!O350,'R3'!O350)</f>
        <v>-0.56393913871681067</v>
      </c>
      <c r="I350">
        <f t="shared" si="9"/>
        <v>4125.0398430555551</v>
      </c>
      <c r="K350">
        <f>_xlfn.STDEV.S('R1'!L350,'R2'!L350,'R3'!L350)</f>
        <v>5.7319093426902151E-3</v>
      </c>
      <c r="L350">
        <f>_xlfn.STDEV.S('R1'!M350,'R2'!M350,'R3'!M350)</f>
        <v>5.4861835084034664E-3</v>
      </c>
      <c r="M350">
        <f>_xlfn.STDEV.S('R1'!N350,'R2'!N350,'R3'!N350)</f>
        <v>5.4017172557473654E-3</v>
      </c>
      <c r="N350">
        <f>_xlfn.STDEV.S('R1'!O350,'R2'!O350,'R3'!O350)</f>
        <v>8.6731935907651912E-3</v>
      </c>
    </row>
    <row r="351" spans="1:14" x14ac:dyDescent="0.25">
      <c r="A351">
        <f>-'R1'!H351</f>
        <v>-16</v>
      </c>
      <c r="B351">
        <f>DEGREES(ATAN(-SIN(RADIANS(('R1'!I351)))/(COS(RADIANS(Sheet1!A351))*COS(RADIANS('R1'!I351)))))</f>
        <v>28.948605633454871</v>
      </c>
      <c r="C351">
        <f>AVERAGE('R1'!J351,'R2'!J351,'R3'!J351)</f>
        <v>1.1766666666666665</v>
      </c>
      <c r="D351">
        <f>AVERAGE('R1'!K351,'R2'!K351,'R3'!K351)</f>
        <v>21.157548666666667</v>
      </c>
      <c r="E351">
        <f>AVERAGE('R1'!L351,'R2'!L351,'R3'!L351)</f>
        <v>1.5916887874668328</v>
      </c>
      <c r="F351">
        <f>AVERAGE('R1'!M351,'R2'!M351,'R3'!M351)</f>
        <v>1.0795291127096833</v>
      </c>
      <c r="G351">
        <f>AVERAGE('R1'!N351,'R2'!N351,'R3'!N351)</f>
        <v>-0.6118036616948882</v>
      </c>
      <c r="H351">
        <f>AVERAGE('R1'!O351,'R2'!O351,'R3'!O351)</f>
        <v>-0.37483065230000606</v>
      </c>
      <c r="I351">
        <f t="shared" si="9"/>
        <v>4149.2303774074071</v>
      </c>
      <c r="K351">
        <f>_xlfn.STDEV.S('R1'!L351,'R2'!L351,'R3'!L351)</f>
        <v>2.1892547554203971E-3</v>
      </c>
      <c r="L351">
        <f>_xlfn.STDEV.S('R1'!M351,'R2'!M351,'R3'!M351)</f>
        <v>2.5362138476347639E-3</v>
      </c>
      <c r="M351">
        <f>_xlfn.STDEV.S('R1'!N351,'R2'!N351,'R3'!N351)</f>
        <v>3.3329448755938717E-3</v>
      </c>
      <c r="N351">
        <f>_xlfn.STDEV.S('R1'!O351,'R2'!O351,'R3'!O351)</f>
        <v>2.3503916119003683E-3</v>
      </c>
    </row>
    <row r="352" spans="1:14" x14ac:dyDescent="0.25">
      <c r="A352">
        <f>-'R1'!H352</f>
        <v>-16</v>
      </c>
      <c r="B352">
        <f>DEGREES(ATAN(-SIN(RADIANS(('R1'!I352)))/(COS(RADIANS(Sheet1!A352))*COS(RADIANS('R1'!I352)))))</f>
        <v>24.852211192112133</v>
      </c>
      <c r="C352">
        <f>AVERAGE('R1'!J352,'R2'!J352,'R3'!J352)</f>
        <v>1.1766666666666665</v>
      </c>
      <c r="D352">
        <f>AVERAGE('R1'!K352,'R2'!K352,'R3'!K352)</f>
        <v>21.310805416666668</v>
      </c>
      <c r="E352">
        <f>AVERAGE('R1'!L352,'R2'!L352,'R3'!L352)</f>
        <v>1.4096453124561419</v>
      </c>
      <c r="F352">
        <f>AVERAGE('R1'!M352,'R2'!M352,'R3'!M352)</f>
        <v>1.0272285776708141</v>
      </c>
      <c r="G352">
        <f>AVERAGE('R1'!N352,'R2'!N352,'R3'!N352)</f>
        <v>-0.4846049610071535</v>
      </c>
      <c r="H352">
        <f>AVERAGE('R1'!O352,'R2'!O352,'R3'!O352)</f>
        <v>-0.19261633391573532</v>
      </c>
      <c r="I352">
        <f t="shared" si="9"/>
        <v>4179.285728935185</v>
      </c>
      <c r="K352">
        <f>_xlfn.STDEV.S('R1'!L352,'R2'!L352,'R3'!L352)</f>
        <v>2.1246276687334181E-3</v>
      </c>
      <c r="L352">
        <f>_xlfn.STDEV.S('R1'!M352,'R2'!M352,'R3'!M352)</f>
        <v>6.7137784997116775E-3</v>
      </c>
      <c r="M352">
        <f>_xlfn.STDEV.S('R1'!N352,'R2'!N352,'R3'!N352)</f>
        <v>3.4117467074130871E-3</v>
      </c>
      <c r="N352">
        <f>_xlfn.STDEV.S('R1'!O352,'R2'!O352,'R3'!O352)</f>
        <v>5.9254280665459839E-3</v>
      </c>
    </row>
    <row r="353" spans="1:14" x14ac:dyDescent="0.25">
      <c r="A353">
        <f>-'R1'!H353</f>
        <v>-16</v>
      </c>
      <c r="B353">
        <f>DEGREES(ATAN(-SIN(RADIANS(('R1'!I353)))/(COS(RADIANS(Sheet1!A353))*COS(RADIANS('R1'!I353)))))</f>
        <v>20.738571475352053</v>
      </c>
      <c r="C353">
        <f>AVERAGE('R1'!J353,'R2'!J353,'R3'!J353)</f>
        <v>1.1766666666666665</v>
      </c>
      <c r="D353">
        <f>AVERAGE('R1'!K353,'R2'!K353,'R3'!K353)</f>
        <v>21.49020758333333</v>
      </c>
      <c r="E353">
        <f>AVERAGE('R1'!L353,'R2'!L353,'R3'!L353)</f>
        <v>1.2287360650160266</v>
      </c>
      <c r="F353">
        <f>AVERAGE('R1'!M353,'R2'!M353,'R3'!M353)</f>
        <v>0.99057204048736447</v>
      </c>
      <c r="G353">
        <f>AVERAGE('R1'!N353,'R2'!N353,'R3'!N353)</f>
        <v>-0.37892184914662258</v>
      </c>
      <c r="H353">
        <f>AVERAGE('R1'!O353,'R2'!O353,'R3'!O353)</f>
        <v>-1.1455763310087998E-2</v>
      </c>
      <c r="I353">
        <f t="shared" si="9"/>
        <v>4214.4684871759246</v>
      </c>
      <c r="K353">
        <f>_xlfn.STDEV.S('R1'!L353,'R2'!L353,'R3'!L353)</f>
        <v>1.7319224265129102E-3</v>
      </c>
      <c r="L353">
        <f>_xlfn.STDEV.S('R1'!M353,'R2'!M353,'R3'!M353)</f>
        <v>5.7091478456590683E-3</v>
      </c>
      <c r="M353">
        <f>_xlfn.STDEV.S('R1'!N353,'R2'!N353,'R3'!N353)</f>
        <v>1.4273948876209644E-3</v>
      </c>
      <c r="N353">
        <f>_xlfn.STDEV.S('R1'!O353,'R2'!O353,'R3'!O353)</f>
        <v>6.1493346729162022E-3</v>
      </c>
    </row>
    <row r="354" spans="1:14" x14ac:dyDescent="0.25">
      <c r="A354">
        <f>-'R1'!H354</f>
        <v>-16</v>
      </c>
      <c r="B354">
        <f>DEGREES(ATAN(-SIN(RADIANS(('R1'!I354)))/(COS(RADIANS(Sheet1!A354))*COS(RADIANS('R1'!I354)))))</f>
        <v>16.609898016932938</v>
      </c>
      <c r="C354">
        <f>AVERAGE('R1'!J354,'R2'!J354,'R3'!J354)</f>
        <v>1.1766666666666665</v>
      </c>
      <c r="D354">
        <f>AVERAGE('R1'!K354,'R2'!K354,'R3'!K354)</f>
        <v>21.311207333333332</v>
      </c>
      <c r="E354">
        <f>AVERAGE('R1'!L354,'R2'!L354,'R3'!L354)</f>
        <v>1.0031685546223705</v>
      </c>
      <c r="F354">
        <f>AVERAGE('R1'!M354,'R2'!M354,'R3'!M354)</f>
        <v>1.0104330063397731</v>
      </c>
      <c r="G354">
        <f>AVERAGE('R1'!N354,'R2'!N354,'R3'!N354)</f>
        <v>-0.28885119862616865</v>
      </c>
      <c r="H354">
        <f>AVERAGE('R1'!O354,'R2'!O354,'R3'!O354)</f>
        <v>0.12885965374845978</v>
      </c>
      <c r="I354">
        <f t="shared" si="9"/>
        <v>4179.3645492592586</v>
      </c>
      <c r="K354">
        <f>_xlfn.STDEV.S('R1'!L354,'R2'!L354,'R3'!L354)</f>
        <v>2.5525432614422472E-3</v>
      </c>
      <c r="L354">
        <f>_xlfn.STDEV.S('R1'!M354,'R2'!M354,'R3'!M354)</f>
        <v>2.6074401828439864E-3</v>
      </c>
      <c r="M354">
        <f>_xlfn.STDEV.S('R1'!N354,'R2'!N354,'R3'!N354)</f>
        <v>3.0578818182629935E-3</v>
      </c>
      <c r="N354">
        <f>_xlfn.STDEV.S('R1'!O354,'R2'!O354,'R3'!O354)</f>
        <v>9.7331898812979423E-3</v>
      </c>
    </row>
    <row r="355" spans="1:14" x14ac:dyDescent="0.25">
      <c r="A355">
        <f>-'R1'!H355</f>
        <v>-16</v>
      </c>
      <c r="B355">
        <f>DEGREES(ATAN(-SIN(RADIANS(('R1'!I355)))/(COS(RADIANS(Sheet1!A355))*COS(RADIANS('R1'!I355)))))</f>
        <v>12.468747879350856</v>
      </c>
      <c r="C355">
        <f>AVERAGE('R1'!J355,'R2'!J355,'R3'!J355)</f>
        <v>1.1766666666666665</v>
      </c>
      <c r="D355">
        <f>AVERAGE('R1'!K355,'R2'!K355,'R3'!K355)</f>
        <v>21.032767083333336</v>
      </c>
      <c r="E355">
        <f>AVERAGE('R1'!L355,'R2'!L355,'R3'!L355)</f>
        <v>0.76674032151742333</v>
      </c>
      <c r="F355">
        <f>AVERAGE('R1'!M355,'R2'!M355,'R3'!M355)</f>
        <v>1.0505707795340651</v>
      </c>
      <c r="G355">
        <f>AVERAGE('R1'!N355,'R2'!N355,'R3'!N355)</f>
        <v>-0.22291493846513619</v>
      </c>
      <c r="H355">
        <f>AVERAGE('R1'!O355,'R2'!O355,'R3'!O355)</f>
        <v>0.25645030931535573</v>
      </c>
      <c r="I355">
        <f t="shared" si="9"/>
        <v>4124.7593224537031</v>
      </c>
      <c r="K355">
        <f>_xlfn.STDEV.S('R1'!L355,'R2'!L355,'R3'!L355)</f>
        <v>2.116793536071044E-3</v>
      </c>
      <c r="L355">
        <f>_xlfn.STDEV.S('R1'!M355,'R2'!M355,'R3'!M355)</f>
        <v>4.3855890515910904E-3</v>
      </c>
      <c r="M355">
        <f>_xlfn.STDEV.S('R1'!N355,'R2'!N355,'R3'!N355)</f>
        <v>5.7517104902810928E-3</v>
      </c>
      <c r="N355">
        <f>_xlfn.STDEV.S('R1'!O355,'R2'!O355,'R3'!O355)</f>
        <v>5.0347708564550519E-3</v>
      </c>
    </row>
    <row r="356" spans="1:14" x14ac:dyDescent="0.25">
      <c r="A356">
        <f>-'R1'!H356</f>
        <v>-16</v>
      </c>
      <c r="B356">
        <f>DEGREES(ATAN(-SIN(RADIANS(('R1'!I356)))/(COS(RADIANS(Sheet1!A356))*COS(RADIANS('R1'!I356)))))</f>
        <v>8.3179701536192301</v>
      </c>
      <c r="C356">
        <f>AVERAGE('R1'!J356,'R2'!J356,'R3'!J356)</f>
        <v>1.1766666666666665</v>
      </c>
      <c r="D356">
        <f>AVERAGE('R1'!K356,'R2'!K356,'R3'!K356)</f>
        <v>20.814259416666669</v>
      </c>
      <c r="E356">
        <f>AVERAGE('R1'!L356,'R2'!L356,'R3'!L356)</f>
        <v>0.5340808562599022</v>
      </c>
      <c r="F356">
        <f>AVERAGE('R1'!M356,'R2'!M356,'R3'!M356)</f>
        <v>1.0998652757589455</v>
      </c>
      <c r="G356">
        <f>AVERAGE('R1'!N356,'R2'!N356,'R3'!N356)</f>
        <v>-0.17091168254641317</v>
      </c>
      <c r="H356">
        <f>AVERAGE('R1'!O356,'R2'!O356,'R3'!O356)</f>
        <v>0.33369384990523249</v>
      </c>
      <c r="I356">
        <f t="shared" si="9"/>
        <v>4081.9075411574076</v>
      </c>
      <c r="K356">
        <f>_xlfn.STDEV.S('R1'!L356,'R2'!L356,'R3'!L356)</f>
        <v>4.7544259576111133E-3</v>
      </c>
      <c r="L356">
        <f>_xlfn.STDEV.S('R1'!M356,'R2'!M356,'R3'!M356)</f>
        <v>5.379875939468471E-3</v>
      </c>
      <c r="M356">
        <f>_xlfn.STDEV.S('R1'!N356,'R2'!N356,'R3'!N356)</f>
        <v>5.1677803441626882E-3</v>
      </c>
      <c r="N356">
        <f>_xlfn.STDEV.S('R1'!O356,'R2'!O356,'R3'!O356)</f>
        <v>3.6041716735736025E-3</v>
      </c>
    </row>
    <row r="357" spans="1:14" x14ac:dyDescent="0.25">
      <c r="A357">
        <f>-'R1'!H357</f>
        <v>-16</v>
      </c>
      <c r="B357">
        <f>DEGREES(ATAN(-SIN(RADIANS(('R1'!I357)))/(COS(RADIANS(Sheet1!A357))*COS(RADIANS('R1'!I357)))))</f>
        <v>4.1606425592731879</v>
      </c>
      <c r="C357">
        <f>AVERAGE('R1'!J357,'R2'!J357,'R3'!J357)</f>
        <v>1.1766666666666665</v>
      </c>
      <c r="D357">
        <f>AVERAGE('R1'!K357,'R2'!K357,'R3'!K357)</f>
        <v>20.677181416666667</v>
      </c>
      <c r="E357">
        <f>AVERAGE('R1'!L357,'R2'!L357,'R3'!L357)</f>
        <v>0.30022622678149463</v>
      </c>
      <c r="F357">
        <f>AVERAGE('R1'!M357,'R2'!M357,'R3'!M357)</f>
        <v>1.1610431697194163</v>
      </c>
      <c r="G357">
        <f>AVERAGE('R1'!N357,'R2'!N357,'R3'!N357)</f>
        <v>-0.14343816967104103</v>
      </c>
      <c r="H357">
        <f>AVERAGE('R1'!O357,'R2'!O357,'R3'!O357)</f>
        <v>0.40569194300521944</v>
      </c>
      <c r="I357">
        <f t="shared" si="9"/>
        <v>4055.0250222685177</v>
      </c>
      <c r="K357">
        <f>_xlfn.STDEV.S('R1'!L357,'R2'!L357,'R3'!L357)</f>
        <v>6.2297813882217969E-3</v>
      </c>
      <c r="L357">
        <f>_xlfn.STDEV.S('R1'!M357,'R2'!M357,'R3'!M357)</f>
        <v>7.8627848433685237E-3</v>
      </c>
      <c r="M357">
        <f>_xlfn.STDEV.S('R1'!N357,'R2'!N357,'R3'!N357)</f>
        <v>5.7392293352615618E-3</v>
      </c>
      <c r="N357">
        <f>_xlfn.STDEV.S('R1'!O357,'R2'!O357,'R3'!O357)</f>
        <v>8.497849429564882E-3</v>
      </c>
    </row>
    <row r="358" spans="1:14" x14ac:dyDescent="0.25">
      <c r="A358">
        <f>-'R1'!H358</f>
        <v>-16</v>
      </c>
      <c r="B358">
        <f>DEGREES(ATAN(-SIN(RADIANS(('R1'!I358)))/(COS(RADIANS(Sheet1!A358))*COS(RADIANS('R1'!I358)))))</f>
        <v>0</v>
      </c>
      <c r="C358">
        <f>AVERAGE('R1'!J358,'R2'!J358,'R3'!J358)</f>
        <v>1.1766666666666665</v>
      </c>
      <c r="D358">
        <f>AVERAGE('R1'!K358,'R2'!K358,'R3'!K358)</f>
        <v>20.486066333333333</v>
      </c>
      <c r="E358">
        <f>AVERAGE('R1'!L358,'R2'!L358,'R3'!L358)</f>
        <v>4.19466603536729E-2</v>
      </c>
      <c r="F358">
        <f>AVERAGE('R1'!M358,'R2'!M358,'R3'!M358)</f>
        <v>1.230323090719204</v>
      </c>
      <c r="G358">
        <f>AVERAGE('R1'!N358,'R2'!N358,'R3'!N358)</f>
        <v>-0.14270460006998439</v>
      </c>
      <c r="H358">
        <f>AVERAGE('R1'!O358,'R2'!O358,'R3'!O358)</f>
        <v>0.50057600736798846</v>
      </c>
      <c r="I358">
        <f t="shared" si="9"/>
        <v>4017.5452309259254</v>
      </c>
      <c r="K358">
        <f>_xlfn.STDEV.S('R1'!L358,'R2'!L358,'R3'!L358)</f>
        <v>4.3035071826491604E-3</v>
      </c>
      <c r="L358">
        <f>_xlfn.STDEV.S('R1'!M358,'R2'!M358,'R3'!M358)</f>
        <v>2.9902681874512333E-3</v>
      </c>
      <c r="M358">
        <f>_xlfn.STDEV.S('R1'!N358,'R2'!N358,'R3'!N358)</f>
        <v>2.8627892149210637E-3</v>
      </c>
      <c r="N358">
        <f>_xlfn.STDEV.S('R1'!O358,'R2'!O358,'R3'!O358)</f>
        <v>2.8713453351694538E-3</v>
      </c>
    </row>
    <row r="359" spans="1:14" x14ac:dyDescent="0.25">
      <c r="A359">
        <f>-'R1'!H359</f>
        <v>-16</v>
      </c>
      <c r="B359">
        <f>DEGREES(ATAN(-SIN(RADIANS(('R1'!I359)))/(COS(RADIANS(Sheet1!A359))*COS(RADIANS('R1'!I359)))))</f>
        <v>-4.1606425592731879</v>
      </c>
      <c r="C359">
        <f>AVERAGE('R1'!J359,'R2'!J359,'R3'!J359)</f>
        <v>1.1749999999999998</v>
      </c>
      <c r="D359">
        <f>AVERAGE('R1'!K359,'R2'!K359,'R3'!K359)</f>
        <v>20.373285833333334</v>
      </c>
      <c r="E359">
        <f>AVERAGE('R1'!L359,'R2'!L359,'R3'!L359)</f>
        <v>-0.23132386417778283</v>
      </c>
      <c r="F359">
        <f>AVERAGE('R1'!M359,'R2'!M359,'R3'!M359)</f>
        <v>1.1604766047996771</v>
      </c>
      <c r="G359">
        <f>AVERAGE('R1'!N359,'R2'!N359,'R3'!N359)</f>
        <v>-0.14188428528007654</v>
      </c>
      <c r="H359">
        <f>AVERAGE('R1'!O359,'R2'!O359,'R3'!O359)</f>
        <v>0.43223836319297587</v>
      </c>
      <c r="I359">
        <f t="shared" si="9"/>
        <v>3989.7684756944445</v>
      </c>
      <c r="K359">
        <f>_xlfn.STDEV.S('R1'!L359,'R2'!L359,'R3'!L359)</f>
        <v>7.0229781687452201E-3</v>
      </c>
      <c r="L359">
        <f>_xlfn.STDEV.S('R1'!M359,'R2'!M359,'R3'!M359)</f>
        <v>1.4033141527582033E-2</v>
      </c>
      <c r="M359">
        <f>_xlfn.STDEV.S('R1'!N359,'R2'!N359,'R3'!N359)</f>
        <v>5.3371844430207321E-3</v>
      </c>
      <c r="N359">
        <f>_xlfn.STDEV.S('R1'!O359,'R2'!O359,'R3'!O359)</f>
        <v>3.8579762155071303E-3</v>
      </c>
    </row>
    <row r="360" spans="1:14" x14ac:dyDescent="0.25">
      <c r="A360">
        <f>-'R1'!H360</f>
        <v>-16</v>
      </c>
      <c r="B360">
        <f>DEGREES(ATAN(-SIN(RADIANS(('R1'!I360)))/(COS(RADIANS(Sheet1!A360))*COS(RADIANS('R1'!I360)))))</f>
        <v>-8.3179701536192301</v>
      </c>
      <c r="C360">
        <f>AVERAGE('R1'!J360,'R2'!J360,'R3'!J360)</f>
        <v>1.1758333333333333</v>
      </c>
      <c r="D360">
        <f>AVERAGE('R1'!K360,'R2'!K360,'R3'!K360)</f>
        <v>20.262047583333331</v>
      </c>
      <c r="E360">
        <f>AVERAGE('R1'!L360,'R2'!L360,'R3'!L360)</f>
        <v>-0.48297072734225793</v>
      </c>
      <c r="F360">
        <f>AVERAGE('R1'!M360,'R2'!M360,'R3'!M360)</f>
        <v>1.0995985596761444</v>
      </c>
      <c r="G360">
        <f>AVERAGE('R1'!N360,'R2'!N360,'R3'!N360)</f>
        <v>-0.1660959648843604</v>
      </c>
      <c r="H360">
        <f>AVERAGE('R1'!O360,'R2'!O360,'R3'!O360)</f>
        <v>0.33476522423813909</v>
      </c>
      <c r="I360">
        <f t="shared" si="9"/>
        <v>3970.7984916782402</v>
      </c>
      <c r="K360">
        <f>_xlfn.STDEV.S('R1'!L360,'R2'!L360,'R3'!L360)</f>
        <v>5.2213004077480323E-3</v>
      </c>
      <c r="L360">
        <f>_xlfn.STDEV.S('R1'!M360,'R2'!M360,'R3'!M360)</f>
        <v>6.2413070269239082E-3</v>
      </c>
      <c r="M360">
        <f>_xlfn.STDEV.S('R1'!N360,'R2'!N360,'R3'!N360)</f>
        <v>1.8768059659493275E-3</v>
      </c>
      <c r="N360">
        <f>_xlfn.STDEV.S('R1'!O360,'R2'!O360,'R3'!O360)</f>
        <v>1.5914089262557812E-3</v>
      </c>
    </row>
    <row r="361" spans="1:14" x14ac:dyDescent="0.25">
      <c r="A361">
        <f>-'R1'!H361</f>
        <v>-16</v>
      </c>
      <c r="B361">
        <f>DEGREES(ATAN(-SIN(RADIANS(('R1'!I361)))/(COS(RADIANS(Sheet1!A361))*COS(RADIANS('R1'!I361)))))</f>
        <v>-12.468747879350856</v>
      </c>
      <c r="C361">
        <f>AVERAGE('R1'!J361,'R2'!J361,'R3'!J361)</f>
        <v>1.1766666666666665</v>
      </c>
      <c r="D361">
        <f>AVERAGE('R1'!K361,'R2'!K361,'R3'!K361)</f>
        <v>20.089156416666665</v>
      </c>
      <c r="E361">
        <f>AVERAGE('R1'!L361,'R2'!L361,'R3'!L361)</f>
        <v>-0.73130018302152411</v>
      </c>
      <c r="F361">
        <f>AVERAGE('R1'!M361,'R2'!M361,'R3'!M361)</f>
        <v>1.0455936769405283</v>
      </c>
      <c r="G361">
        <f>AVERAGE('R1'!N361,'R2'!N361,'R3'!N361)</f>
        <v>-0.21131657295504738</v>
      </c>
      <c r="H361">
        <f>AVERAGE('R1'!O361,'R2'!O361,'R3'!O361)</f>
        <v>0.24200300792139839</v>
      </c>
      <c r="I361">
        <f t="shared" si="9"/>
        <v>3939.7067861574064</v>
      </c>
      <c r="K361">
        <f>_xlfn.STDEV.S('R1'!L361,'R2'!L361,'R3'!L361)</f>
        <v>6.3032885383579665E-3</v>
      </c>
      <c r="L361">
        <f>_xlfn.STDEV.S('R1'!M361,'R2'!M361,'R3'!M361)</f>
        <v>7.030474410826903E-3</v>
      </c>
      <c r="M361">
        <f>_xlfn.STDEV.S('R1'!N361,'R2'!N361,'R3'!N361)</f>
        <v>4.7320349804845247E-3</v>
      </c>
      <c r="N361">
        <f>_xlfn.STDEV.S('R1'!O361,'R2'!O361,'R3'!O361)</f>
        <v>3.8629249352980233E-3</v>
      </c>
    </row>
    <row r="362" spans="1:14" x14ac:dyDescent="0.25">
      <c r="A362">
        <f>-'R1'!H362</f>
        <v>-16</v>
      </c>
      <c r="B362">
        <f>DEGREES(ATAN(-SIN(RADIANS(('R1'!I362)))/(COS(RADIANS(Sheet1!A362))*COS(RADIANS('R1'!I362)))))</f>
        <v>-16.609898016932938</v>
      </c>
      <c r="C362">
        <f>AVERAGE('R1'!J362,'R2'!J362,'R3'!J362)</f>
        <v>1.1766666666666665</v>
      </c>
      <c r="D362">
        <f>AVERAGE('R1'!K362,'R2'!K362,'R3'!K362)</f>
        <v>20.400466833333336</v>
      </c>
      <c r="E362">
        <f>AVERAGE('R1'!L362,'R2'!L362,'R3'!L362)</f>
        <v>-0.98405930725124724</v>
      </c>
      <c r="F362">
        <f>AVERAGE('R1'!M362,'R2'!M362,'R3'!M362)</f>
        <v>1.0036338313246504</v>
      </c>
      <c r="G362">
        <f>AVERAGE('R1'!N362,'R2'!N362,'R3'!N362)</f>
        <v>-0.29295609905213543</v>
      </c>
      <c r="H362">
        <f>AVERAGE('R1'!O362,'R2'!O362,'R3'!O362)</f>
        <v>0.15590111347409413</v>
      </c>
      <c r="I362">
        <f t="shared" si="9"/>
        <v>4000.7582178703706</v>
      </c>
      <c r="K362">
        <f>_xlfn.STDEV.S('R1'!L362,'R2'!L362,'R3'!L362)</f>
        <v>6.3703601561130082E-3</v>
      </c>
      <c r="L362">
        <f>_xlfn.STDEV.S('R1'!M362,'R2'!M362,'R3'!M362)</f>
        <v>4.4734897818668141E-3</v>
      </c>
      <c r="M362">
        <f>_xlfn.STDEV.S('R1'!N362,'R2'!N362,'R3'!N362)</f>
        <v>1.6000975294507237E-3</v>
      </c>
      <c r="N362">
        <f>_xlfn.STDEV.S('R1'!O362,'R2'!O362,'R3'!O362)</f>
        <v>3.5618970296062867E-3</v>
      </c>
    </row>
    <row r="363" spans="1:14" x14ac:dyDescent="0.25">
      <c r="A363">
        <f>-'R1'!H363</f>
        <v>-16</v>
      </c>
      <c r="B363">
        <f>DEGREES(ATAN(-SIN(RADIANS(('R1'!I363)))/(COS(RADIANS(Sheet1!A363))*COS(RADIANS('R1'!I363)))))</f>
        <v>-20.738571475352053</v>
      </c>
      <c r="C363">
        <f>AVERAGE('R1'!J363,'R2'!J363,'R3'!J363)</f>
        <v>1.1766666666666665</v>
      </c>
      <c r="D363">
        <f>AVERAGE('R1'!K363,'R2'!K363,'R3'!K363)</f>
        <v>21.120567416666667</v>
      </c>
      <c r="E363">
        <f>AVERAGE('R1'!L363,'R2'!L363,'R3'!L363)</f>
        <v>-1.2039698333817466</v>
      </c>
      <c r="F363">
        <f>AVERAGE('R1'!M363,'R2'!M363,'R3'!M363)</f>
        <v>1.0354202478248009</v>
      </c>
      <c r="G363">
        <f>AVERAGE('R1'!N363,'R2'!N363,'R3'!N363)</f>
        <v>-0.39904110364326356</v>
      </c>
      <c r="H363">
        <f>AVERAGE('R1'!O363,'R2'!O363,'R3'!O363)</f>
        <v>-1.6780250721606593E-3</v>
      </c>
      <c r="I363">
        <f t="shared" si="9"/>
        <v>4141.9779433796293</v>
      </c>
      <c r="K363">
        <f>_xlfn.STDEV.S('R1'!L363,'R2'!L363,'R3'!L363)</f>
        <v>1.1285521554131019E-2</v>
      </c>
      <c r="L363">
        <f>_xlfn.STDEV.S('R1'!M363,'R2'!M363,'R3'!M363)</f>
        <v>8.0295982935941999E-3</v>
      </c>
      <c r="M363">
        <f>_xlfn.STDEV.S('R1'!N363,'R2'!N363,'R3'!N363)</f>
        <v>2.3966789114290071E-3</v>
      </c>
      <c r="N363">
        <f>_xlfn.STDEV.S('R1'!O363,'R2'!O363,'R3'!O363)</f>
        <v>5.1798416891132787E-3</v>
      </c>
    </row>
    <row r="364" spans="1:14" x14ac:dyDescent="0.25">
      <c r="A364">
        <f>-'R1'!H364</f>
        <v>-16</v>
      </c>
      <c r="B364">
        <f>DEGREES(ATAN(-SIN(RADIANS(('R1'!I364)))/(COS(RADIANS(Sheet1!A364))*COS(RADIANS('R1'!I364)))))</f>
        <v>-24.852211192112133</v>
      </c>
      <c r="C364">
        <f>AVERAGE('R1'!J364,'R2'!J364,'R3'!J364)</f>
        <v>1.1766666666666665</v>
      </c>
      <c r="D364">
        <f>AVERAGE('R1'!K364,'R2'!K364,'R3'!K364)</f>
        <v>21.422758833333333</v>
      </c>
      <c r="E364">
        <f>AVERAGE('R1'!L364,'R2'!L364,'R3'!L364)</f>
        <v>-1.4168719649799337</v>
      </c>
      <c r="F364">
        <f>AVERAGE('R1'!M364,'R2'!M364,'R3'!M364)</f>
        <v>1.1040944333063631</v>
      </c>
      <c r="G364">
        <f>AVERAGE('R1'!N364,'R2'!N364,'R3'!N364)</f>
        <v>-0.53584953639335353</v>
      </c>
      <c r="H364">
        <f>AVERAGE('R1'!O364,'R2'!O364,'R3'!O364)</f>
        <v>-0.17722289321132548</v>
      </c>
      <c r="I364">
        <f t="shared" si="9"/>
        <v>4201.2410378703698</v>
      </c>
      <c r="K364">
        <f>_xlfn.STDEV.S('R1'!L364,'R2'!L364,'R3'!L364)</f>
        <v>1.0650335564957814E-2</v>
      </c>
      <c r="L364">
        <f>_xlfn.STDEV.S('R1'!M364,'R2'!M364,'R3'!M364)</f>
        <v>1.3361471608884882E-2</v>
      </c>
      <c r="M364">
        <f>_xlfn.STDEV.S('R1'!N364,'R2'!N364,'R3'!N364)</f>
        <v>3.2564854990056349E-3</v>
      </c>
      <c r="N364">
        <f>_xlfn.STDEV.S('R1'!O364,'R2'!O364,'R3'!O364)</f>
        <v>1.1787118535095252E-2</v>
      </c>
    </row>
    <row r="365" spans="1:14" x14ac:dyDescent="0.25">
      <c r="A365">
        <f>-'R1'!H365</f>
        <v>-16</v>
      </c>
      <c r="B365">
        <f>DEGREES(ATAN(-SIN(RADIANS(('R1'!I365)))/(COS(RADIANS(Sheet1!A365))*COS(RADIANS('R1'!I365)))))</f>
        <v>-28.948605633454871</v>
      </c>
      <c r="C365">
        <f>AVERAGE('R1'!J365,'R2'!J365,'R3'!J365)</f>
        <v>1.1766666666666665</v>
      </c>
      <c r="D365">
        <f>AVERAGE('R1'!K365,'R2'!K365,'R3'!K365)</f>
        <v>21.195313416666668</v>
      </c>
      <c r="E365">
        <f>AVERAGE('R1'!L365,'R2'!L365,'R3'!L365)</f>
        <v>-1.6138905068898659</v>
      </c>
      <c r="F365">
        <f>AVERAGE('R1'!M365,'R2'!M365,'R3'!M365)</f>
        <v>1.206172891964733</v>
      </c>
      <c r="G365">
        <f>AVERAGE('R1'!N365,'R2'!N365,'R3'!N365)</f>
        <v>-0.69983898193044336</v>
      </c>
      <c r="H365">
        <f>AVERAGE('R1'!O365,'R2'!O365,'R3'!O365)</f>
        <v>-0.37494386842438815</v>
      </c>
      <c r="I365">
        <f t="shared" si="9"/>
        <v>4156.6364644907408</v>
      </c>
      <c r="K365">
        <f>_xlfn.STDEV.S('R1'!L365,'R2'!L365,'R3'!L365)</f>
        <v>1.9513644932461369E-2</v>
      </c>
      <c r="L365">
        <f>_xlfn.STDEV.S('R1'!M365,'R2'!M365,'R3'!M365)</f>
        <v>3.2545970131573941E-3</v>
      </c>
      <c r="M365">
        <f>_xlfn.STDEV.S('R1'!N365,'R2'!N365,'R3'!N365)</f>
        <v>1.0582198751200717E-2</v>
      </c>
      <c r="N365">
        <f>_xlfn.STDEV.S('R1'!O365,'R2'!O365,'R3'!O365)</f>
        <v>1.5522137154505653E-3</v>
      </c>
    </row>
    <row r="366" spans="1:14" x14ac:dyDescent="0.25">
      <c r="A366">
        <f>-'R1'!H366</f>
        <v>-16</v>
      </c>
      <c r="B366">
        <f>DEGREES(ATAN(-SIN(RADIANS(('R1'!I366)))/(COS(RADIANS(Sheet1!A366))*COS(RADIANS('R1'!I366)))))</f>
        <v>-33.025931133441695</v>
      </c>
      <c r="C366">
        <f>AVERAGE('R1'!J366,'R2'!J366,'R3'!J366)</f>
        <v>1.1766666666666665</v>
      </c>
      <c r="D366">
        <f>AVERAGE('R1'!K366,'R2'!K366,'R3'!K366)</f>
        <v>20.926581666666667</v>
      </c>
      <c r="E366">
        <f>AVERAGE('R1'!L366,'R2'!L366,'R3'!L366)</f>
        <v>-1.8367372517773994</v>
      </c>
      <c r="F366">
        <f>AVERAGE('R1'!M366,'R2'!M366,'R3'!M366)</f>
        <v>1.3482104408945685</v>
      </c>
      <c r="G366">
        <f>AVERAGE('R1'!N366,'R2'!N366,'R3'!N366)</f>
        <v>-0.91581069347480082</v>
      </c>
      <c r="H366">
        <f>AVERAGE('R1'!O366,'R2'!O366,'R3'!O366)</f>
        <v>-0.5892181328204229</v>
      </c>
      <c r="I366">
        <f t="shared" si="9"/>
        <v>4103.9351824074065</v>
      </c>
      <c r="K366">
        <f>_xlfn.STDEV.S('R1'!L366,'R2'!L366,'R3'!L366)</f>
        <v>1.3198474369047924E-2</v>
      </c>
      <c r="L366">
        <f>_xlfn.STDEV.S('R1'!M366,'R2'!M366,'R3'!M366)</f>
        <v>8.6864448914286997E-3</v>
      </c>
      <c r="M366">
        <f>_xlfn.STDEV.S('R1'!N366,'R2'!N366,'R3'!N366)</f>
        <v>8.1874165686845017E-3</v>
      </c>
      <c r="N366">
        <f>_xlfn.STDEV.S('R1'!O366,'R2'!O366,'R3'!O366)</f>
        <v>3.8169977506483073E-3</v>
      </c>
    </row>
    <row r="367" spans="1:14" x14ac:dyDescent="0.25">
      <c r="A367">
        <f>-'R1'!H367</f>
        <v>-16</v>
      </c>
      <c r="B367">
        <f>DEGREES(ATAN(-SIN(RADIANS(('R1'!I367)))/(COS(RADIANS(Sheet1!A367))*COS(RADIANS('R1'!I367)))))</f>
        <v>-37.082782431142171</v>
      </c>
      <c r="C367">
        <f>AVERAGE('R1'!J367,'R2'!J367,'R3'!J367)</f>
        <v>1.1766666666666665</v>
      </c>
      <c r="D367">
        <f>AVERAGE('R1'!K367,'R2'!K367,'R3'!K367)</f>
        <v>20.710378333333335</v>
      </c>
      <c r="E367">
        <f>AVERAGE('R1'!L367,'R2'!L367,'R3'!L367)</f>
        <v>-2.1150924870872068</v>
      </c>
      <c r="F367">
        <f>AVERAGE('R1'!M367,'R2'!M367,'R3'!M367)</f>
        <v>1.5150637791503467</v>
      </c>
      <c r="G367">
        <f>AVERAGE('R1'!N367,'R2'!N367,'R3'!N367)</f>
        <v>-1.2012023155811391</v>
      </c>
      <c r="H367">
        <f>AVERAGE('R1'!O367,'R2'!O367,'R3'!O367)</f>
        <v>-0.82922087579286419</v>
      </c>
      <c r="I367">
        <f t="shared" si="9"/>
        <v>4061.5353064814808</v>
      </c>
      <c r="K367">
        <f>_xlfn.STDEV.S('R1'!L367,'R2'!L367,'R3'!L367)</f>
        <v>1.8935996260864622E-2</v>
      </c>
      <c r="L367">
        <f>_xlfn.STDEV.S('R1'!M367,'R2'!M367,'R3'!M367)</f>
        <v>7.9445605726205445E-3</v>
      </c>
      <c r="M367">
        <f>_xlfn.STDEV.S('R1'!N367,'R2'!N367,'R3'!N367)</f>
        <v>1.0182355959913184E-2</v>
      </c>
      <c r="N367">
        <f>_xlfn.STDEV.S('R1'!O367,'R2'!O367,'R3'!O367)</f>
        <v>4.9943316939960033E-3</v>
      </c>
    </row>
    <row r="368" spans="1:14" x14ac:dyDescent="0.25">
      <c r="A368">
        <f>-'R1'!H368</f>
        <v>-16</v>
      </c>
      <c r="B368">
        <f>DEGREES(ATAN(-SIN(RADIANS(('R1'!I368)))/(COS(RADIANS(Sheet1!A368))*COS(RADIANS('R1'!I368)))))</f>
        <v>-41.118191358294368</v>
      </c>
      <c r="C368">
        <f>AVERAGE('R1'!J368,'R2'!J368,'R3'!J368)</f>
        <v>1.1766666666666665</v>
      </c>
      <c r="D368">
        <f>AVERAGE('R1'!K368,'R2'!K368,'R3'!K368)</f>
        <v>20.576489333333335</v>
      </c>
      <c r="E368">
        <f>AVERAGE('R1'!L368,'R2'!L368,'R3'!L368)</f>
        <v>-2.4604132517740527</v>
      </c>
      <c r="F368">
        <f>AVERAGE('R1'!M368,'R2'!M368,'R3'!M368)</f>
        <v>1.71651939453713</v>
      </c>
      <c r="G368">
        <f>AVERAGE('R1'!N368,'R2'!N368,'R3'!N368)</f>
        <v>-1.5726151104262165</v>
      </c>
      <c r="H368">
        <f>AVERAGE('R1'!O368,'R2'!O368,'R3'!O368)</f>
        <v>-1.1086613272623607</v>
      </c>
      <c r="I368">
        <f t="shared" si="9"/>
        <v>4035.2781859259258</v>
      </c>
      <c r="K368">
        <f>_xlfn.STDEV.S('R1'!L368,'R2'!L368,'R3'!L368)</f>
        <v>3.1316143552330644E-2</v>
      </c>
      <c r="L368">
        <f>_xlfn.STDEV.S('R1'!M368,'R2'!M368,'R3'!M368)</f>
        <v>1.0836070165839151E-3</v>
      </c>
      <c r="M368">
        <f>_xlfn.STDEV.S('R1'!N368,'R2'!N368,'R3'!N368)</f>
        <v>2.5729694365070294E-2</v>
      </c>
      <c r="N368">
        <f>_xlfn.STDEV.S('R1'!O368,'R2'!O368,'R3'!O368)</f>
        <v>4.3400513153414562E-3</v>
      </c>
    </row>
    <row r="369" spans="1:14" x14ac:dyDescent="0.25">
      <c r="A369">
        <f>-'R1'!H369</f>
        <v>-16</v>
      </c>
      <c r="B369">
        <f>DEGREES(ATAN(-SIN(RADIANS(('R1'!I369)))/(COS(RADIANS(Sheet1!A369))*COS(RADIANS('R1'!I369)))))</f>
        <v>-45.131634150601585</v>
      </c>
      <c r="C369">
        <f>AVERAGE('R1'!J369,'R2'!J369,'R3'!J369)</f>
        <v>1.1766666666666665</v>
      </c>
      <c r="D369">
        <f>AVERAGE('R1'!K369,'R2'!K369,'R3'!K369)</f>
        <v>20.389142750000001</v>
      </c>
      <c r="E369">
        <f>AVERAGE('R1'!L369,'R2'!L369,'R3'!L369)</f>
        <v>-2.957563457299512</v>
      </c>
      <c r="F369">
        <f>AVERAGE('R1'!M369,'R2'!M369,'R3'!M369)</f>
        <v>2.010577329618243</v>
      </c>
      <c r="G369">
        <f>AVERAGE('R1'!N369,'R2'!N369,'R3'!N369)</f>
        <v>-2.1249978008412325</v>
      </c>
      <c r="H369">
        <f>AVERAGE('R1'!O369,'R2'!O369,'R3'!O369)</f>
        <v>-1.488880955352168</v>
      </c>
      <c r="I369">
        <f t="shared" si="9"/>
        <v>3998.5374393055558</v>
      </c>
      <c r="K369">
        <f>_xlfn.STDEV.S('R1'!L369,'R2'!L369,'R3'!L369)</f>
        <v>5.1109966020412366E-2</v>
      </c>
      <c r="L369">
        <f>_xlfn.STDEV.S('R1'!M369,'R2'!M369,'R3'!M369)</f>
        <v>1.8922529005757811E-2</v>
      </c>
      <c r="M369">
        <f>_xlfn.STDEV.S('R1'!N369,'R2'!N369,'R3'!N369)</f>
        <v>4.9168075847270065E-2</v>
      </c>
      <c r="N369">
        <f>_xlfn.STDEV.S('R1'!O369,'R2'!O369,'R3'!O369)</f>
        <v>1.8318216906666931E-2</v>
      </c>
    </row>
    <row r="370" spans="1:14" x14ac:dyDescent="0.25">
      <c r="A370">
        <f>-'R1'!H370</f>
        <v>-20</v>
      </c>
      <c r="B370">
        <f>DEGREES(ATAN(-SIN(RADIANS(('R1'!I370)))/(COS(RADIANS(Sheet1!A370))*COS(RADIANS('R1'!I370)))))</f>
        <v>45.781668962964282</v>
      </c>
      <c r="C370">
        <f>AVERAGE('R1'!J370,'R2'!J370,'R3'!J370)</f>
        <v>1.1766666666666665</v>
      </c>
      <c r="D370">
        <f>AVERAGE('R1'!K370,'R2'!K370,'R3'!K370)</f>
        <v>20.272954666666667</v>
      </c>
      <c r="E370">
        <f>AVERAGE('R1'!L370,'R2'!L370,'R3'!L370)</f>
        <v>2.3479061484391797</v>
      </c>
      <c r="F370">
        <f>AVERAGE('R1'!M370,'R2'!M370,'R3'!M370)</f>
        <v>1.6214534690069815</v>
      </c>
      <c r="G370">
        <f>AVERAGE('R1'!N370,'R2'!N370,'R3'!N370)</f>
        <v>-1.4709596511979302</v>
      </c>
      <c r="H370">
        <f>AVERAGE('R1'!O370,'R2'!O370,'R3'!O370)</f>
        <v>-1.2530673384911684</v>
      </c>
      <c r="I370">
        <f t="shared" si="9"/>
        <v>3975.7516651851852</v>
      </c>
      <c r="K370">
        <f>_xlfn.STDEV.S('R1'!L370,'R2'!L370,'R3'!L370)</f>
        <v>1.273941705958994E-2</v>
      </c>
      <c r="L370">
        <f>_xlfn.STDEV.S('R1'!M370,'R2'!M370,'R3'!M370)</f>
        <v>4.9366627739777999E-3</v>
      </c>
      <c r="M370">
        <f>_xlfn.STDEV.S('R1'!N370,'R2'!N370,'R3'!N370)</f>
        <v>7.5249378564672537E-3</v>
      </c>
      <c r="N370">
        <f>_xlfn.STDEV.S('R1'!O370,'R2'!O370,'R3'!O370)</f>
        <v>2.7251284957766973E-3</v>
      </c>
    </row>
    <row r="371" spans="1:14" x14ac:dyDescent="0.25">
      <c r="A371">
        <f>-'R1'!H371</f>
        <v>-20</v>
      </c>
      <c r="B371">
        <f>DEGREES(ATAN(-SIN(RADIANS(('R1'!I371)))/(COS(RADIANS(Sheet1!A371))*COS(RADIANS('R1'!I371)))))</f>
        <v>41.763297417742614</v>
      </c>
      <c r="C371">
        <f>AVERAGE('R1'!J371,'R2'!J371,'R3'!J371)</f>
        <v>1.1758333333333333</v>
      </c>
      <c r="D371">
        <f>AVERAGE('R1'!K371,'R2'!K371,'R3'!K371)</f>
        <v>20.172141916666668</v>
      </c>
      <c r="E371">
        <f>AVERAGE('R1'!L371,'R2'!L371,'R3'!L371)</f>
        <v>2.1113285369376338</v>
      </c>
      <c r="F371">
        <f>AVERAGE('R1'!M371,'R2'!M371,'R3'!M371)</f>
        <v>1.5036587703560749</v>
      </c>
      <c r="G371">
        <f>AVERAGE('R1'!N371,'R2'!N371,'R3'!N371)</f>
        <v>-1.2006326637064622</v>
      </c>
      <c r="H371">
        <f>AVERAGE('R1'!O371,'R2'!O371,'R3'!O371)</f>
        <v>-1.031517146293073</v>
      </c>
      <c r="I371">
        <f t="shared" si="9"/>
        <v>3953.1794783912032</v>
      </c>
      <c r="K371">
        <f>_xlfn.STDEV.S('R1'!L371,'R2'!L371,'R3'!L371)</f>
        <v>8.8827464995831877E-3</v>
      </c>
      <c r="L371">
        <f>_xlfn.STDEV.S('R1'!M371,'R2'!M371,'R3'!M371)</f>
        <v>3.3067632853221295E-3</v>
      </c>
      <c r="M371">
        <f>_xlfn.STDEV.S('R1'!N371,'R2'!N371,'R3'!N371)</f>
        <v>8.3172898232015038E-3</v>
      </c>
      <c r="N371">
        <f>_xlfn.STDEV.S('R1'!O371,'R2'!O371,'R3'!O371)</f>
        <v>9.5794369002308467E-3</v>
      </c>
    </row>
    <row r="372" spans="1:14" x14ac:dyDescent="0.25">
      <c r="A372">
        <f>-'R1'!H372</f>
        <v>-20</v>
      </c>
      <c r="B372">
        <f>DEGREES(ATAN(-SIN(RADIANS(('R1'!I372)))/(COS(RADIANS(Sheet1!A372))*COS(RADIANS('R1'!I372)))))</f>
        <v>37.710134449764993</v>
      </c>
      <c r="C372">
        <f>AVERAGE('R1'!J372,'R2'!J372,'R3'!J372)</f>
        <v>1.1749999999999998</v>
      </c>
      <c r="D372">
        <f>AVERAGE('R1'!K372,'R2'!K372,'R3'!K372)</f>
        <v>20.078452500000001</v>
      </c>
      <c r="E372">
        <f>AVERAGE('R1'!L372,'R2'!L372,'R3'!L372)</f>
        <v>1.9091308812651631</v>
      </c>
      <c r="F372">
        <f>AVERAGE('R1'!M372,'R2'!M372,'R3'!M372)</f>
        <v>1.4125268705464578</v>
      </c>
      <c r="G372">
        <f>AVERAGE('R1'!N372,'R2'!N372,'R3'!N372)</f>
        <v>-0.98750341468385561</v>
      </c>
      <c r="H372">
        <f>AVERAGE('R1'!O372,'R2'!O372,'R3'!O372)</f>
        <v>-0.83797226364481237</v>
      </c>
      <c r="I372">
        <f t="shared" si="9"/>
        <v>3932.0302812499999</v>
      </c>
      <c r="K372">
        <f>_xlfn.STDEV.S('R1'!L372,'R2'!L372,'R3'!L372)</f>
        <v>3.7737141415313952E-3</v>
      </c>
      <c r="L372">
        <f>_xlfn.STDEV.S('R1'!M372,'R2'!M372,'R3'!M372)</f>
        <v>4.7532304284877563E-3</v>
      </c>
      <c r="M372">
        <f>_xlfn.STDEV.S('R1'!N372,'R2'!N372,'R3'!N372)</f>
        <v>3.1639746431732256E-3</v>
      </c>
      <c r="N372">
        <f>_xlfn.STDEV.S('R1'!O372,'R2'!O372,'R3'!O372)</f>
        <v>9.4779350998995954E-3</v>
      </c>
    </row>
    <row r="373" spans="1:14" x14ac:dyDescent="0.25">
      <c r="A373">
        <f>-'R1'!H373</f>
        <v>-20</v>
      </c>
      <c r="B373">
        <f>DEGREES(ATAN(-SIN(RADIANS(('R1'!I373)))/(COS(RADIANS(Sheet1!A373))*COS(RADIANS('R1'!I373)))))</f>
        <v>33.622796746730245</v>
      </c>
      <c r="C373">
        <f>AVERAGE('R1'!J373,'R2'!J373,'R3'!J373)</f>
        <v>1.1758333333333333</v>
      </c>
      <c r="D373">
        <f>AVERAGE('R1'!K373,'R2'!K373,'R3'!K373)</f>
        <v>19.986503583333334</v>
      </c>
      <c r="E373">
        <f>AVERAGE('R1'!L373,'R2'!L373,'R3'!L373)</f>
        <v>1.731446656665635</v>
      </c>
      <c r="F373">
        <f>AVERAGE('R1'!M373,'R2'!M373,'R3'!M373)</f>
        <v>1.3381171311765445</v>
      </c>
      <c r="G373">
        <f>AVERAGE('R1'!N373,'R2'!N373,'R3'!N373)</f>
        <v>-0.81883443101461373</v>
      </c>
      <c r="H373">
        <f>AVERAGE('R1'!O373,'R2'!O373,'R3'!O373)</f>
        <v>-0.65688739994142831</v>
      </c>
      <c r="I373">
        <f t="shared" si="9"/>
        <v>3916.7995216782406</v>
      </c>
      <c r="K373">
        <f>_xlfn.STDEV.S('R1'!L373,'R2'!L373,'R3'!L373)</f>
        <v>5.6109274086127633E-3</v>
      </c>
      <c r="L373">
        <f>_xlfn.STDEV.S('R1'!M373,'R2'!M373,'R3'!M373)</f>
        <v>1.2249242657420268E-2</v>
      </c>
      <c r="M373">
        <f>_xlfn.STDEV.S('R1'!N373,'R2'!N373,'R3'!N373)</f>
        <v>4.3499060587177301E-3</v>
      </c>
      <c r="N373">
        <f>_xlfn.STDEV.S('R1'!O373,'R2'!O373,'R3'!O373)</f>
        <v>1.2820064683010324E-2</v>
      </c>
    </row>
    <row r="374" spans="1:14" x14ac:dyDescent="0.25">
      <c r="A374">
        <f>-'R1'!H374</f>
        <v>-20</v>
      </c>
      <c r="B374">
        <f>DEGREES(ATAN(-SIN(RADIANS(('R1'!I374)))/(COS(RADIANS(Sheet1!A374))*COS(RADIANS('R1'!I374)))))</f>
        <v>29.502629281345779</v>
      </c>
      <c r="C374">
        <f>AVERAGE('R1'!J374,'R2'!J374,'R3'!J374)</f>
        <v>1.1766666666666665</v>
      </c>
      <c r="D374">
        <f>AVERAGE('R1'!K374,'R2'!K374,'R3'!K374)</f>
        <v>19.898762416666667</v>
      </c>
      <c r="E374">
        <f>AVERAGE('R1'!L374,'R2'!L374,'R3'!L374)</f>
        <v>1.5670291512182739</v>
      </c>
      <c r="F374">
        <f>AVERAGE('R1'!M374,'R2'!M374,'R3'!M374)</f>
        <v>1.2756582850363209</v>
      </c>
      <c r="G374">
        <f>AVERAGE('R1'!N374,'R2'!N374,'R3'!N374)</f>
        <v>-0.67801538978534925</v>
      </c>
      <c r="H374">
        <f>AVERAGE('R1'!O374,'R2'!O374,'R3'!O374)</f>
        <v>-0.47742938242462268</v>
      </c>
      <c r="I374">
        <f t="shared" si="9"/>
        <v>3902.3684072685178</v>
      </c>
      <c r="K374">
        <f>_xlfn.STDEV.S('R1'!L374,'R2'!L374,'R3'!L374)</f>
        <v>1.27571204694748E-3</v>
      </c>
      <c r="L374">
        <f>_xlfn.STDEV.S('R1'!M374,'R2'!M374,'R3'!M374)</f>
        <v>6.2753037442890552E-3</v>
      </c>
      <c r="M374">
        <f>_xlfn.STDEV.S('R1'!N374,'R2'!N374,'R3'!N374)</f>
        <v>4.1784514730954592E-3</v>
      </c>
      <c r="N374">
        <f>_xlfn.STDEV.S('R1'!O374,'R2'!O374,'R3'!O374)</f>
        <v>1.1671288182245819E-2</v>
      </c>
    </row>
    <row r="375" spans="1:14" x14ac:dyDescent="0.25">
      <c r="A375">
        <f>-'R1'!H375</f>
        <v>-20</v>
      </c>
      <c r="B375">
        <f>DEGREES(ATAN(-SIN(RADIANS(('R1'!I375)))/(COS(RADIANS(Sheet1!A375))*COS(RADIANS('R1'!I375)))))</f>
        <v>25.351709771061881</v>
      </c>
      <c r="C375">
        <f>AVERAGE('R1'!J375,'R2'!J375,'R3'!J375)</f>
        <v>1.1766666666666665</v>
      </c>
      <c r="D375">
        <f>AVERAGE('R1'!K375,'R2'!K375,'R3'!K375)</f>
        <v>19.825765083333334</v>
      </c>
      <c r="E375">
        <f>AVERAGE('R1'!L375,'R2'!L375,'R3'!L375)</f>
        <v>1.3976649603343905</v>
      </c>
      <c r="F375">
        <f>AVERAGE('R1'!M375,'R2'!M375,'R3'!M375)</f>
        <v>1.2341077882634757</v>
      </c>
      <c r="G375">
        <f>AVERAGE('R1'!N375,'R2'!N375,'R3'!N375)</f>
        <v>-0.56593931871500414</v>
      </c>
      <c r="H375">
        <f>AVERAGE('R1'!O375,'R2'!O375,'R3'!O375)</f>
        <v>-0.30434143877406439</v>
      </c>
      <c r="I375">
        <f t="shared" si="9"/>
        <v>3888.0528191203703</v>
      </c>
      <c r="K375">
        <f>_xlfn.STDEV.S('R1'!L375,'R2'!L375,'R3'!L375)</f>
        <v>3.8801175984264809E-3</v>
      </c>
      <c r="L375">
        <f>_xlfn.STDEV.S('R1'!M375,'R2'!M375,'R3'!M375)</f>
        <v>8.0537299252777562E-3</v>
      </c>
      <c r="M375">
        <f>_xlfn.STDEV.S('R1'!N375,'R2'!N375,'R3'!N375)</f>
        <v>4.8472214813635355E-3</v>
      </c>
      <c r="N375">
        <f>_xlfn.STDEV.S('R1'!O375,'R2'!O375,'R3'!O375)</f>
        <v>8.6624121374928482E-3</v>
      </c>
    </row>
    <row r="376" spans="1:14" x14ac:dyDescent="0.25">
      <c r="A376">
        <f>-'R1'!H376</f>
        <v>-20</v>
      </c>
      <c r="B376">
        <f>DEGREES(ATAN(-SIN(RADIANS(('R1'!I376)))/(COS(RADIANS(Sheet1!A376))*COS(RADIANS('R1'!I376)))))</f>
        <v>21.172832185162978</v>
      </c>
      <c r="C376">
        <f>AVERAGE('R1'!J376,'R2'!J376,'R3'!J376)</f>
        <v>1.1766666666666665</v>
      </c>
      <c r="D376">
        <f>AVERAGE('R1'!K376,'R2'!K376,'R3'!K376)</f>
        <v>19.833129833333334</v>
      </c>
      <c r="E376">
        <f>AVERAGE('R1'!L376,'R2'!L376,'R3'!L376)</f>
        <v>1.2145153262527311</v>
      </c>
      <c r="F376">
        <f>AVERAGE('R1'!M376,'R2'!M376,'R3'!M376)</f>
        <v>1.2198345284520915</v>
      </c>
      <c r="G376">
        <f>AVERAGE('R1'!N376,'R2'!N376,'R3'!N376)</f>
        <v>-0.47313870369040734</v>
      </c>
      <c r="H376">
        <f>AVERAGE('R1'!O376,'R2'!O376,'R3'!O376)</f>
        <v>-0.1370869769756895</v>
      </c>
      <c r="I376">
        <f t="shared" si="9"/>
        <v>3889.4971284259259</v>
      </c>
      <c r="K376">
        <f>_xlfn.STDEV.S('R1'!L376,'R2'!L376,'R3'!L376)</f>
        <v>2.2515995214200876E-3</v>
      </c>
      <c r="L376">
        <f>_xlfn.STDEV.S('R1'!M376,'R2'!M376,'R3'!M376)</f>
        <v>9.2825368013997253E-3</v>
      </c>
      <c r="M376">
        <f>_xlfn.STDEV.S('R1'!N376,'R2'!N376,'R3'!N376)</f>
        <v>5.6887539422469085E-3</v>
      </c>
      <c r="N376">
        <f>_xlfn.STDEV.S('R1'!O376,'R2'!O376,'R3'!O376)</f>
        <v>1.0944221566643372E-2</v>
      </c>
    </row>
    <row r="377" spans="1:14" x14ac:dyDescent="0.25">
      <c r="A377">
        <f>-'R1'!H377</f>
        <v>-20</v>
      </c>
      <c r="B377">
        <f>DEGREES(ATAN(-SIN(RADIANS(('R1'!I377)))/(COS(RADIANS(Sheet1!A377))*COS(RADIANS('R1'!I377)))))</f>
        <v>16.969467099429082</v>
      </c>
      <c r="C377">
        <f>AVERAGE('R1'!J377,'R2'!J377,'R3'!J377)</f>
        <v>1.1766666666666665</v>
      </c>
      <c r="D377">
        <f>AVERAGE('R1'!K377,'R2'!K377,'R3'!K377)</f>
        <v>20.182651499999999</v>
      </c>
      <c r="E377">
        <f>AVERAGE('R1'!L377,'R2'!L377,'R3'!L377)</f>
        <v>0.98801122246975615</v>
      </c>
      <c r="F377">
        <f>AVERAGE('R1'!M377,'R2'!M377,'R3'!M377)</f>
        <v>1.2439489662236822</v>
      </c>
      <c r="G377">
        <f>AVERAGE('R1'!N377,'R2'!N377,'R3'!N377)</f>
        <v>-0.38885533203515776</v>
      </c>
      <c r="H377">
        <f>AVERAGE('R1'!O377,'R2'!O377,'R3'!O377)</f>
        <v>2.544969178690991E-3</v>
      </c>
      <c r="I377">
        <f t="shared" si="9"/>
        <v>3958.0422108333323</v>
      </c>
      <c r="K377">
        <f>_xlfn.STDEV.S('R1'!L377,'R2'!L377,'R3'!L377)</f>
        <v>6.2741678972298509E-3</v>
      </c>
      <c r="L377">
        <f>_xlfn.STDEV.S('R1'!M377,'R2'!M377,'R3'!M377)</f>
        <v>1.0639390930911572E-2</v>
      </c>
      <c r="M377">
        <f>_xlfn.STDEV.S('R1'!N377,'R2'!N377,'R3'!N377)</f>
        <v>3.7491727553787824E-3</v>
      </c>
      <c r="N377">
        <f>_xlfn.STDEV.S('R1'!O377,'R2'!O377,'R3'!O377)</f>
        <v>4.2313595357154725E-3</v>
      </c>
    </row>
    <row r="378" spans="1:14" x14ac:dyDescent="0.25">
      <c r="A378">
        <f>-'R1'!H378</f>
        <v>-20</v>
      </c>
      <c r="B378">
        <f>DEGREES(ATAN(-SIN(RADIANS(('R1'!I378)))/(COS(RADIANS(Sheet1!A378))*COS(RADIANS('R1'!I378)))))</f>
        <v>12.745697846757086</v>
      </c>
      <c r="C378">
        <f>AVERAGE('R1'!J378,'R2'!J378,'R3'!J378)</f>
        <v>1.1741666666666666</v>
      </c>
      <c r="D378">
        <f>AVERAGE('R1'!K378,'R2'!K378,'R3'!K378)</f>
        <v>20.541122999999999</v>
      </c>
      <c r="E378">
        <f>AVERAGE('R1'!L378,'R2'!L378,'R3'!L378)</f>
        <v>0.75516522984149725</v>
      </c>
      <c r="F378">
        <f>AVERAGE('R1'!M378,'R2'!M378,'R3'!M378)</f>
        <v>1.2829629475475299</v>
      </c>
      <c r="G378">
        <f>AVERAGE('R1'!N378,'R2'!N378,'R3'!N378)</f>
        <v>-0.31947178809124127</v>
      </c>
      <c r="H378">
        <f>AVERAGE('R1'!O378,'R2'!O378,'R3'!O378)</f>
        <v>0.10699897805658341</v>
      </c>
      <c r="I378">
        <f t="shared" si="9"/>
        <v>4019.7836537499998</v>
      </c>
      <c r="K378">
        <f>_xlfn.STDEV.S('R1'!L378,'R2'!L378,'R3'!L378)</f>
        <v>1.5604930543954097E-3</v>
      </c>
      <c r="L378">
        <f>_xlfn.STDEV.S('R1'!M378,'R2'!M378,'R3'!M378)</f>
        <v>3.8925217437388911E-3</v>
      </c>
      <c r="M378">
        <f>_xlfn.STDEV.S('R1'!N378,'R2'!N378,'R3'!N378)</f>
        <v>3.1627833730268023E-3</v>
      </c>
      <c r="N378">
        <f>_xlfn.STDEV.S('R1'!O378,'R2'!O378,'R3'!O378)</f>
        <v>4.6029842343707503E-3</v>
      </c>
    </row>
    <row r="379" spans="1:14" x14ac:dyDescent="0.25">
      <c r="A379">
        <f>-'R1'!H379</f>
        <v>-20</v>
      </c>
      <c r="B379">
        <f>DEGREES(ATAN(-SIN(RADIANS(('R1'!I379)))/(COS(RADIANS(Sheet1!A379))*COS(RADIANS('R1'!I379)))))</f>
        <v>8.5061328568771426</v>
      </c>
      <c r="C379">
        <f>AVERAGE('R1'!J379,'R2'!J379,'R3'!J379)</f>
        <v>1.1733333333333331</v>
      </c>
      <c r="D379">
        <f>AVERAGE('R1'!K379,'R2'!K379,'R3'!K379)</f>
        <v>20.411960666666669</v>
      </c>
      <c r="E379">
        <f>AVERAGE('R1'!L379,'R2'!L379,'R3'!L379)</f>
        <v>0.52788801986351797</v>
      </c>
      <c r="F379">
        <f>AVERAGE('R1'!M379,'R2'!M379,'R3'!M379)</f>
        <v>1.3322982560927994</v>
      </c>
      <c r="G379">
        <f>AVERAGE('R1'!N379,'R2'!N379,'R3'!N379)</f>
        <v>-0.27019781868117382</v>
      </c>
      <c r="H379">
        <f>AVERAGE('R1'!O379,'R2'!O379,'R3'!O379)</f>
        <v>0.17091908233147321</v>
      </c>
      <c r="I379">
        <f t="shared" si="9"/>
        <v>3991.6723081481473</v>
      </c>
      <c r="K379">
        <f>_xlfn.STDEV.S('R1'!L379,'R2'!L379,'R3'!L379)</f>
        <v>1.6694407863479957E-3</v>
      </c>
      <c r="L379">
        <f>_xlfn.STDEV.S('R1'!M379,'R2'!M379,'R3'!M379)</f>
        <v>3.369466121910563E-3</v>
      </c>
      <c r="M379">
        <f>_xlfn.STDEV.S('R1'!N379,'R2'!N379,'R3'!N379)</f>
        <v>1.5537687971856784E-3</v>
      </c>
      <c r="N379">
        <f>_xlfn.STDEV.S('R1'!O379,'R2'!O379,'R3'!O379)</f>
        <v>2.2921220279184824E-3</v>
      </c>
    </row>
    <row r="380" spans="1:14" x14ac:dyDescent="0.25">
      <c r="A380">
        <f>-'R1'!H380</f>
        <v>-20</v>
      </c>
      <c r="B380">
        <f>DEGREES(ATAN(-SIN(RADIANS(('R1'!I380)))/(COS(RADIANS(Sheet1!A380))*COS(RADIANS('R1'!I380)))))</f>
        <v>4.2557962016512016</v>
      </c>
      <c r="C380">
        <f>AVERAGE('R1'!J380,'R2'!J380,'R3'!J380)</f>
        <v>1.1733333333333331</v>
      </c>
      <c r="D380">
        <f>AVERAGE('R1'!K380,'R2'!K380,'R3'!K380)</f>
        <v>21.206863500000001</v>
      </c>
      <c r="E380">
        <f>AVERAGE('R1'!L380,'R2'!L380,'R3'!L380)</f>
        <v>0.30343540800666996</v>
      </c>
      <c r="F380">
        <f>AVERAGE('R1'!M380,'R2'!M380,'R3'!M380)</f>
        <v>1.3930341594727043</v>
      </c>
      <c r="G380">
        <f>AVERAGE('R1'!N380,'R2'!N380,'R3'!N380)</f>
        <v>-0.24750672142499405</v>
      </c>
      <c r="H380">
        <f>AVERAGE('R1'!O380,'R2'!O380,'R3'!O380)</f>
        <v>0.23014300904588589</v>
      </c>
      <c r="I380">
        <f t="shared" si="9"/>
        <v>4147.1199733333333</v>
      </c>
      <c r="K380">
        <f>_xlfn.STDEV.S('R1'!L380,'R2'!L380,'R3'!L380)</f>
        <v>3.3843141960339697E-3</v>
      </c>
      <c r="L380">
        <f>_xlfn.STDEV.S('R1'!M380,'R2'!M380,'R3'!M380)</f>
        <v>2.6574565065631906E-3</v>
      </c>
      <c r="M380">
        <f>_xlfn.STDEV.S('R1'!N380,'R2'!N380,'R3'!N380)</f>
        <v>2.6984699905857595E-3</v>
      </c>
      <c r="N380">
        <f>_xlfn.STDEV.S('R1'!O380,'R2'!O380,'R3'!O380)</f>
        <v>6.8050983608734707E-3</v>
      </c>
    </row>
    <row r="381" spans="1:14" x14ac:dyDescent="0.25">
      <c r="A381">
        <f>-'R1'!H381</f>
        <v>-20</v>
      </c>
      <c r="B381">
        <f>DEGREES(ATAN(-SIN(RADIANS(('R1'!I381)))/(COS(RADIANS(Sheet1!A381))*COS(RADIANS('R1'!I381)))))</f>
        <v>0</v>
      </c>
      <c r="C381">
        <f>AVERAGE('R1'!J381,'R2'!J381,'R3'!J381)</f>
        <v>1.1708333333333334</v>
      </c>
      <c r="D381">
        <f>AVERAGE('R1'!K381,'R2'!K381,'R3'!K381)</f>
        <v>21.957467333333337</v>
      </c>
      <c r="E381">
        <f>AVERAGE('R1'!L381,'R2'!L381,'R3'!L381)</f>
        <v>5.8057780973932625E-2</v>
      </c>
      <c r="F381">
        <f>AVERAGE('R1'!M381,'R2'!M381,'R3'!M381)</f>
        <v>1.4619657187727897</v>
      </c>
      <c r="G381">
        <f>AVERAGE('R1'!N381,'R2'!N381,'R3'!N381)</f>
        <v>-0.24778781743198094</v>
      </c>
      <c r="H381">
        <f>AVERAGE('R1'!O381,'R2'!O381,'R3'!O381)</f>
        <v>0.31010098638898947</v>
      </c>
      <c r="I381">
        <f t="shared" si="9"/>
        <v>4284.7557782407412</v>
      </c>
      <c r="K381">
        <f>_xlfn.STDEV.S('R1'!L381,'R2'!L381,'R3'!L381)</f>
        <v>2.0750801467547568E-3</v>
      </c>
      <c r="L381">
        <f>_xlfn.STDEV.S('R1'!M381,'R2'!M381,'R3'!M381)</f>
        <v>6.1957149432448535E-3</v>
      </c>
      <c r="M381">
        <f>_xlfn.STDEV.S('R1'!N381,'R2'!N381,'R3'!N381)</f>
        <v>2.4463522689321233E-3</v>
      </c>
      <c r="N381">
        <f>_xlfn.STDEV.S('R1'!O381,'R2'!O381,'R3'!O381)</f>
        <v>6.8694951040077978E-3</v>
      </c>
    </row>
    <row r="382" spans="1:14" x14ac:dyDescent="0.25">
      <c r="A382">
        <f>-'R1'!H382</f>
        <v>-20</v>
      </c>
      <c r="B382">
        <f>DEGREES(ATAN(-SIN(RADIANS(('R1'!I382)))/(COS(RADIANS(Sheet1!A382))*COS(RADIANS('R1'!I382)))))</f>
        <v>-4.2557962016512016</v>
      </c>
      <c r="C382">
        <f>AVERAGE('R1'!J382,'R2'!J382,'R3'!J382)</f>
        <v>1.1708333333333334</v>
      </c>
      <c r="D382">
        <f>AVERAGE('R1'!K382,'R2'!K382,'R3'!K382)</f>
        <v>21.736907500000001</v>
      </c>
      <c r="E382">
        <f>AVERAGE('R1'!L382,'R2'!L382,'R3'!L382)</f>
        <v>-0.20944691287280878</v>
      </c>
      <c r="F382">
        <f>AVERAGE('R1'!M382,'R2'!M382,'R3'!M382)</f>
        <v>1.4088916858204452</v>
      </c>
      <c r="G382">
        <f>AVERAGE('R1'!N382,'R2'!N382,'R3'!N382)</f>
        <v>-0.25225751155837139</v>
      </c>
      <c r="H382">
        <f>AVERAGE('R1'!O382,'R2'!O382,'R3'!O382)</f>
        <v>0.25742942118924106</v>
      </c>
      <c r="I382">
        <f t="shared" si="9"/>
        <v>4241.7159774305564</v>
      </c>
      <c r="K382">
        <f>_xlfn.STDEV.S('R1'!L382,'R2'!L382,'R3'!L382)</f>
        <v>5.2428194566071853E-3</v>
      </c>
      <c r="L382">
        <f>_xlfn.STDEV.S('R1'!M382,'R2'!M382,'R3'!M382)</f>
        <v>4.6762439599421319E-3</v>
      </c>
      <c r="M382">
        <f>_xlfn.STDEV.S('R1'!N382,'R2'!N382,'R3'!N382)</f>
        <v>1.3964686673710066E-3</v>
      </c>
      <c r="N382">
        <f>_xlfn.STDEV.S('R1'!O382,'R2'!O382,'R3'!O382)</f>
        <v>5.2833252985279343E-3</v>
      </c>
    </row>
    <row r="383" spans="1:14" x14ac:dyDescent="0.25">
      <c r="A383">
        <f>-'R1'!H383</f>
        <v>-20</v>
      </c>
      <c r="B383">
        <f>DEGREES(ATAN(-SIN(RADIANS(('R1'!I383)))/(COS(RADIANS(Sheet1!A383))*COS(RADIANS('R1'!I383)))))</f>
        <v>-8.5061328568771426</v>
      </c>
      <c r="C383">
        <f>AVERAGE('R1'!J383,'R2'!J383,'R3'!J383)</f>
        <v>1.1716666666666666</v>
      </c>
      <c r="D383">
        <f>AVERAGE('R1'!K383,'R2'!K383,'R3'!K383)</f>
        <v>21.436983166666664</v>
      </c>
      <c r="E383">
        <f>AVERAGE('R1'!L383,'R2'!L383,'R3'!L383)</f>
        <v>-0.45852921331280311</v>
      </c>
      <c r="F383">
        <f>AVERAGE('R1'!M383,'R2'!M383,'R3'!M383)</f>
        <v>1.3335202794337586</v>
      </c>
      <c r="G383">
        <f>AVERAGE('R1'!N383,'R2'!N383,'R3'!N383)</f>
        <v>-0.26389137901569193</v>
      </c>
      <c r="H383">
        <f>AVERAGE('R1'!O383,'R2'!O383,'R3'!O383)</f>
        <v>0.17315001814722922</v>
      </c>
      <c r="I383">
        <f t="shared" si="9"/>
        <v>4186.1664350462952</v>
      </c>
      <c r="K383">
        <f>_xlfn.STDEV.S('R1'!L383,'R2'!L383,'R3'!L383)</f>
        <v>5.6049691562070495E-3</v>
      </c>
      <c r="L383">
        <f>_xlfn.STDEV.S('R1'!M383,'R2'!M383,'R3'!M383)</f>
        <v>5.9837221032979166E-3</v>
      </c>
      <c r="M383">
        <f>_xlfn.STDEV.S('R1'!N383,'R2'!N383,'R3'!N383)</f>
        <v>1.273369281356185E-3</v>
      </c>
      <c r="N383">
        <f>_xlfn.STDEV.S('R1'!O383,'R2'!O383,'R3'!O383)</f>
        <v>4.7272176599625531E-3</v>
      </c>
    </row>
    <row r="384" spans="1:14" x14ac:dyDescent="0.25">
      <c r="A384">
        <f>-'R1'!H384</f>
        <v>-20</v>
      </c>
      <c r="B384">
        <f>DEGREES(ATAN(-SIN(RADIANS(('R1'!I384)))/(COS(RADIANS(Sheet1!A384))*COS(RADIANS('R1'!I384)))))</f>
        <v>-12.745697846757086</v>
      </c>
      <c r="C384">
        <f>AVERAGE('R1'!J384,'R2'!J384,'R3'!J384)</f>
        <v>1.1733333333333331</v>
      </c>
      <c r="D384">
        <f>AVERAGE('R1'!K384,'R2'!K384,'R3'!K384)</f>
        <v>21.23866825</v>
      </c>
      <c r="E384">
        <f>AVERAGE('R1'!L384,'R2'!L384,'R3'!L384)</f>
        <v>-0.69942702828986991</v>
      </c>
      <c r="F384">
        <f>AVERAGE('R1'!M384,'R2'!M384,'R3'!M384)</f>
        <v>1.2906421380374395</v>
      </c>
      <c r="G384">
        <f>AVERAGE('R1'!N384,'R2'!N384,'R3'!N384)</f>
        <v>-0.308128483169198</v>
      </c>
      <c r="H384">
        <f>AVERAGE('R1'!O384,'R2'!O384,'R3'!O384)</f>
        <v>9.2811632535790944E-2</v>
      </c>
      <c r="I384">
        <f t="shared" si="9"/>
        <v>4153.3395688888886</v>
      </c>
      <c r="K384">
        <f>_xlfn.STDEV.S('R1'!L384,'R2'!L384,'R3'!L384)</f>
        <v>7.0601719727089582E-3</v>
      </c>
      <c r="L384">
        <f>_xlfn.STDEV.S('R1'!M384,'R2'!M384,'R3'!M384)</f>
        <v>7.200738450314592E-3</v>
      </c>
      <c r="M384">
        <f>_xlfn.STDEV.S('R1'!N384,'R2'!N384,'R3'!N384)</f>
        <v>3.6909554417533493E-3</v>
      </c>
      <c r="N384">
        <f>_xlfn.STDEV.S('R1'!O384,'R2'!O384,'R3'!O384)</f>
        <v>7.1520582194483859E-3</v>
      </c>
    </row>
    <row r="385" spans="1:14" x14ac:dyDescent="0.25">
      <c r="A385">
        <f>-'R1'!H385</f>
        <v>-20</v>
      </c>
      <c r="B385">
        <f>DEGREES(ATAN(-SIN(RADIANS(('R1'!I385)))/(COS(RADIANS(Sheet1!A385))*COS(RADIANS('R1'!I385)))))</f>
        <v>-16.969467099429082</v>
      </c>
      <c r="C385">
        <f>AVERAGE('R1'!J385,'R2'!J385,'R3'!J385)</f>
        <v>1.1733333333333331</v>
      </c>
      <c r="D385">
        <f>AVERAGE('R1'!K385,'R2'!K385,'R3'!K385)</f>
        <v>21.055375416666667</v>
      </c>
      <c r="E385">
        <f>AVERAGE('R1'!L385,'R2'!L385,'R3'!L385)</f>
        <v>-0.94934669862303611</v>
      </c>
      <c r="F385">
        <f>AVERAGE('R1'!M385,'R2'!M385,'R3'!M385)</f>
        <v>1.256982002607852</v>
      </c>
      <c r="G385">
        <f>AVERAGE('R1'!N385,'R2'!N385,'R3'!N385)</f>
        <v>-0.39134916089552552</v>
      </c>
      <c r="H385">
        <f>AVERAGE('R1'!O385,'R2'!O385,'R3'!O385)</f>
        <v>1.5153656636498281E-2</v>
      </c>
      <c r="I385">
        <f t="shared" si="9"/>
        <v>4117.4956370370364</v>
      </c>
      <c r="K385">
        <f>_xlfn.STDEV.S('R1'!L385,'R2'!L385,'R3'!L385)</f>
        <v>5.2007567416596104E-3</v>
      </c>
      <c r="L385">
        <f>_xlfn.STDEV.S('R1'!M385,'R2'!M385,'R3'!M385)</f>
        <v>1.936541370846145E-3</v>
      </c>
      <c r="M385">
        <f>_xlfn.STDEV.S('R1'!N385,'R2'!N385,'R3'!N385)</f>
        <v>2.3091546457717827E-3</v>
      </c>
      <c r="N385">
        <f>_xlfn.STDEV.S('R1'!O385,'R2'!O385,'R3'!O385)</f>
        <v>3.4713544786958385E-3</v>
      </c>
    </row>
    <row r="386" spans="1:14" x14ac:dyDescent="0.25">
      <c r="A386">
        <f>-'R1'!H386</f>
        <v>-20</v>
      </c>
      <c r="B386">
        <f>DEGREES(ATAN(-SIN(RADIANS(('R1'!I386)))/(COS(RADIANS(Sheet1!A386))*COS(RADIANS('R1'!I386)))))</f>
        <v>-21.172832185162978</v>
      </c>
      <c r="C386">
        <f>AVERAGE('R1'!J386,'R2'!J386,'R3'!J386)</f>
        <v>1.1733333333333331</v>
      </c>
      <c r="D386">
        <f>AVERAGE('R1'!K386,'R2'!K386,'R3'!K386)</f>
        <v>20.901293416666665</v>
      </c>
      <c r="E386">
        <f>AVERAGE('R1'!L386,'R2'!L386,'R3'!L386)</f>
        <v>-1.1657118813663836</v>
      </c>
      <c r="F386">
        <f>AVERAGE('R1'!M386,'R2'!M386,'R3'!M386)</f>
        <v>1.2837502575459949</v>
      </c>
      <c r="G386">
        <f>AVERAGE('R1'!N386,'R2'!N386,'R3'!N386)</f>
        <v>-0.49358897383325767</v>
      </c>
      <c r="H386">
        <f>AVERAGE('R1'!O386,'R2'!O386,'R3'!O386)</f>
        <v>-0.12726027971800871</v>
      </c>
      <c r="I386">
        <f t="shared" si="9"/>
        <v>4087.364045925925</v>
      </c>
      <c r="K386">
        <f>_xlfn.STDEV.S('R1'!L386,'R2'!L386,'R3'!L386)</f>
        <v>2.373050220350021E-3</v>
      </c>
      <c r="L386">
        <f>_xlfn.STDEV.S('R1'!M386,'R2'!M386,'R3'!M386)</f>
        <v>9.2758463227618718E-3</v>
      </c>
      <c r="M386">
        <f>_xlfn.STDEV.S('R1'!N386,'R2'!N386,'R3'!N386)</f>
        <v>5.6358240498173891E-3</v>
      </c>
      <c r="N386">
        <f>_xlfn.STDEV.S('R1'!O386,'R2'!O386,'R3'!O386)</f>
        <v>9.9535752846627874E-3</v>
      </c>
    </row>
    <row r="387" spans="1:14" x14ac:dyDescent="0.25">
      <c r="A387">
        <f>-'R1'!H387</f>
        <v>-20</v>
      </c>
      <c r="B387">
        <f>DEGREES(ATAN(-SIN(RADIANS(('R1'!I387)))/(COS(RADIANS(Sheet1!A387))*COS(RADIANS('R1'!I387)))))</f>
        <v>-25.351709771061881</v>
      </c>
      <c r="C387">
        <f>AVERAGE('R1'!J387,'R2'!J387,'R3'!J387)</f>
        <v>1.1766666666666665</v>
      </c>
      <c r="D387">
        <f>AVERAGE('R1'!K387,'R2'!K387,'R3'!K387)</f>
        <v>20.79086941666667</v>
      </c>
      <c r="E387">
        <f>AVERAGE('R1'!L387,'R2'!L387,'R3'!L387)</f>
        <v>-1.3658999298798353</v>
      </c>
      <c r="F387">
        <f>AVERAGE('R1'!M387,'R2'!M387,'R3'!M387)</f>
        <v>1.3489582431550862</v>
      </c>
      <c r="G387">
        <f>AVERAGE('R1'!N387,'R2'!N387,'R3'!N387)</f>
        <v>-0.62271607904325255</v>
      </c>
      <c r="H387">
        <f>AVERAGE('R1'!O387,'R2'!O387,'R3'!O387)</f>
        <v>-0.28891802697909014</v>
      </c>
      <c r="I387">
        <f t="shared" ref="I387:I450" si="10">C387*D387*0.003/(1.8*10^-5)</f>
        <v>4077.3205022685183</v>
      </c>
      <c r="K387">
        <f>_xlfn.STDEV.S('R1'!L387,'R2'!L387,'R3'!L387)</f>
        <v>6.1382935781691969E-3</v>
      </c>
      <c r="L387">
        <f>_xlfn.STDEV.S('R1'!M387,'R2'!M387,'R3'!M387)</f>
        <v>6.4273508493093911E-3</v>
      </c>
      <c r="M387">
        <f>_xlfn.STDEV.S('R1'!N387,'R2'!N387,'R3'!N387)</f>
        <v>2.2208033489305098E-3</v>
      </c>
      <c r="N387">
        <f>_xlfn.STDEV.S('R1'!O387,'R2'!O387,'R3'!O387)</f>
        <v>6.6332086602202602E-3</v>
      </c>
    </row>
    <row r="388" spans="1:14" x14ac:dyDescent="0.25">
      <c r="A388">
        <f>-'R1'!H388</f>
        <v>-20</v>
      </c>
      <c r="B388">
        <f>DEGREES(ATAN(-SIN(RADIANS(('R1'!I388)))/(COS(RADIANS(Sheet1!A388))*COS(RADIANS('R1'!I388)))))</f>
        <v>-29.502629281345779</v>
      </c>
      <c r="C388">
        <f>AVERAGE('R1'!J388,'R2'!J388,'R3'!J388)</f>
        <v>1.1741666666666666</v>
      </c>
      <c r="D388">
        <f>AVERAGE('R1'!K388,'R2'!K388,'R3'!K388)</f>
        <v>20.676809333333335</v>
      </c>
      <c r="E388">
        <f>AVERAGE('R1'!L388,'R2'!L388,'R3'!L388)</f>
        <v>-1.5633856849938319</v>
      </c>
      <c r="F388">
        <f>AVERAGE('R1'!M388,'R2'!M388,'R3'!M388)</f>
        <v>1.4391443007011864</v>
      </c>
      <c r="G388">
        <f>AVERAGE('R1'!N388,'R2'!N388,'R3'!N388)</f>
        <v>-0.77688563798375176</v>
      </c>
      <c r="H388">
        <f>AVERAGE('R1'!O388,'R2'!O388,'R3'!O388)</f>
        <v>-0.47736034924241505</v>
      </c>
      <c r="I388">
        <f t="shared" si="10"/>
        <v>4046.3367153703707</v>
      </c>
      <c r="K388">
        <f>_xlfn.STDEV.S('R1'!L388,'R2'!L388,'R3'!L388)</f>
        <v>6.4230392115454142E-3</v>
      </c>
      <c r="L388">
        <f>_xlfn.STDEV.S('R1'!M388,'R2'!M388,'R3'!M388)</f>
        <v>6.1232475330651433E-3</v>
      </c>
      <c r="M388">
        <f>_xlfn.STDEV.S('R1'!N388,'R2'!N388,'R3'!N388)</f>
        <v>3.1672888978993763E-3</v>
      </c>
      <c r="N388">
        <f>_xlfn.STDEV.S('R1'!O388,'R2'!O388,'R3'!O388)</f>
        <v>5.1979173877483237E-3</v>
      </c>
    </row>
    <row r="389" spans="1:14" x14ac:dyDescent="0.25">
      <c r="A389">
        <f>-'R1'!H389</f>
        <v>-20</v>
      </c>
      <c r="B389">
        <f>DEGREES(ATAN(-SIN(RADIANS(('R1'!I389)))/(COS(RADIANS(Sheet1!A389))*COS(RADIANS('R1'!I389)))))</f>
        <v>-33.622796746730245</v>
      </c>
      <c r="C389">
        <f>AVERAGE('R1'!J389,'R2'!J389,'R3'!J389)</f>
        <v>1.1733333333333331</v>
      </c>
      <c r="D389">
        <f>AVERAGE('R1'!K389,'R2'!K389,'R3'!K389)</f>
        <v>20.594080666666667</v>
      </c>
      <c r="E389">
        <f>AVERAGE('R1'!L389,'R2'!L389,'R3'!L389)</f>
        <v>-1.768293878162005</v>
      </c>
      <c r="F389">
        <f>AVERAGE('R1'!M389,'R2'!M389,'R3'!M389)</f>
        <v>1.5478674380959887</v>
      </c>
      <c r="G389">
        <f>AVERAGE('R1'!N389,'R2'!N389,'R3'!N389)</f>
        <v>-0.95983813382284977</v>
      </c>
      <c r="H389">
        <f>AVERAGE('R1'!O389,'R2'!O389,'R3'!O389)</f>
        <v>-0.67791465619027047</v>
      </c>
      <c r="I389">
        <f t="shared" si="10"/>
        <v>4027.2868859259256</v>
      </c>
      <c r="K389">
        <f>_xlfn.STDEV.S('R1'!L389,'R2'!L389,'R3'!L389)</f>
        <v>1.2971890533797197E-2</v>
      </c>
      <c r="L389">
        <f>_xlfn.STDEV.S('R1'!M389,'R2'!M389,'R3'!M389)</f>
        <v>3.9727466070908976E-3</v>
      </c>
      <c r="M389">
        <f>_xlfn.STDEV.S('R1'!N389,'R2'!N389,'R3'!N389)</f>
        <v>7.7517725173716946E-3</v>
      </c>
      <c r="N389">
        <f>_xlfn.STDEV.S('R1'!O389,'R2'!O389,'R3'!O389)</f>
        <v>1.3783189217308426E-3</v>
      </c>
    </row>
    <row r="390" spans="1:14" x14ac:dyDescent="0.25">
      <c r="A390">
        <f>-'R1'!H390</f>
        <v>-20</v>
      </c>
      <c r="B390">
        <f>DEGREES(ATAN(-SIN(RADIANS(('R1'!I390)))/(COS(RADIANS(Sheet1!A390))*COS(RADIANS('R1'!I390)))))</f>
        <v>-37.710134449764993</v>
      </c>
      <c r="C390">
        <f>AVERAGE('R1'!J390,'R2'!J390,'R3'!J390)</f>
        <v>1.1733333333333331</v>
      </c>
      <c r="D390">
        <f>AVERAGE('R1'!K390,'R2'!K390,'R3'!K390)</f>
        <v>20.501694749999999</v>
      </c>
      <c r="E390">
        <f>AVERAGE('R1'!L390,'R2'!L390,'R3'!L390)</f>
        <v>-1.9942863239068558</v>
      </c>
      <c r="F390">
        <f>AVERAGE('R1'!M390,'R2'!M390,'R3'!M390)</f>
        <v>1.6884261086104246</v>
      </c>
      <c r="G390">
        <f>AVERAGE('R1'!N390,'R2'!N390,'R3'!N390)</f>
        <v>-1.1936706981270311</v>
      </c>
      <c r="H390">
        <f>AVERAGE('R1'!O390,'R2'!O390,'R3'!O390)</f>
        <v>-0.89960259599720815</v>
      </c>
      <c r="I390">
        <f t="shared" si="10"/>
        <v>4009.2203066666657</v>
      </c>
      <c r="K390">
        <f>_xlfn.STDEV.S('R1'!L390,'R2'!L390,'R3'!L390)</f>
        <v>1.3557690923140218E-2</v>
      </c>
      <c r="L390">
        <f>_xlfn.STDEV.S('R1'!M390,'R2'!M390,'R3'!M390)</f>
        <v>3.1382280331332321E-3</v>
      </c>
      <c r="M390">
        <f>_xlfn.STDEV.S('R1'!N390,'R2'!N390,'R3'!N390)</f>
        <v>1.2384411032740513E-2</v>
      </c>
      <c r="N390">
        <f>_xlfn.STDEV.S('R1'!O390,'R2'!O390,'R3'!O390)</f>
        <v>1.520782570320012E-3</v>
      </c>
    </row>
    <row r="391" spans="1:14" x14ac:dyDescent="0.25">
      <c r="A391">
        <f>-'R1'!H391</f>
        <v>-20</v>
      </c>
      <c r="B391">
        <f>DEGREES(ATAN(-SIN(RADIANS(('R1'!I391)))/(COS(RADIANS(Sheet1!A391))*COS(RADIANS('R1'!I391)))))</f>
        <v>-41.763297417742614</v>
      </c>
      <c r="C391">
        <f>AVERAGE('R1'!J391,'R2'!J391,'R3'!J391)</f>
        <v>1.1733333333333331</v>
      </c>
      <c r="D391">
        <f>AVERAGE('R1'!K391,'R2'!K391,'R3'!K391)</f>
        <v>20.390618416666666</v>
      </c>
      <c r="E391">
        <f>AVERAGE('R1'!L391,'R2'!L391,'R3'!L391)</f>
        <v>-2.283330657664139</v>
      </c>
      <c r="F391">
        <f>AVERAGE('R1'!M391,'R2'!M391,'R3'!M391)</f>
        <v>1.8750963364878792</v>
      </c>
      <c r="G391">
        <f>AVERAGE('R1'!N391,'R2'!N391,'R3'!N391)</f>
        <v>-1.5103608493504963</v>
      </c>
      <c r="H391">
        <f>AVERAGE('R1'!O391,'R2'!O391,'R3'!O391)</f>
        <v>-1.1563322401838514</v>
      </c>
      <c r="I391">
        <f t="shared" si="10"/>
        <v>3987.4987125925918</v>
      </c>
      <c r="K391">
        <f>_xlfn.STDEV.S('R1'!L391,'R2'!L391,'R3'!L391)</f>
        <v>2.1568994637965775E-2</v>
      </c>
      <c r="L391">
        <f>_xlfn.STDEV.S('R1'!M391,'R2'!M391,'R3'!M391)</f>
        <v>8.9652082040267075E-3</v>
      </c>
      <c r="M391">
        <f>_xlfn.STDEV.S('R1'!N391,'R2'!N391,'R3'!N391)</f>
        <v>2.0469078568823788E-2</v>
      </c>
      <c r="N391">
        <f>_xlfn.STDEV.S('R1'!O391,'R2'!O391,'R3'!O391)</f>
        <v>6.2508197809088952E-3</v>
      </c>
    </row>
    <row r="392" spans="1:14" x14ac:dyDescent="0.25">
      <c r="A392">
        <f>-'R1'!H392</f>
        <v>-20</v>
      </c>
      <c r="B392">
        <f>DEGREES(ATAN(-SIN(RADIANS(('R1'!I392)))/(COS(RADIANS(Sheet1!A392))*COS(RADIANS('R1'!I392)))))</f>
        <v>-45.781668962964282</v>
      </c>
      <c r="C392">
        <f>AVERAGE('R1'!J392,'R2'!J392,'R3'!J392)</f>
        <v>1.1741666666666666</v>
      </c>
      <c r="D392">
        <f>AVERAGE('R1'!K392,'R2'!K392,'R3'!K392)</f>
        <v>20.320296250000002</v>
      </c>
      <c r="E392">
        <f>AVERAGE('R1'!L392,'R2'!L392,'R3'!L392)</f>
        <v>-2.6675310968134096</v>
      </c>
      <c r="F392">
        <f>AVERAGE('R1'!M392,'R2'!M392,'R3'!M392)</f>
        <v>2.1222531829046933</v>
      </c>
      <c r="G392">
        <f>AVERAGE('R1'!N392,'R2'!N392,'R3'!N392)</f>
        <v>-1.9548722971323056</v>
      </c>
      <c r="H392">
        <f>AVERAGE('R1'!O392,'R2'!O392,'R3'!O392)</f>
        <v>-1.4767584292472173</v>
      </c>
      <c r="I392">
        <f t="shared" si="10"/>
        <v>3976.5690855902776</v>
      </c>
      <c r="K392">
        <f>_xlfn.STDEV.S('R1'!L392,'R2'!L392,'R3'!L392)</f>
        <v>3.765616196257849E-2</v>
      </c>
      <c r="L392">
        <f>_xlfn.STDEV.S('R1'!M392,'R2'!M392,'R3'!M392)</f>
        <v>1.6592502660520446E-2</v>
      </c>
      <c r="M392">
        <f>_xlfn.STDEV.S('R1'!N392,'R2'!N392,'R3'!N392)</f>
        <v>3.9456482217801313E-2</v>
      </c>
      <c r="N392">
        <f>_xlfn.STDEV.S('R1'!O392,'R2'!O392,'R3'!O392)</f>
        <v>1.6720453313371381E-2</v>
      </c>
    </row>
    <row r="393" spans="1:14" x14ac:dyDescent="0.25">
      <c r="A393">
        <f>-'R1'!H393</f>
        <v>-24</v>
      </c>
      <c r="B393">
        <f>DEGREES(ATAN(-SIN(RADIANS(('R1'!I393)))/(COS(RADIANS(Sheet1!A393))*COS(RADIANS('R1'!I393)))))</f>
        <v>46.589384435425394</v>
      </c>
      <c r="C393">
        <f>AVERAGE('R1'!J393,'R2'!J393,'R3'!J393)</f>
        <v>1.1758333333333333</v>
      </c>
      <c r="D393">
        <f>AVERAGE('R1'!K393,'R2'!K393,'R3'!K393)</f>
        <v>20.182246166666669</v>
      </c>
      <c r="E393">
        <f>AVERAGE('R1'!L393,'R2'!L393,'R3'!L393)</f>
        <v>2.2528178242446493</v>
      </c>
      <c r="F393">
        <f>AVERAGE('R1'!M393,'R2'!M393,'R3'!M393)</f>
        <v>1.808604437915007</v>
      </c>
      <c r="G393">
        <f>AVERAGE('R1'!N393,'R2'!N393,'R3'!N393)</f>
        <v>-1.493635199801765</v>
      </c>
      <c r="H393">
        <f>AVERAGE('R1'!O393,'R2'!O393,'R3'!O393)</f>
        <v>-1.3189431551732518</v>
      </c>
      <c r="I393">
        <f t="shared" si="10"/>
        <v>3955.1596307175928</v>
      </c>
      <c r="K393">
        <f>_xlfn.STDEV.S('R1'!L393,'R2'!L393,'R3'!L393)</f>
        <v>7.7247360457436713E-3</v>
      </c>
      <c r="L393">
        <f>_xlfn.STDEV.S('R1'!M393,'R2'!M393,'R3'!M393)</f>
        <v>3.5388078566361563E-3</v>
      </c>
      <c r="M393">
        <f>_xlfn.STDEV.S('R1'!N393,'R2'!N393,'R3'!N393)</f>
        <v>4.428752047295338E-3</v>
      </c>
      <c r="N393">
        <f>_xlfn.STDEV.S('R1'!O393,'R2'!O393,'R3'!O393)</f>
        <v>4.021677485867182E-3</v>
      </c>
    </row>
    <row r="394" spans="1:14" x14ac:dyDescent="0.25">
      <c r="A394">
        <f>-'R1'!H394</f>
        <v>-24</v>
      </c>
      <c r="B394">
        <f>DEGREES(ATAN(-SIN(RADIANS(('R1'!I394)))/(COS(RADIANS(Sheet1!A394))*COS(RADIANS('R1'!I394)))))</f>
        <v>42.567751063132313</v>
      </c>
      <c r="C394">
        <f>AVERAGE('R1'!J394,'R2'!J394,'R3'!J394)</f>
        <v>1.1741666666666666</v>
      </c>
      <c r="D394">
        <f>AVERAGE('R1'!K394,'R2'!K394,'R3'!K394)</f>
        <v>20.128321749999998</v>
      </c>
      <c r="E394">
        <f>AVERAGE('R1'!L394,'R2'!L394,'R3'!L394)</f>
        <v>2.0382508022882742</v>
      </c>
      <c r="F394">
        <f>AVERAGE('R1'!M394,'R2'!M394,'R3'!M394)</f>
        <v>1.6826909813941662</v>
      </c>
      <c r="G394">
        <f>AVERAGE('R1'!N394,'R2'!N394,'R3'!N394)</f>
        <v>-1.2344713153376221</v>
      </c>
      <c r="H394">
        <f>AVERAGE('R1'!O394,'R2'!O394,'R3'!O394)</f>
        <v>-1.1104334641182581</v>
      </c>
      <c r="I394">
        <f t="shared" si="10"/>
        <v>3939.0007424652772</v>
      </c>
      <c r="K394">
        <f>_xlfn.STDEV.S('R1'!L394,'R2'!L394,'R3'!L394)</f>
        <v>7.216828945976095E-3</v>
      </c>
      <c r="L394">
        <f>_xlfn.STDEV.S('R1'!M394,'R2'!M394,'R3'!M394)</f>
        <v>3.2657614279855457E-3</v>
      </c>
      <c r="M394">
        <f>_xlfn.STDEV.S('R1'!N394,'R2'!N394,'R3'!N394)</f>
        <v>2.669040864868643E-3</v>
      </c>
      <c r="N394">
        <f>_xlfn.STDEV.S('R1'!O394,'R2'!O394,'R3'!O394)</f>
        <v>2.8700620490176689E-3</v>
      </c>
    </row>
    <row r="395" spans="1:14" x14ac:dyDescent="0.25">
      <c r="A395">
        <f>-'R1'!H395</f>
        <v>-24</v>
      </c>
      <c r="B395">
        <f>DEGREES(ATAN(-SIN(RADIANS(('R1'!I395)))/(COS(RADIANS(Sheet1!A395))*COS(RADIANS('R1'!I395)))))</f>
        <v>38.495223358359183</v>
      </c>
      <c r="C395">
        <f>AVERAGE('R1'!J395,'R2'!J395,'R3'!J395)</f>
        <v>1.1758333333333333</v>
      </c>
      <c r="D395">
        <f>AVERAGE('R1'!K395,'R2'!K395,'R3'!K395)</f>
        <v>20.061245750000001</v>
      </c>
      <c r="E395">
        <f>AVERAGE('R1'!L395,'R2'!L395,'R3'!L395)</f>
        <v>1.8575777541412846</v>
      </c>
      <c r="F395">
        <f>AVERAGE('R1'!M395,'R2'!M395,'R3'!M395)</f>
        <v>1.5913039445130661</v>
      </c>
      <c r="G395">
        <f>AVERAGE('R1'!N395,'R2'!N395,'R3'!N395)</f>
        <v>-1.0370630933374869</v>
      </c>
      <c r="H395">
        <f>AVERAGE('R1'!O395,'R2'!O395,'R3'!O395)</f>
        <v>-0.93399516160131835</v>
      </c>
      <c r="I395">
        <f t="shared" si="10"/>
        <v>3931.4469101736113</v>
      </c>
      <c r="K395">
        <f>_xlfn.STDEV.S('R1'!L395,'R2'!L395,'R3'!L395)</f>
        <v>5.7492791295956479E-3</v>
      </c>
      <c r="L395">
        <f>_xlfn.STDEV.S('R1'!M395,'R2'!M395,'R3'!M395)</f>
        <v>3.3511216878909077E-3</v>
      </c>
      <c r="M395">
        <f>_xlfn.STDEV.S('R1'!N395,'R2'!N395,'R3'!N395)</f>
        <v>4.2910340673766043E-3</v>
      </c>
      <c r="N395">
        <f>_xlfn.STDEV.S('R1'!O395,'R2'!O395,'R3'!O395)</f>
        <v>7.4948593928277569E-3</v>
      </c>
    </row>
    <row r="396" spans="1:14" x14ac:dyDescent="0.25">
      <c r="A396">
        <f>-'R1'!H396</f>
        <v>-24</v>
      </c>
      <c r="B396">
        <f>DEGREES(ATAN(-SIN(RADIANS(('R1'!I396)))/(COS(RADIANS(Sheet1!A396))*COS(RADIANS('R1'!I396)))))</f>
        <v>34.372309890771753</v>
      </c>
      <c r="C396">
        <f>AVERAGE('R1'!J396,'R2'!J396,'R3'!J396)</f>
        <v>1.1741666666666666</v>
      </c>
      <c r="D396">
        <f>AVERAGE('R1'!K396,'R2'!K396,'R3'!K396)</f>
        <v>19.994325750000002</v>
      </c>
      <c r="E396">
        <f>AVERAGE('R1'!L396,'R2'!L396,'R3'!L396)</f>
        <v>1.7023598588418427</v>
      </c>
      <c r="F396">
        <f>AVERAGE('R1'!M396,'R2'!M396,'R3'!M396)</f>
        <v>1.5204805365256455</v>
      </c>
      <c r="G396">
        <f>AVERAGE('R1'!N396,'R2'!N396,'R3'!N396)</f>
        <v>-0.88697914339801731</v>
      </c>
      <c r="H396">
        <f>AVERAGE('R1'!O396,'R2'!O396,'R3'!O396)</f>
        <v>-0.76994271928463132</v>
      </c>
      <c r="I396">
        <f t="shared" si="10"/>
        <v>3912.7784696875005</v>
      </c>
      <c r="K396">
        <f>_xlfn.STDEV.S('R1'!L396,'R2'!L396,'R3'!L396)</f>
        <v>1.0788631749367912E-3</v>
      </c>
      <c r="L396">
        <f>_xlfn.STDEV.S('R1'!M396,'R2'!M396,'R3'!M396)</f>
        <v>8.0854338772356465E-3</v>
      </c>
      <c r="M396">
        <f>_xlfn.STDEV.S('R1'!N396,'R2'!N396,'R3'!N396)</f>
        <v>5.1893015234251039E-3</v>
      </c>
      <c r="N396">
        <f>_xlfn.STDEV.S('R1'!O396,'R2'!O396,'R3'!O396)</f>
        <v>1.0984437204250356E-2</v>
      </c>
    </row>
    <row r="397" spans="1:14" x14ac:dyDescent="0.25">
      <c r="A397">
        <f>-'R1'!H397</f>
        <v>-24</v>
      </c>
      <c r="B397">
        <f>DEGREES(ATAN(-SIN(RADIANS(('R1'!I397)))/(COS(RADIANS(Sheet1!A397))*COS(RADIANS('R1'!I397)))))</f>
        <v>30.200622081370245</v>
      </c>
      <c r="C397">
        <f>AVERAGE('R1'!J397,'R2'!J397,'R3'!J397)</f>
        <v>1.1766666666666665</v>
      </c>
      <c r="D397">
        <f>AVERAGE('R1'!K397,'R2'!K397,'R3'!K397)</f>
        <v>20.817303583333334</v>
      </c>
      <c r="E397">
        <f>AVERAGE('R1'!L397,'R2'!L397,'R3'!L397)</f>
        <v>1.5510060497530105</v>
      </c>
      <c r="F397">
        <f>AVERAGE('R1'!M397,'R2'!M397,'R3'!M397)</f>
        <v>1.4635468890983736</v>
      </c>
      <c r="G397">
        <f>AVERAGE('R1'!N397,'R2'!N397,'R3'!N397)</f>
        <v>-0.75806580519612243</v>
      </c>
      <c r="H397">
        <f>AVERAGE('R1'!O397,'R2'!O397,'R3'!O397)</f>
        <v>-0.61501136373166998</v>
      </c>
      <c r="I397">
        <f t="shared" si="10"/>
        <v>4082.5045360648141</v>
      </c>
      <c r="K397">
        <f>_xlfn.STDEV.S('R1'!L397,'R2'!L397,'R3'!L397)</f>
        <v>7.0493675892657429E-3</v>
      </c>
      <c r="L397">
        <f>_xlfn.STDEV.S('R1'!M397,'R2'!M397,'R3'!M397)</f>
        <v>3.4850998550341283E-3</v>
      </c>
      <c r="M397">
        <f>_xlfn.STDEV.S('R1'!N397,'R2'!N397,'R3'!N397)</f>
        <v>3.8686566269464759E-3</v>
      </c>
      <c r="N397">
        <f>_xlfn.STDEV.S('R1'!O397,'R2'!O397,'R3'!O397)</f>
        <v>1.1387254347508036E-2</v>
      </c>
    </row>
    <row r="398" spans="1:14" x14ac:dyDescent="0.25">
      <c r="A398">
        <f>-'R1'!H398</f>
        <v>-24</v>
      </c>
      <c r="B398">
        <f>DEGREES(ATAN(-SIN(RADIANS(('R1'!I398)))/(COS(RADIANS(Sheet1!A398))*COS(RADIANS('R1'!I398)))))</f>
        <v>25.982912809070061</v>
      </c>
      <c r="C398">
        <f>AVERAGE('R1'!J398,'R2'!J398,'R3'!J398)</f>
        <v>1.1766666666666665</v>
      </c>
      <c r="D398">
        <f>AVERAGE('R1'!K398,'R2'!K398,'R3'!K398)</f>
        <v>21.541214666666665</v>
      </c>
      <c r="E398">
        <f>AVERAGE('R1'!L398,'R2'!L398,'R3'!L398)</f>
        <v>1.3891602775940142</v>
      </c>
      <c r="F398">
        <f>AVERAGE('R1'!M398,'R2'!M398,'R3'!M398)</f>
        <v>1.442389787384851</v>
      </c>
      <c r="G398">
        <f>AVERAGE('R1'!N398,'R2'!N398,'R3'!N398)</f>
        <v>-0.65887112330480135</v>
      </c>
      <c r="H398">
        <f>AVERAGE('R1'!O398,'R2'!O398,'R3'!O398)</f>
        <v>-0.46370347865407702</v>
      </c>
      <c r="I398">
        <f t="shared" si="10"/>
        <v>4224.4715429629623</v>
      </c>
      <c r="K398">
        <f>_xlfn.STDEV.S('R1'!L398,'R2'!L398,'R3'!L398)</f>
        <v>1.1773300899127408E-2</v>
      </c>
      <c r="L398">
        <f>_xlfn.STDEV.S('R1'!M398,'R2'!M398,'R3'!M398)</f>
        <v>3.902120575750255E-3</v>
      </c>
      <c r="M398">
        <f>_xlfn.STDEV.S('R1'!N398,'R2'!N398,'R3'!N398)</f>
        <v>5.9049981457348555E-3</v>
      </c>
      <c r="N398">
        <f>_xlfn.STDEV.S('R1'!O398,'R2'!O398,'R3'!O398)</f>
        <v>1.3751145420464399E-2</v>
      </c>
    </row>
    <row r="399" spans="1:14" x14ac:dyDescent="0.25">
      <c r="A399">
        <f>-'R1'!H399</f>
        <v>-24</v>
      </c>
      <c r="B399">
        <f>DEGREES(ATAN(-SIN(RADIANS(('R1'!I399)))/(COS(RADIANS(Sheet1!A399))*COS(RADIANS('R1'!I399)))))</f>
        <v>21.723080079379415</v>
      </c>
      <c r="C399">
        <f>AVERAGE('R1'!J399,'R2'!J399,'R3'!J399)</f>
        <v>1.1766666666666665</v>
      </c>
      <c r="D399">
        <f>AVERAGE('R1'!K399,'R2'!K399,'R3'!K399)</f>
        <v>21.200276416666664</v>
      </c>
      <c r="E399">
        <f>AVERAGE('R1'!L399,'R2'!L399,'R3'!L399)</f>
        <v>1.1985015026347057</v>
      </c>
      <c r="F399">
        <f>AVERAGE('R1'!M399,'R2'!M399,'R3'!M399)</f>
        <v>1.453554569403857</v>
      </c>
      <c r="G399">
        <f>AVERAGE('R1'!N399,'R2'!N399,'R3'!N399)</f>
        <v>-0.57931445493566847</v>
      </c>
      <c r="H399">
        <f>AVERAGE('R1'!O399,'R2'!O399,'R3'!O399)</f>
        <v>-0.30358430749291471</v>
      </c>
      <c r="I399">
        <f t="shared" si="10"/>
        <v>4157.6097639351847</v>
      </c>
      <c r="K399">
        <f>_xlfn.STDEV.S('R1'!L399,'R2'!L399,'R3'!L399)</f>
        <v>7.5955597003648189E-4</v>
      </c>
      <c r="L399">
        <f>_xlfn.STDEV.S('R1'!M399,'R2'!M399,'R3'!M399)</f>
        <v>4.9376742593848239E-3</v>
      </c>
      <c r="M399">
        <f>_xlfn.STDEV.S('R1'!N399,'R2'!N399,'R3'!N399)</f>
        <v>1.4467931336719709E-3</v>
      </c>
      <c r="N399">
        <f>_xlfn.STDEV.S('R1'!O399,'R2'!O399,'R3'!O399)</f>
        <v>2.0895063577710357E-2</v>
      </c>
    </row>
    <row r="400" spans="1:14" x14ac:dyDescent="0.25">
      <c r="A400">
        <f>-'R1'!H400</f>
        <v>-24</v>
      </c>
      <c r="B400">
        <f>DEGREES(ATAN(-SIN(RADIANS(('R1'!I400)))/(COS(RADIANS(Sheet1!A400))*COS(RADIANS('R1'!I400)))))</f>
        <v>17.426129149372727</v>
      </c>
      <c r="C400">
        <f>AVERAGE('R1'!J400,'R2'!J400,'R3'!J400)</f>
        <v>1.1741666666666666</v>
      </c>
      <c r="D400">
        <f>AVERAGE('R1'!K400,'R2'!K400,'R3'!K400)</f>
        <v>21.012536166666663</v>
      </c>
      <c r="E400">
        <f>AVERAGE('R1'!L400,'R2'!L400,'R3'!L400)</f>
        <v>0.99537015179108135</v>
      </c>
      <c r="F400">
        <f>AVERAGE('R1'!M400,'R2'!M400,'R3'!M400)</f>
        <v>1.4719250527233159</v>
      </c>
      <c r="G400">
        <f>AVERAGE('R1'!N400,'R2'!N400,'R3'!N400)</f>
        <v>-0.50504533698426257</v>
      </c>
      <c r="H400">
        <f>AVERAGE('R1'!O400,'R2'!O400,'R3'!O400)</f>
        <v>-0.17056559963850612</v>
      </c>
      <c r="I400">
        <f t="shared" si="10"/>
        <v>4112.0365915046286</v>
      </c>
      <c r="K400">
        <f>_xlfn.STDEV.S('R1'!L400,'R2'!L400,'R3'!L400)</f>
        <v>3.9386472827373994E-3</v>
      </c>
      <c r="L400">
        <f>_xlfn.STDEV.S('R1'!M400,'R2'!M400,'R3'!M400)</f>
        <v>1.0955686904936883E-2</v>
      </c>
      <c r="M400">
        <f>_xlfn.STDEV.S('R1'!N400,'R2'!N400,'R3'!N400)</f>
        <v>4.3283386511593028E-3</v>
      </c>
      <c r="N400">
        <f>_xlfn.STDEV.S('R1'!O400,'R2'!O400,'R3'!O400)</f>
        <v>1.0816913877769181E-2</v>
      </c>
    </row>
    <row r="401" spans="1:14" x14ac:dyDescent="0.25">
      <c r="A401">
        <f>-'R1'!H401</f>
        <v>-24</v>
      </c>
      <c r="B401">
        <f>DEGREES(ATAN(-SIN(RADIANS(('R1'!I401)))/(COS(RADIANS(Sheet1!A401))*COS(RADIANS('R1'!I401)))))</f>
        <v>13.09808863151425</v>
      </c>
      <c r="C401">
        <f>AVERAGE('R1'!J401,'R2'!J401,'R3'!J401)</f>
        <v>1.1758333333333333</v>
      </c>
      <c r="D401">
        <f>AVERAGE('R1'!K401,'R2'!K401,'R3'!K401)</f>
        <v>20.786654333333335</v>
      </c>
      <c r="E401">
        <f>AVERAGE('R1'!L401,'R2'!L401,'R3'!L401)</f>
        <v>0.7792434728339046</v>
      </c>
      <c r="F401">
        <f>AVERAGE('R1'!M401,'R2'!M401,'R3'!M401)</f>
        <v>1.5028986753875071</v>
      </c>
      <c r="G401">
        <f>AVERAGE('R1'!N401,'R2'!N401,'R3'!N401)</f>
        <v>-0.44260687331763665</v>
      </c>
      <c r="H401">
        <f>AVERAGE('R1'!O401,'R2'!O401,'R3'!O401)</f>
        <v>-7.3915545933789253E-2</v>
      </c>
      <c r="I401">
        <f t="shared" si="10"/>
        <v>4073.6068422685184</v>
      </c>
      <c r="K401">
        <f>_xlfn.STDEV.S('R1'!L401,'R2'!L401,'R3'!L401)</f>
        <v>4.8842262972471897E-3</v>
      </c>
      <c r="L401">
        <f>_xlfn.STDEV.S('R1'!M401,'R2'!M401,'R3'!M401)</f>
        <v>1.0590375435366915E-2</v>
      </c>
      <c r="M401">
        <f>_xlfn.STDEV.S('R1'!N401,'R2'!N401,'R3'!N401)</f>
        <v>7.0977252527966803E-3</v>
      </c>
      <c r="N401">
        <f>_xlfn.STDEV.S('R1'!O401,'R2'!O401,'R3'!O401)</f>
        <v>1.3293984699255936E-2</v>
      </c>
    </row>
    <row r="402" spans="1:14" x14ac:dyDescent="0.25">
      <c r="A402">
        <f>-'R1'!H402</f>
        <v>-24</v>
      </c>
      <c r="B402">
        <f>DEGREES(ATAN(-SIN(RADIANS(('R1'!I402)))/(COS(RADIANS(Sheet1!A402))*COS(RADIANS('R1'!I402)))))</f>
        <v>8.7458791850141893</v>
      </c>
      <c r="C402">
        <f>AVERAGE('R1'!J402,'R2'!J402,'R3'!J402)</f>
        <v>1.1758333333333333</v>
      </c>
      <c r="D402">
        <f>AVERAGE('R1'!K402,'R2'!K402,'R3'!K402)</f>
        <v>20.602553499999999</v>
      </c>
      <c r="E402">
        <f>AVERAGE('R1'!L402,'R2'!L402,'R3'!L402)</f>
        <v>0.56358296101528693</v>
      </c>
      <c r="F402">
        <f>AVERAGE('R1'!M402,'R2'!M402,'R3'!M402)</f>
        <v>1.5415908039820287</v>
      </c>
      <c r="G402">
        <f>AVERAGE('R1'!N402,'R2'!N402,'R3'!N402)</f>
        <v>-0.39530023377302809</v>
      </c>
      <c r="H402">
        <f>AVERAGE('R1'!O402,'R2'!O402,'R3'!O402)</f>
        <v>1.546933466477124E-3</v>
      </c>
      <c r="I402">
        <f t="shared" si="10"/>
        <v>4037.5281928472218</v>
      </c>
      <c r="K402">
        <f>_xlfn.STDEV.S('R1'!L402,'R2'!L402,'R3'!L402)</f>
        <v>5.8104648213968277E-4</v>
      </c>
      <c r="L402">
        <f>_xlfn.STDEV.S('R1'!M402,'R2'!M402,'R3'!M402)</f>
        <v>1.0855335287322573E-2</v>
      </c>
      <c r="M402">
        <f>_xlfn.STDEV.S('R1'!N402,'R2'!N402,'R3'!N402)</f>
        <v>6.5049115179586555E-3</v>
      </c>
      <c r="N402">
        <f>_xlfn.STDEV.S('R1'!O402,'R2'!O402,'R3'!O402)</f>
        <v>1.3618457649795723E-2</v>
      </c>
    </row>
    <row r="403" spans="1:14" x14ac:dyDescent="0.25">
      <c r="A403">
        <f>-'R1'!H403</f>
        <v>-24</v>
      </c>
      <c r="B403">
        <f>DEGREES(ATAN(-SIN(RADIANS(('R1'!I403)))/(COS(RADIANS(Sheet1!A403))*COS(RADIANS('R1'!I403)))))</f>
        <v>4.3771372039965373</v>
      </c>
      <c r="C403">
        <f>AVERAGE('R1'!J403,'R2'!J403,'R3'!J403)</f>
        <v>1.1749999999999998</v>
      </c>
      <c r="D403">
        <f>AVERAGE('R1'!K403,'R2'!K403,'R3'!K403)</f>
        <v>20.549492833333332</v>
      </c>
      <c r="E403">
        <f>AVERAGE('R1'!L403,'R2'!L403,'R3'!L403)</f>
        <v>0.3344936920028021</v>
      </c>
      <c r="F403">
        <f>AVERAGE('R1'!M403,'R2'!M403,'R3'!M403)</f>
        <v>1.6020352094595234</v>
      </c>
      <c r="G403">
        <f>AVERAGE('R1'!N403,'R2'!N403,'R3'!N403)</f>
        <v>-0.3779775646092654</v>
      </c>
      <c r="H403">
        <f>AVERAGE('R1'!O403,'R2'!O403,'R3'!O403)</f>
        <v>7.1613934604718973E-2</v>
      </c>
      <c r="I403">
        <f t="shared" si="10"/>
        <v>4024.2756798611103</v>
      </c>
      <c r="K403">
        <f>_xlfn.STDEV.S('R1'!L403,'R2'!L403,'R3'!L403)</f>
        <v>1.2066662712708587E-2</v>
      </c>
      <c r="L403">
        <f>_xlfn.STDEV.S('R1'!M403,'R2'!M403,'R3'!M403)</f>
        <v>1.0634093206232792E-2</v>
      </c>
      <c r="M403">
        <f>_xlfn.STDEV.S('R1'!N403,'R2'!N403,'R3'!N403)</f>
        <v>6.9546419121952283E-3</v>
      </c>
      <c r="N403">
        <f>_xlfn.STDEV.S('R1'!O403,'R2'!O403,'R3'!O403)</f>
        <v>1.4927123215599736E-2</v>
      </c>
    </row>
    <row r="404" spans="1:14" x14ac:dyDescent="0.25">
      <c r="A404">
        <f>-'R1'!H404</f>
        <v>-24</v>
      </c>
      <c r="B404">
        <f>DEGREES(ATAN(-SIN(RADIANS(('R1'!I404)))/(COS(RADIANS(Sheet1!A404))*COS(RADIANS('R1'!I404)))))</f>
        <v>0</v>
      </c>
      <c r="C404">
        <f>AVERAGE('R1'!J404,'R2'!J404,'R3'!J404)</f>
        <v>1.1749999999999998</v>
      </c>
      <c r="D404">
        <f>AVERAGE('R1'!K404,'R2'!K404,'R3'!K404)</f>
        <v>20.8232395</v>
      </c>
      <c r="E404">
        <f>AVERAGE('R1'!L404,'R2'!L404,'R3'!L404)</f>
        <v>8.2358849846540058E-2</v>
      </c>
      <c r="F404">
        <f>AVERAGE('R1'!M404,'R2'!M404,'R3'!M404)</f>
        <v>1.6987380569849224</v>
      </c>
      <c r="G404">
        <f>AVERAGE('R1'!N404,'R2'!N404,'R3'!N404)</f>
        <v>-0.39190179100162936</v>
      </c>
      <c r="H404">
        <f>AVERAGE('R1'!O404,'R2'!O404,'R3'!O404)</f>
        <v>0.14379811742596679</v>
      </c>
      <c r="I404">
        <f t="shared" si="10"/>
        <v>4077.8844020833326</v>
      </c>
      <c r="K404">
        <f>_xlfn.STDEV.S('R1'!L404,'R2'!L404,'R3'!L404)</f>
        <v>1.1990130360166828E-3</v>
      </c>
      <c r="L404">
        <f>_xlfn.STDEV.S('R1'!M404,'R2'!M404,'R3'!M404)</f>
        <v>6.9503217077009202E-3</v>
      </c>
      <c r="M404">
        <f>_xlfn.STDEV.S('R1'!N404,'R2'!N404,'R3'!N404)</f>
        <v>5.4306386500412385E-3</v>
      </c>
      <c r="N404">
        <f>_xlfn.STDEV.S('R1'!O404,'R2'!O404,'R3'!O404)</f>
        <v>5.9568787587598393E-3</v>
      </c>
    </row>
    <row r="405" spans="1:14" x14ac:dyDescent="0.25">
      <c r="A405">
        <f>-'R1'!H405</f>
        <v>-24</v>
      </c>
      <c r="B405">
        <f>DEGREES(ATAN(-SIN(RADIANS(('R1'!I405)))/(COS(RADIANS(Sheet1!A405))*COS(RADIANS('R1'!I405)))))</f>
        <v>-4.3771372039965373</v>
      </c>
      <c r="C405">
        <f>AVERAGE('R1'!J405,'R2'!J405,'R3'!J405)</f>
        <v>1.1766666666666665</v>
      </c>
      <c r="D405">
        <f>AVERAGE('R1'!K405,'R2'!K405,'R3'!K405)</f>
        <v>21.120443249999997</v>
      </c>
      <c r="E405">
        <f>AVERAGE('R1'!L405,'R2'!L405,'R3'!L405)</f>
        <v>-0.20247451656740259</v>
      </c>
      <c r="F405">
        <f>AVERAGE('R1'!M405,'R2'!M405,'R3'!M405)</f>
        <v>1.6507869321529558</v>
      </c>
      <c r="G405">
        <f>AVERAGE('R1'!N405,'R2'!N405,'R3'!N405)</f>
        <v>-0.39162205153293667</v>
      </c>
      <c r="H405">
        <f>AVERAGE('R1'!O405,'R2'!O405,'R3'!O405)</f>
        <v>0.10457064853198489</v>
      </c>
      <c r="I405">
        <f t="shared" si="10"/>
        <v>4141.953592916665</v>
      </c>
      <c r="K405">
        <f>_xlfn.STDEV.S('R1'!L405,'R2'!L405,'R3'!L405)</f>
        <v>1.5229506352517881E-3</v>
      </c>
      <c r="L405">
        <f>_xlfn.STDEV.S('R1'!M405,'R2'!M405,'R3'!M405)</f>
        <v>7.1294236066195109E-3</v>
      </c>
      <c r="M405">
        <f>_xlfn.STDEV.S('R1'!N405,'R2'!N405,'R3'!N405)</f>
        <v>4.4969348932652788E-3</v>
      </c>
      <c r="N405">
        <f>_xlfn.STDEV.S('R1'!O405,'R2'!O405,'R3'!O405)</f>
        <v>3.9406065401602474E-3</v>
      </c>
    </row>
    <row r="406" spans="1:14" x14ac:dyDescent="0.25">
      <c r="A406">
        <f>-'R1'!H406</f>
        <v>-24</v>
      </c>
      <c r="B406">
        <f>DEGREES(ATAN(-SIN(RADIANS(('R1'!I406)))/(COS(RADIANS(Sheet1!A406))*COS(RADIANS('R1'!I406)))))</f>
        <v>-8.7458791850141893</v>
      </c>
      <c r="C406">
        <f>AVERAGE('R1'!J406,'R2'!J406,'R3'!J406)</f>
        <v>1.1749999999999998</v>
      </c>
      <c r="D406">
        <f>AVERAGE('R1'!K406,'R2'!K406,'R3'!K406)</f>
        <v>20.947180750000001</v>
      </c>
      <c r="E406">
        <f>AVERAGE('R1'!L406,'R2'!L406,'R3'!L406)</f>
        <v>-0.4695834105041316</v>
      </c>
      <c r="F406">
        <f>AVERAGE('R1'!M406,'R2'!M406,'R3'!M406)</f>
        <v>1.563759872343961</v>
      </c>
      <c r="G406">
        <f>AVERAGE('R1'!N406,'R2'!N406,'R3'!N406)</f>
        <v>-0.39768441997233445</v>
      </c>
      <c r="H406">
        <f>AVERAGE('R1'!O406,'R2'!O406,'R3'!O406)</f>
        <v>1.6221887764175446E-2</v>
      </c>
      <c r="I406">
        <f t="shared" si="10"/>
        <v>4102.156230208333</v>
      </c>
      <c r="K406">
        <f>_xlfn.STDEV.S('R1'!L406,'R2'!L406,'R3'!L406)</f>
        <v>2.6466015458019468E-3</v>
      </c>
      <c r="L406">
        <f>_xlfn.STDEV.S('R1'!M406,'R2'!M406,'R3'!M406)</f>
        <v>4.9446530139273569E-3</v>
      </c>
      <c r="M406">
        <f>_xlfn.STDEV.S('R1'!N406,'R2'!N406,'R3'!N406)</f>
        <v>5.5012719843814031E-3</v>
      </c>
      <c r="N406">
        <f>_xlfn.STDEV.S('R1'!O406,'R2'!O406,'R3'!O406)</f>
        <v>3.8190429807354515E-3</v>
      </c>
    </row>
    <row r="407" spans="1:14" x14ac:dyDescent="0.25">
      <c r="A407">
        <f>-'R1'!H407</f>
        <v>-24</v>
      </c>
      <c r="B407">
        <f>DEGREES(ATAN(-SIN(RADIANS(('R1'!I407)))/(COS(RADIANS(Sheet1!A407))*COS(RADIANS('R1'!I407)))))</f>
        <v>-13.09808863151425</v>
      </c>
      <c r="C407">
        <f>AVERAGE('R1'!J407,'R2'!J407,'R3'!J407)</f>
        <v>1.1741666666666666</v>
      </c>
      <c r="D407">
        <f>AVERAGE('R1'!K407,'R2'!K407,'R3'!K407)</f>
        <v>20.745444416666668</v>
      </c>
      <c r="E407">
        <f>AVERAGE('R1'!L407,'R2'!L407,'R3'!L407)</f>
        <v>-0.71154824423316854</v>
      </c>
      <c r="F407">
        <f>AVERAGE('R1'!M407,'R2'!M407,'R3'!M407)</f>
        <v>1.5133277344120994</v>
      </c>
      <c r="G407">
        <f>AVERAGE('R1'!N407,'R2'!N407,'R3'!N407)</f>
        <v>-0.43705011201597155</v>
      </c>
      <c r="H407">
        <f>AVERAGE('R1'!O407,'R2'!O407,'R3'!O407)</f>
        <v>-7.3572659166314433E-2</v>
      </c>
      <c r="I407">
        <f t="shared" si="10"/>
        <v>4059.7682198726852</v>
      </c>
      <c r="K407">
        <f>_xlfn.STDEV.S('R1'!L407,'R2'!L407,'R3'!L407)</f>
        <v>7.9506442615239672E-3</v>
      </c>
      <c r="L407">
        <f>_xlfn.STDEV.S('R1'!M407,'R2'!M407,'R3'!M407)</f>
        <v>4.6007259549529908E-3</v>
      </c>
      <c r="M407">
        <f>_xlfn.STDEV.S('R1'!N407,'R2'!N407,'R3'!N407)</f>
        <v>4.6107395845612197E-3</v>
      </c>
      <c r="N407">
        <f>_xlfn.STDEV.S('R1'!O407,'R2'!O407,'R3'!O407)</f>
        <v>4.2084524210624554E-3</v>
      </c>
    </row>
    <row r="408" spans="1:14" x14ac:dyDescent="0.25">
      <c r="A408">
        <f>-'R1'!H408</f>
        <v>-24</v>
      </c>
      <c r="B408">
        <f>DEGREES(ATAN(-SIN(RADIANS(('R1'!I408)))/(COS(RADIANS(Sheet1!A408))*COS(RADIANS('R1'!I408)))))</f>
        <v>-17.426129149372727</v>
      </c>
      <c r="C408">
        <f>AVERAGE('R1'!J408,'R2'!J408,'R3'!J408)</f>
        <v>1.1766666666666665</v>
      </c>
      <c r="D408">
        <f>AVERAGE('R1'!K408,'R2'!K408,'R3'!K408)</f>
        <v>20.589066750000001</v>
      </c>
      <c r="E408">
        <f>AVERAGE('R1'!L408,'R2'!L408,'R3'!L408)</f>
        <v>-0.95523447178512211</v>
      </c>
      <c r="F408">
        <f>AVERAGE('R1'!M408,'R2'!M408,'R3'!M408)</f>
        <v>1.477156890387463</v>
      </c>
      <c r="G408">
        <f>AVERAGE('R1'!N408,'R2'!N408,'R3'!N408)</f>
        <v>-0.5051770177961622</v>
      </c>
      <c r="H408">
        <f>AVERAGE('R1'!O408,'R2'!O408,'R3'!O408)</f>
        <v>-0.16793790688909613</v>
      </c>
      <c r="I408">
        <f t="shared" si="10"/>
        <v>4037.7447570833333</v>
      </c>
      <c r="K408">
        <f>_xlfn.STDEV.S('R1'!L408,'R2'!L408,'R3'!L408)</f>
        <v>4.3573328982589475E-3</v>
      </c>
      <c r="L408">
        <f>_xlfn.STDEV.S('R1'!M408,'R2'!M408,'R3'!M408)</f>
        <v>6.7654792648715078E-4</v>
      </c>
      <c r="M408">
        <f>_xlfn.STDEV.S('R1'!N408,'R2'!N408,'R3'!N408)</f>
        <v>2.6701879621169651E-4</v>
      </c>
      <c r="N408">
        <f>_xlfn.STDEV.S('R1'!O408,'R2'!O408,'R3'!O408)</f>
        <v>2.5459102402447652E-3</v>
      </c>
    </row>
    <row r="409" spans="1:14" x14ac:dyDescent="0.25">
      <c r="A409">
        <f>-'R1'!H409</f>
        <v>-24</v>
      </c>
      <c r="B409">
        <f>DEGREES(ATAN(-SIN(RADIANS(('R1'!I409)))/(COS(RADIANS(Sheet1!A409))*COS(RADIANS('R1'!I409)))))</f>
        <v>-21.723080079379415</v>
      </c>
      <c r="C409">
        <f>AVERAGE('R1'!J409,'R2'!J409,'R3'!J409)</f>
        <v>1.1766666666666665</v>
      </c>
      <c r="D409">
        <f>AVERAGE('R1'!K409,'R2'!K409,'R3'!K409)</f>
        <v>20.434407166666666</v>
      </c>
      <c r="E409">
        <f>AVERAGE('R1'!L409,'R2'!L409,'R3'!L409)</f>
        <v>-1.178207878992988</v>
      </c>
      <c r="F409">
        <f>AVERAGE('R1'!M409,'R2'!M409,'R3'!M409)</f>
        <v>1.4811716644760748</v>
      </c>
      <c r="G409">
        <f>AVERAGE('R1'!N409,'R2'!N409,'R3'!N409)</f>
        <v>-0.59911902010000551</v>
      </c>
      <c r="H409">
        <f>AVERAGE('R1'!O409,'R2'!O409,'R3'!O409)</f>
        <v>-0.28352779883459439</v>
      </c>
      <c r="I409">
        <f t="shared" si="10"/>
        <v>4007.4142943518514</v>
      </c>
      <c r="K409">
        <f>_xlfn.STDEV.S('R1'!L409,'R2'!L409,'R3'!L409)</f>
        <v>9.2375974519193031E-4</v>
      </c>
      <c r="L409">
        <f>_xlfn.STDEV.S('R1'!M409,'R2'!M409,'R3'!M409)</f>
        <v>3.5033127633432725E-3</v>
      </c>
      <c r="M409">
        <f>_xlfn.STDEV.S('R1'!N409,'R2'!N409,'R3'!N409)</f>
        <v>2.5416660054223047E-3</v>
      </c>
      <c r="N409">
        <f>_xlfn.STDEV.S('R1'!O409,'R2'!O409,'R3'!O409)</f>
        <v>2.0284632261720948E-3</v>
      </c>
    </row>
    <row r="410" spans="1:14" x14ac:dyDescent="0.25">
      <c r="A410">
        <f>-'R1'!H410</f>
        <v>-24</v>
      </c>
      <c r="B410">
        <f>DEGREES(ATAN(-SIN(RADIANS(('R1'!I410)))/(COS(RADIANS(Sheet1!A410))*COS(RADIANS('R1'!I410)))))</f>
        <v>-25.982912809070061</v>
      </c>
      <c r="C410">
        <f>AVERAGE('R1'!J410,'R2'!J410,'R3'!J410)</f>
        <v>1.1749999999999998</v>
      </c>
      <c r="D410">
        <f>AVERAGE('R1'!K410,'R2'!K410,'R3'!K410)</f>
        <v>20.32683891666667</v>
      </c>
      <c r="E410">
        <f>AVERAGE('R1'!L410,'R2'!L410,'R3'!L410)</f>
        <v>-1.3697231398436944</v>
      </c>
      <c r="F410">
        <f>AVERAGE('R1'!M410,'R2'!M410,'R3'!M410)</f>
        <v>1.5311111338828602</v>
      </c>
      <c r="G410">
        <f>AVERAGE('R1'!N410,'R2'!N410,'R3'!N410)</f>
        <v>-0.71434315606941234</v>
      </c>
      <c r="H410">
        <f>AVERAGE('R1'!O410,'R2'!O410,'R3'!O410)</f>
        <v>-0.43675333114153769</v>
      </c>
      <c r="I410">
        <f t="shared" si="10"/>
        <v>3980.6726211805553</v>
      </c>
      <c r="K410">
        <f>_xlfn.STDEV.S('R1'!L410,'R2'!L410,'R3'!L410)</f>
        <v>1.6831659325037026E-3</v>
      </c>
      <c r="L410">
        <f>_xlfn.STDEV.S('R1'!M410,'R2'!M410,'R3'!M410)</f>
        <v>4.0146523913285864E-3</v>
      </c>
      <c r="M410">
        <f>_xlfn.STDEV.S('R1'!N410,'R2'!N410,'R3'!N410)</f>
        <v>3.7745222410416582E-3</v>
      </c>
      <c r="N410">
        <f>_xlfn.STDEV.S('R1'!O410,'R2'!O410,'R3'!O410)</f>
        <v>2.3275749331400377E-3</v>
      </c>
    </row>
    <row r="411" spans="1:14" x14ac:dyDescent="0.25">
      <c r="A411">
        <f>-'R1'!H411</f>
        <v>-24</v>
      </c>
      <c r="B411">
        <f>DEGREES(ATAN(-SIN(RADIANS(('R1'!I411)))/(COS(RADIANS(Sheet1!A411))*COS(RADIANS('R1'!I411)))))</f>
        <v>-30.200622081370245</v>
      </c>
      <c r="C411">
        <f>AVERAGE('R1'!J411,'R2'!J411,'R3'!J411)</f>
        <v>1.1758333333333333</v>
      </c>
      <c r="D411">
        <f>AVERAGE('R1'!K411,'R2'!K411,'R3'!K411)</f>
        <v>20.240909250000001</v>
      </c>
      <c r="E411">
        <f>AVERAGE('R1'!L411,'R2'!L411,'R3'!L411)</f>
        <v>-1.5489744109724386</v>
      </c>
      <c r="F411">
        <f>AVERAGE('R1'!M411,'R2'!M411,'R3'!M411)</f>
        <v>1.6042084041508604</v>
      </c>
      <c r="G411">
        <f>AVERAGE('R1'!N411,'R2'!N411,'R3'!N411)</f>
        <v>-0.85061082480641304</v>
      </c>
      <c r="H411">
        <f>AVERAGE('R1'!O411,'R2'!O411,'R3'!O411)</f>
        <v>-0.60601364390826884</v>
      </c>
      <c r="I411">
        <f t="shared" si="10"/>
        <v>3966.6559655208339</v>
      </c>
      <c r="K411">
        <f>_xlfn.STDEV.S('R1'!L411,'R2'!L411,'R3'!L411)</f>
        <v>1.5174554879091649E-3</v>
      </c>
      <c r="L411">
        <f>_xlfn.STDEV.S('R1'!M411,'R2'!M411,'R3'!M411)</f>
        <v>3.912244237662137E-3</v>
      </c>
      <c r="M411">
        <f>_xlfn.STDEV.S('R1'!N411,'R2'!N411,'R3'!N411)</f>
        <v>3.9364834990930891E-3</v>
      </c>
      <c r="N411">
        <f>_xlfn.STDEV.S('R1'!O411,'R2'!O411,'R3'!O411)</f>
        <v>1.7834402325275934E-3</v>
      </c>
    </row>
    <row r="412" spans="1:14" x14ac:dyDescent="0.25">
      <c r="A412">
        <f>-'R1'!H412</f>
        <v>-24</v>
      </c>
      <c r="B412">
        <f>DEGREES(ATAN(-SIN(RADIANS(('R1'!I412)))/(COS(RADIANS(Sheet1!A412))*COS(RADIANS('R1'!I412)))))</f>
        <v>-34.372309890771753</v>
      </c>
      <c r="C412">
        <f>AVERAGE('R1'!J412,'R2'!J412,'R3'!J412)</f>
        <v>1.1708333333333334</v>
      </c>
      <c r="D412">
        <f>AVERAGE('R1'!K412,'R2'!K412,'R3'!K412)</f>
        <v>20.145438333333335</v>
      </c>
      <c r="E412">
        <f>AVERAGE('R1'!L412,'R2'!L412,'R3'!L412)</f>
        <v>-1.7309241776687661</v>
      </c>
      <c r="F412">
        <f>AVERAGE('R1'!M412,'R2'!M412,'R3'!M412)</f>
        <v>1.6961533442191765</v>
      </c>
      <c r="G412">
        <f>AVERAGE('R1'!N412,'R2'!N412,'R3'!N412)</f>
        <v>-1.0118623333304637</v>
      </c>
      <c r="H412">
        <f>AVERAGE('R1'!O412,'R2'!O412,'R3'!O412)</f>
        <v>-0.78652270026179016</v>
      </c>
      <c r="I412">
        <f t="shared" si="10"/>
        <v>3931.1584525462968</v>
      </c>
      <c r="K412">
        <f>_xlfn.STDEV.S('R1'!L412,'R2'!L412,'R3'!L412)</f>
        <v>2.3627719750690676E-3</v>
      </c>
      <c r="L412">
        <f>_xlfn.STDEV.S('R1'!M412,'R2'!M412,'R3'!M412)</f>
        <v>2.0638419835207022E-3</v>
      </c>
      <c r="M412">
        <f>_xlfn.STDEV.S('R1'!N412,'R2'!N412,'R3'!N412)</f>
        <v>5.2450056917081652E-3</v>
      </c>
      <c r="N412">
        <f>_xlfn.STDEV.S('R1'!O412,'R2'!O412,'R3'!O412)</f>
        <v>4.0482162216215896E-4</v>
      </c>
    </row>
    <row r="413" spans="1:14" x14ac:dyDescent="0.25">
      <c r="A413">
        <f>-'R1'!H413</f>
        <v>-24</v>
      </c>
      <c r="B413">
        <f>DEGREES(ATAN(-SIN(RADIANS(('R1'!I413)))/(COS(RADIANS(Sheet1!A413))*COS(RADIANS('R1'!I413)))))</f>
        <v>-38.495223358359183</v>
      </c>
      <c r="C413">
        <f>AVERAGE('R1'!J413,'R2'!J413,'R3'!J413)</f>
        <v>1.1733333333333331</v>
      </c>
      <c r="D413">
        <f>AVERAGE('R1'!K413,'R2'!K413,'R3'!K413)</f>
        <v>20.22551258333333</v>
      </c>
      <c r="E413">
        <f>AVERAGE('R1'!L413,'R2'!L413,'R3'!L413)</f>
        <v>-1.9342390002272019</v>
      </c>
      <c r="F413">
        <f>AVERAGE('R1'!M413,'R2'!M413,'R3'!M413)</f>
        <v>1.8229723138577942</v>
      </c>
      <c r="G413">
        <f>AVERAGE('R1'!N413,'R2'!N413,'R3'!N413)</f>
        <v>-1.22182902527628</v>
      </c>
      <c r="H413">
        <f>AVERAGE('R1'!O413,'R2'!O413,'R3'!O413)</f>
        <v>-0.99098684785060553</v>
      </c>
      <c r="I413">
        <f t="shared" si="10"/>
        <v>3955.2113496296279</v>
      </c>
      <c r="K413">
        <f>_xlfn.STDEV.S('R1'!L413,'R2'!L413,'R3'!L413)</f>
        <v>7.8345252805302953E-3</v>
      </c>
      <c r="L413">
        <f>_xlfn.STDEV.S('R1'!M413,'R2'!M413,'R3'!M413)</f>
        <v>5.0830007703267059E-3</v>
      </c>
      <c r="M413">
        <f>_xlfn.STDEV.S('R1'!N413,'R2'!N413,'R3'!N413)</f>
        <v>9.4082207185802111E-3</v>
      </c>
      <c r="N413">
        <f>_xlfn.STDEV.S('R1'!O413,'R2'!O413,'R3'!O413)</f>
        <v>3.4239263599478869E-3</v>
      </c>
    </row>
    <row r="414" spans="1:14" x14ac:dyDescent="0.25">
      <c r="A414">
        <f>-'R1'!H414</f>
        <v>-24</v>
      </c>
      <c r="B414">
        <f>DEGREES(ATAN(-SIN(RADIANS(('R1'!I414)))/(COS(RADIANS(Sheet1!A414))*COS(RADIANS('R1'!I414)))))</f>
        <v>-42.567751063132313</v>
      </c>
      <c r="C414">
        <f>AVERAGE('R1'!J414,'R2'!J414,'R3'!J414)</f>
        <v>1.1733333333333331</v>
      </c>
      <c r="D414">
        <f>AVERAGE('R1'!K414,'R2'!K414,'R3'!K414)</f>
        <v>20.621893750000002</v>
      </c>
      <c r="E414">
        <f>AVERAGE('R1'!L414,'R2'!L414,'R3'!L414)</f>
        <v>-2.1729169482544277</v>
      </c>
      <c r="F414">
        <f>AVERAGE('R1'!M414,'R2'!M414,'R3'!M414)</f>
        <v>1.984588110191613</v>
      </c>
      <c r="G414">
        <f>AVERAGE('R1'!N414,'R2'!N414,'R3'!N414)</f>
        <v>-1.4917867578495896</v>
      </c>
      <c r="H414">
        <f>AVERAGE('R1'!O414,'R2'!O414,'R3'!O414)</f>
        <v>-1.2158702735038345</v>
      </c>
      <c r="I414">
        <f t="shared" si="10"/>
        <v>4032.7258888888882</v>
      </c>
      <c r="K414">
        <f>_xlfn.STDEV.S('R1'!L414,'R2'!L414,'R3'!L414)</f>
        <v>1.8393354003796266E-2</v>
      </c>
      <c r="L414">
        <f>_xlfn.STDEV.S('R1'!M414,'R2'!M414,'R3'!M414)</f>
        <v>1.2067613973375016E-2</v>
      </c>
      <c r="M414">
        <f>_xlfn.STDEV.S('R1'!N414,'R2'!N414,'R3'!N414)</f>
        <v>1.7287684107341345E-2</v>
      </c>
      <c r="N414">
        <f>_xlfn.STDEV.S('R1'!O414,'R2'!O414,'R3'!O414)</f>
        <v>5.9793249886822726E-3</v>
      </c>
    </row>
    <row r="415" spans="1:14" x14ac:dyDescent="0.25">
      <c r="A415">
        <f>-'R1'!H415</f>
        <v>-24</v>
      </c>
      <c r="B415">
        <f>DEGREES(ATAN(-SIN(RADIANS(('R1'!I415)))/(COS(RADIANS(Sheet1!A415))*COS(RADIANS('R1'!I415)))))</f>
        <v>-46.589384435425394</v>
      </c>
      <c r="C415">
        <f>AVERAGE('R1'!J415,'R2'!J415,'R3'!J415)</f>
        <v>1.17425</v>
      </c>
      <c r="D415">
        <f>AVERAGE('R1'!K415,'R2'!K415,'R3'!K415)</f>
        <v>20.899257833333333</v>
      </c>
      <c r="E415">
        <f>AVERAGE('R1'!L415,'R2'!L415,'R3'!L415)</f>
        <v>-2.4867913510269042</v>
      </c>
      <c r="F415">
        <f>AVERAGE('R1'!M415,'R2'!M415,'R3'!M415)</f>
        <v>2.2136294778354704</v>
      </c>
      <c r="G415">
        <f>AVERAGE('R1'!N415,'R2'!N415,'R3'!N415)</f>
        <v>-1.8721607480431646</v>
      </c>
      <c r="H415">
        <f>AVERAGE('R1'!O415,'R2'!O415,'R3'!O415)</f>
        <v>-1.4993621965189341</v>
      </c>
      <c r="I415">
        <f t="shared" si="10"/>
        <v>4090.158918465278</v>
      </c>
      <c r="K415">
        <f>_xlfn.STDEV.S('R1'!L415,'R2'!L415,'R3'!L415)</f>
        <v>1.9363508671750823E-2</v>
      </c>
      <c r="L415">
        <f>_xlfn.STDEV.S('R1'!M415,'R2'!M415,'R3'!M415)</f>
        <v>8.5013174223467214E-3</v>
      </c>
      <c r="M415">
        <f>_xlfn.STDEV.S('R1'!N415,'R2'!N415,'R3'!N415)</f>
        <v>1.9441339517752586E-2</v>
      </c>
      <c r="N415">
        <f>_xlfn.STDEV.S('R1'!O415,'R2'!O415,'R3'!O415)</f>
        <v>5.1858502970106414E-3</v>
      </c>
    </row>
    <row r="416" spans="1:14" x14ac:dyDescent="0.25">
      <c r="A416">
        <f>-'R1'!H416</f>
        <v>-28</v>
      </c>
      <c r="B416">
        <f>DEGREES(ATAN(-SIN(RADIANS(('R1'!I416)))/(COS(RADIANS(Sheet1!A416))*COS(RADIANS('R1'!I416)))))</f>
        <v>47.562731505879128</v>
      </c>
      <c r="C416">
        <f>AVERAGE('R1'!J416,'R2'!J416,'R3'!J416)</f>
        <v>1.1741666666666666</v>
      </c>
      <c r="D416">
        <f>AVERAGE('R1'!K416,'R2'!K416,'R3'!K416)</f>
        <v>21.206658083333334</v>
      </c>
      <c r="E416">
        <f>AVERAGE('R1'!L416,'R2'!L416,'R3'!L416)</f>
        <v>2.2127216948098072</v>
      </c>
      <c r="F416">
        <f>AVERAGE('R1'!M416,'R2'!M416,'R3'!M416)</f>
        <v>1.9699325298609729</v>
      </c>
      <c r="G416">
        <f>AVERAGE('R1'!N416,'R2'!N416,'R3'!N416)</f>
        <v>-1.5506845162046492</v>
      </c>
      <c r="H416">
        <f>AVERAGE('R1'!O416,'R2'!O416,'R3'!O416)</f>
        <v>-1.4082069666110772</v>
      </c>
      <c r="I416">
        <f t="shared" si="10"/>
        <v>4150.0251721412042</v>
      </c>
      <c r="K416">
        <f>_xlfn.STDEV.S('R1'!L416,'R2'!L416,'R3'!L416)</f>
        <v>4.219939286867151E-4</v>
      </c>
      <c r="L416">
        <f>_xlfn.STDEV.S('R1'!M416,'R2'!M416,'R3'!M416)</f>
        <v>5.7172618990799515E-3</v>
      </c>
      <c r="M416">
        <f>_xlfn.STDEV.S('R1'!N416,'R2'!N416,'R3'!N416)</f>
        <v>5.1471489023292606E-3</v>
      </c>
      <c r="N416">
        <f>_xlfn.STDEV.S('R1'!O416,'R2'!O416,'R3'!O416)</f>
        <v>5.1806172796049245E-3</v>
      </c>
    </row>
    <row r="417" spans="1:14" x14ac:dyDescent="0.25">
      <c r="A417">
        <f>-'R1'!H417</f>
        <v>-28</v>
      </c>
      <c r="B417">
        <f>DEGREES(ATAN(-SIN(RADIANS(('R1'!I417)))/(COS(RADIANS(Sheet1!A417))*COS(RADIANS('R1'!I417)))))</f>
        <v>43.541410263843531</v>
      </c>
      <c r="C417">
        <f>AVERAGE('R1'!J417,'R2'!J417,'R3'!J417)</f>
        <v>1.1733333333333331</v>
      </c>
      <c r="D417">
        <f>AVERAGE('R1'!K417,'R2'!K417,'R3'!K417)</f>
        <v>21.377668416666666</v>
      </c>
      <c r="E417">
        <f>AVERAGE('R1'!L417,'R2'!L417,'R3'!L417)</f>
        <v>2.0054406536754379</v>
      </c>
      <c r="F417">
        <f>AVERAGE('R1'!M417,'R2'!M417,'R3'!M417)</f>
        <v>1.8503863067435546</v>
      </c>
      <c r="G417">
        <f>AVERAGE('R1'!N417,'R2'!N417,'R3'!N417)</f>
        <v>-1.3034985096885927</v>
      </c>
      <c r="H417">
        <f>AVERAGE('R1'!O417,'R2'!O417,'R3'!O417)</f>
        <v>-1.2058608802472817</v>
      </c>
      <c r="I417">
        <f t="shared" si="10"/>
        <v>4180.5218237037025</v>
      </c>
      <c r="K417">
        <f>_xlfn.STDEV.S('R1'!L417,'R2'!L417,'R3'!L417)</f>
        <v>2.5835903457004507E-3</v>
      </c>
      <c r="L417">
        <f>_xlfn.STDEV.S('R1'!M417,'R2'!M417,'R3'!M417)</f>
        <v>3.8327551891471959E-3</v>
      </c>
      <c r="M417">
        <f>_xlfn.STDEV.S('R1'!N417,'R2'!N417,'R3'!N417)</f>
        <v>3.0133896960227685E-3</v>
      </c>
      <c r="N417">
        <f>_xlfn.STDEV.S('R1'!O417,'R2'!O417,'R3'!O417)</f>
        <v>3.7818176980609461E-3</v>
      </c>
    </row>
    <row r="418" spans="1:14" x14ac:dyDescent="0.25">
      <c r="A418">
        <f>-'R1'!H418</f>
        <v>-28</v>
      </c>
      <c r="B418">
        <f>DEGREES(ATAN(-SIN(RADIANS(('R1'!I418)))/(COS(RADIANS(Sheet1!A418))*COS(RADIANS('R1'!I418)))))</f>
        <v>39.449608335498439</v>
      </c>
      <c r="C418">
        <f>AVERAGE('R1'!J418,'R2'!J418,'R3'!J418)</f>
        <v>1.1741666666666666</v>
      </c>
      <c r="D418">
        <f>AVERAGE('R1'!K418,'R2'!K418,'R3'!K418)</f>
        <v>21.060786916666668</v>
      </c>
      <c r="E418">
        <f>AVERAGE('R1'!L418,'R2'!L418,'R3'!L418)</f>
        <v>1.8418554578750006</v>
      </c>
      <c r="F418">
        <f>AVERAGE('R1'!M418,'R2'!M418,'R3'!M418)</f>
        <v>1.7562900059343096</v>
      </c>
      <c r="G418">
        <f>AVERAGE('R1'!N418,'R2'!N418,'R3'!N418)</f>
        <v>-1.1187346384787846</v>
      </c>
      <c r="H418">
        <f>AVERAGE('R1'!O418,'R2'!O418,'R3'!O418)</f>
        <v>-1.0420628189507386</v>
      </c>
      <c r="I418">
        <f t="shared" si="10"/>
        <v>4121.4789952199071</v>
      </c>
      <c r="K418">
        <f>_xlfn.STDEV.S('R1'!L418,'R2'!L418,'R3'!L418)</f>
        <v>2.0382436303377971E-3</v>
      </c>
      <c r="L418">
        <f>_xlfn.STDEV.S('R1'!M418,'R2'!M418,'R3'!M418)</f>
        <v>5.0393020720094477E-3</v>
      </c>
      <c r="M418">
        <f>_xlfn.STDEV.S('R1'!N418,'R2'!N418,'R3'!N418)</f>
        <v>5.9978104131242259E-3</v>
      </c>
      <c r="N418">
        <f>_xlfn.STDEV.S('R1'!O418,'R2'!O418,'R3'!O418)</f>
        <v>7.8273738353160614E-3</v>
      </c>
    </row>
    <row r="419" spans="1:14" x14ac:dyDescent="0.25">
      <c r="A419">
        <f>-'R1'!H419</f>
        <v>-28</v>
      </c>
      <c r="B419">
        <f>DEGREES(ATAN(-SIN(RADIANS(('R1'!I419)))/(COS(RADIANS(Sheet1!A419))*COS(RADIANS('R1'!I419)))))</f>
        <v>35.287360012327973</v>
      </c>
      <c r="C419">
        <f>AVERAGE('R1'!J419,'R2'!J419,'R3'!J419)</f>
        <v>1.1749999999999998</v>
      </c>
      <c r="D419">
        <f>AVERAGE('R1'!K419,'R2'!K419,'R3'!K419)</f>
        <v>20.866380500000002</v>
      </c>
      <c r="E419">
        <f>AVERAGE('R1'!L419,'R2'!L419,'R3'!L419)</f>
        <v>1.6971661927361341</v>
      </c>
      <c r="F419">
        <f>AVERAGE('R1'!M419,'R2'!M419,'R3'!M419)</f>
        <v>1.6831932282694717</v>
      </c>
      <c r="G419">
        <f>AVERAGE('R1'!N419,'R2'!N419,'R3'!N419)</f>
        <v>-0.97434658836532029</v>
      </c>
      <c r="H419">
        <f>AVERAGE('R1'!O419,'R2'!O419,'R3'!O419)</f>
        <v>-0.89430669851330491</v>
      </c>
      <c r="I419">
        <f t="shared" si="10"/>
        <v>4086.3328479166671</v>
      </c>
      <c r="K419">
        <f>_xlfn.STDEV.S('R1'!L419,'R2'!L419,'R3'!L419)</f>
        <v>3.0706162500473925E-3</v>
      </c>
      <c r="L419">
        <f>_xlfn.STDEV.S('R1'!M419,'R2'!M419,'R3'!M419)</f>
        <v>4.8870913454650226E-3</v>
      </c>
      <c r="M419">
        <f>_xlfn.STDEV.S('R1'!N419,'R2'!N419,'R3'!N419)</f>
        <v>5.3890668045870147E-3</v>
      </c>
      <c r="N419">
        <f>_xlfn.STDEV.S('R1'!O419,'R2'!O419,'R3'!O419)</f>
        <v>9.8676149012593816E-3</v>
      </c>
    </row>
    <row r="420" spans="1:14" x14ac:dyDescent="0.25">
      <c r="A420">
        <f>-'R1'!H420</f>
        <v>-28</v>
      </c>
      <c r="B420">
        <f>DEGREES(ATAN(-SIN(RADIANS(('R1'!I420)))/(COS(RADIANS(Sheet1!A420))*COS(RADIANS('R1'!I420)))))</f>
        <v>31.056274317680661</v>
      </c>
      <c r="C420">
        <f>AVERAGE('R1'!J420,'R2'!J420,'R3'!J420)</f>
        <v>1.1733333333333331</v>
      </c>
      <c r="D420">
        <f>AVERAGE('R1'!K420,'R2'!K420,'R3'!K420)</f>
        <v>20.684545666666668</v>
      </c>
      <c r="E420">
        <f>AVERAGE('R1'!L420,'R2'!L420,'R3'!L420)</f>
        <v>1.5607525634643398</v>
      </c>
      <c r="F420">
        <f>AVERAGE('R1'!M420,'R2'!M420,'R3'!M420)</f>
        <v>1.6442607315551123</v>
      </c>
      <c r="G420">
        <f>AVERAGE('R1'!N420,'R2'!N420,'R3'!N420)</f>
        <v>-0.867557481740587</v>
      </c>
      <c r="H420">
        <f>AVERAGE('R1'!O420,'R2'!O420,'R3'!O420)</f>
        <v>-0.74835378806656971</v>
      </c>
      <c r="I420">
        <f t="shared" si="10"/>
        <v>4044.9778192592589</v>
      </c>
      <c r="K420">
        <f>_xlfn.STDEV.S('R1'!L420,'R2'!L420,'R3'!L420)</f>
        <v>1.1398795271096598E-3</v>
      </c>
      <c r="L420">
        <f>_xlfn.STDEV.S('R1'!M420,'R2'!M420,'R3'!M420)</f>
        <v>3.7912796984914932E-3</v>
      </c>
      <c r="M420">
        <f>_xlfn.STDEV.S('R1'!N420,'R2'!N420,'R3'!N420)</f>
        <v>1.9252896582033681E-3</v>
      </c>
      <c r="N420">
        <f>_xlfn.STDEV.S('R1'!O420,'R2'!O420,'R3'!O420)</f>
        <v>1.2365193759825994E-2</v>
      </c>
    </row>
    <row r="421" spans="1:14" x14ac:dyDescent="0.25">
      <c r="A421">
        <f>-'R1'!H421</f>
        <v>-28</v>
      </c>
      <c r="B421">
        <f>DEGREES(ATAN(-SIN(RADIANS(('R1'!I421)))/(COS(RADIANS(Sheet1!A421))*COS(RADIANS('R1'!I421)))))</f>
        <v>26.759647654377044</v>
      </c>
      <c r="C421">
        <f>AVERAGE('R1'!J421,'R2'!J421,'R3'!J421)</f>
        <v>1.1733333333333331</v>
      </c>
      <c r="D421">
        <f>AVERAGE('R1'!K421,'R2'!K421,'R3'!K421)</f>
        <v>20.503561000000001</v>
      </c>
      <c r="E421">
        <f>AVERAGE('R1'!L421,'R2'!L421,'R3'!L421)</f>
        <v>1.424391518766863</v>
      </c>
      <c r="F421">
        <f>AVERAGE('R1'!M421,'R2'!M421,'R3'!M421)</f>
        <v>1.6422236808402524</v>
      </c>
      <c r="G421">
        <f>AVERAGE('R1'!N421,'R2'!N421,'R3'!N421)</f>
        <v>-0.79464057467938076</v>
      </c>
      <c r="H421">
        <f>AVERAGE('R1'!O421,'R2'!O421,'R3'!O421)</f>
        <v>-0.60433729550007131</v>
      </c>
      <c r="I421">
        <f t="shared" si="10"/>
        <v>4009.5852622222214</v>
      </c>
      <c r="K421">
        <f>_xlfn.STDEV.S('R1'!L421,'R2'!L421,'R3'!L421)</f>
        <v>2.4382569615222891E-3</v>
      </c>
      <c r="L421">
        <f>_xlfn.STDEV.S('R1'!M421,'R2'!M421,'R3'!M421)</f>
        <v>3.1638433187896929E-3</v>
      </c>
      <c r="M421">
        <f>_xlfn.STDEV.S('R1'!N421,'R2'!N421,'R3'!N421)</f>
        <v>2.998405630050909E-3</v>
      </c>
      <c r="N421">
        <f>_xlfn.STDEV.S('R1'!O421,'R2'!O421,'R3'!O421)</f>
        <v>1.266378725783146E-2</v>
      </c>
    </row>
    <row r="422" spans="1:14" x14ac:dyDescent="0.25">
      <c r="A422">
        <f>-'R1'!H422</f>
        <v>-28</v>
      </c>
      <c r="B422">
        <f>DEGREES(ATAN(-SIN(RADIANS(('R1'!I422)))/(COS(RADIANS(Sheet1!A422))*COS(RADIANS('R1'!I422)))))</f>
        <v>22.402523646885253</v>
      </c>
      <c r="C422">
        <f>AVERAGE('R1'!J422,'R2'!J422,'R3'!J422)</f>
        <v>1.1733333333333331</v>
      </c>
      <c r="D422">
        <f>AVERAGE('R1'!K422,'R2'!K422,'R3'!K422)</f>
        <v>20.399151916666668</v>
      </c>
      <c r="E422">
        <f>AVERAGE('R1'!L422,'R2'!L422,'R3'!L422)</f>
        <v>1.2483973909065549</v>
      </c>
      <c r="F422">
        <f>AVERAGE('R1'!M422,'R2'!M422,'R3'!M422)</f>
        <v>1.6545144144848096</v>
      </c>
      <c r="G422">
        <f>AVERAGE('R1'!N422,'R2'!N422,'R3'!N422)</f>
        <v>-0.7206873256221521</v>
      </c>
      <c r="H422">
        <f>AVERAGE('R1'!O422,'R2'!O422,'R3'!O422)</f>
        <v>-0.47034910125375679</v>
      </c>
      <c r="I422">
        <f t="shared" si="10"/>
        <v>3989.1674859259256</v>
      </c>
      <c r="K422">
        <f>_xlfn.STDEV.S('R1'!L422,'R2'!L422,'R3'!L422)</f>
        <v>7.8265021471837139E-3</v>
      </c>
      <c r="L422">
        <f>_xlfn.STDEV.S('R1'!M422,'R2'!M422,'R3'!M422)</f>
        <v>7.7974889754671289E-3</v>
      </c>
      <c r="M422">
        <f>_xlfn.STDEV.S('R1'!N422,'R2'!N422,'R3'!N422)</f>
        <v>8.229907575841135E-3</v>
      </c>
      <c r="N422">
        <f>_xlfn.STDEV.S('R1'!O422,'R2'!O422,'R3'!O422)</f>
        <v>1.8179697317604691E-2</v>
      </c>
    </row>
    <row r="423" spans="1:14" x14ac:dyDescent="0.25">
      <c r="A423">
        <f>-'R1'!H423</f>
        <v>-28</v>
      </c>
      <c r="B423">
        <f>DEGREES(ATAN(-SIN(RADIANS(('R1'!I423)))/(COS(RADIANS(Sheet1!A423))*COS(RADIANS('R1'!I423)))))</f>
        <v>17.991683837765329</v>
      </c>
      <c r="C423">
        <f>AVERAGE('R1'!J423,'R2'!J423,'R3'!J423)</f>
        <v>1.1733333333333331</v>
      </c>
      <c r="D423">
        <f>AVERAGE('R1'!K423,'R2'!K423,'R3'!K423)</f>
        <v>20.249492</v>
      </c>
      <c r="E423">
        <f>AVERAGE('R1'!L423,'R2'!L423,'R3'!L423)</f>
        <v>1.0516798037018287</v>
      </c>
      <c r="F423">
        <f>AVERAGE('R1'!M423,'R2'!M423,'R3'!M423)</f>
        <v>1.6791009738598455</v>
      </c>
      <c r="G423">
        <f>AVERAGE('R1'!N423,'R2'!N423,'R3'!N423)</f>
        <v>-0.65442599945179969</v>
      </c>
      <c r="H423">
        <f>AVERAGE('R1'!O423,'R2'!O423,'R3'!O423)</f>
        <v>-0.36028808903637222</v>
      </c>
      <c r="I423">
        <f t="shared" si="10"/>
        <v>3959.9006577777773</v>
      </c>
      <c r="K423">
        <f>_xlfn.STDEV.S('R1'!L423,'R2'!L423,'R3'!L423)</f>
        <v>4.7451301164461125E-3</v>
      </c>
      <c r="L423">
        <f>_xlfn.STDEV.S('R1'!M423,'R2'!M423,'R3'!M423)</f>
        <v>8.1830153927099462E-3</v>
      </c>
      <c r="M423">
        <f>_xlfn.STDEV.S('R1'!N423,'R2'!N423,'R3'!N423)</f>
        <v>6.7809635495213036E-3</v>
      </c>
      <c r="N423">
        <f>_xlfn.STDEV.S('R1'!O423,'R2'!O423,'R3'!O423)</f>
        <v>1.1639077123545808E-2</v>
      </c>
    </row>
    <row r="424" spans="1:14" x14ac:dyDescent="0.25">
      <c r="A424">
        <f>-'R1'!H424</f>
        <v>-28</v>
      </c>
      <c r="B424">
        <f>DEGREES(ATAN(-SIN(RADIANS(('R1'!I424)))/(COS(RADIANS(Sheet1!A424))*COS(RADIANS('R1'!I424)))))</f>
        <v>13.535556072482301</v>
      </c>
      <c r="C424">
        <f>AVERAGE('R1'!J424,'R2'!J424,'R3'!J424)</f>
        <v>1.1733333333333331</v>
      </c>
      <c r="D424">
        <f>AVERAGE('R1'!K424,'R2'!K424,'R3'!K424)</f>
        <v>20.149939499999999</v>
      </c>
      <c r="E424">
        <f>AVERAGE('R1'!L424,'R2'!L424,'R3'!L424)</f>
        <v>0.8390893076693744</v>
      </c>
      <c r="F424">
        <f>AVERAGE('R1'!M424,'R2'!M424,'R3'!M424)</f>
        <v>1.7159410751646871</v>
      </c>
      <c r="G424">
        <f>AVERAGE('R1'!N424,'R2'!N424,'R3'!N424)</f>
        <v>-0.59698532000073057</v>
      </c>
      <c r="H424">
        <f>AVERAGE('R1'!O424,'R2'!O424,'R3'!O424)</f>
        <v>-0.26963935930402733</v>
      </c>
      <c r="I424">
        <f t="shared" si="10"/>
        <v>3940.432613333332</v>
      </c>
      <c r="K424">
        <f>_xlfn.STDEV.S('R1'!L424,'R2'!L424,'R3'!L424)</f>
        <v>9.7380664684213122E-3</v>
      </c>
      <c r="L424">
        <f>_xlfn.STDEV.S('R1'!M424,'R2'!M424,'R3'!M424)</f>
        <v>6.8583709725406079E-3</v>
      </c>
      <c r="M424">
        <f>_xlfn.STDEV.S('R1'!N424,'R2'!N424,'R3'!N424)</f>
        <v>7.3487037283403592E-3</v>
      </c>
      <c r="N424">
        <f>_xlfn.STDEV.S('R1'!O424,'R2'!O424,'R3'!O424)</f>
        <v>1.1356968570680897E-2</v>
      </c>
    </row>
    <row r="425" spans="1:14" x14ac:dyDescent="0.25">
      <c r="A425">
        <f>-'R1'!H425</f>
        <v>-28</v>
      </c>
      <c r="B425">
        <f>DEGREES(ATAN(-SIN(RADIANS(('R1'!I425)))/(COS(RADIANS(Sheet1!A425))*COS(RADIANS('R1'!I425)))))</f>
        <v>9.0440332369115684</v>
      </c>
      <c r="C425">
        <f>AVERAGE('R1'!J425,'R2'!J425,'R3'!J425)</f>
        <v>1.1733333333333331</v>
      </c>
      <c r="D425">
        <f>AVERAGE('R1'!K425,'R2'!K425,'R3'!K425)</f>
        <v>20.055577333333332</v>
      </c>
      <c r="E425">
        <f>AVERAGE('R1'!L425,'R2'!L425,'R3'!L425)</f>
        <v>0.62382141412981196</v>
      </c>
      <c r="F425">
        <f>AVERAGE('R1'!M425,'R2'!M425,'R3'!M425)</f>
        <v>1.7603386808023893</v>
      </c>
      <c r="G425">
        <f>AVERAGE('R1'!N425,'R2'!N425,'R3'!N425)</f>
        <v>-0.55727733338470842</v>
      </c>
      <c r="H425">
        <f>AVERAGE('R1'!O425,'R2'!O425,'R3'!O425)</f>
        <v>-0.18928749271024833</v>
      </c>
      <c r="I425">
        <f t="shared" si="10"/>
        <v>3921.9795674074071</v>
      </c>
      <c r="K425">
        <f>_xlfn.STDEV.S('R1'!L425,'R2'!L425,'R3'!L425)</f>
        <v>5.0243705576645788E-3</v>
      </c>
      <c r="L425">
        <f>_xlfn.STDEV.S('R1'!M425,'R2'!M425,'R3'!M425)</f>
        <v>4.6110197817123867E-3</v>
      </c>
      <c r="M425">
        <f>_xlfn.STDEV.S('R1'!N425,'R2'!N425,'R3'!N425)</f>
        <v>3.189657555298187E-3</v>
      </c>
      <c r="N425">
        <f>_xlfn.STDEV.S('R1'!O425,'R2'!O425,'R3'!O425)</f>
        <v>4.8217987732376401E-3</v>
      </c>
    </row>
    <row r="426" spans="1:14" x14ac:dyDescent="0.25">
      <c r="A426">
        <f>-'R1'!H426</f>
        <v>-28</v>
      </c>
      <c r="B426">
        <f>DEGREES(ATAN(-SIN(RADIANS(('R1'!I426)))/(COS(RADIANS(Sheet1!A426))*COS(RADIANS('R1'!I426)))))</f>
        <v>4.5282031595057557</v>
      </c>
      <c r="C426">
        <f>AVERAGE('R1'!J426,'R2'!J426,'R3'!J426)</f>
        <v>1.1733333333333331</v>
      </c>
      <c r="D426">
        <f>AVERAGE('R1'!K426,'R2'!K426,'R3'!K426)</f>
        <v>20.332546000000001</v>
      </c>
      <c r="E426">
        <f>AVERAGE('R1'!L426,'R2'!L426,'R3'!L426)</f>
        <v>0.38328541209417555</v>
      </c>
      <c r="F426">
        <f>AVERAGE('R1'!M426,'R2'!M426,'R3'!M426)</f>
        <v>1.8413592113424098</v>
      </c>
      <c r="G426">
        <f>AVERAGE('R1'!N426,'R2'!N426,'R3'!N426)</f>
        <v>-0.55488742203688235</v>
      </c>
      <c r="H426">
        <f>AVERAGE('R1'!O426,'R2'!O426,'R3'!O426)</f>
        <v>-0.11532732079410392</v>
      </c>
      <c r="I426">
        <f t="shared" si="10"/>
        <v>3976.1423288888877</v>
      </c>
      <c r="K426">
        <f>_xlfn.STDEV.S('R1'!L426,'R2'!L426,'R3'!L426)</f>
        <v>1.2627869289414418E-2</v>
      </c>
      <c r="L426">
        <f>_xlfn.STDEV.S('R1'!M426,'R2'!M426,'R3'!M426)</f>
        <v>5.4776360368185987E-3</v>
      </c>
      <c r="M426">
        <f>_xlfn.STDEV.S('R1'!N426,'R2'!N426,'R3'!N426)</f>
        <v>6.3660304676212585E-3</v>
      </c>
      <c r="N426">
        <f>_xlfn.STDEV.S('R1'!O426,'R2'!O426,'R3'!O426)</f>
        <v>1.1011572308965318E-2</v>
      </c>
    </row>
    <row r="427" spans="1:14" x14ac:dyDescent="0.25">
      <c r="A427">
        <f>-'R1'!H427</f>
        <v>-28</v>
      </c>
      <c r="B427">
        <f>DEGREES(ATAN(-SIN(RADIANS(('R1'!I427)))/(COS(RADIANS(Sheet1!A427))*COS(RADIANS('R1'!I427)))))</f>
        <v>0</v>
      </c>
      <c r="C427">
        <f>AVERAGE('R1'!J427,'R2'!J427,'R3'!J427)</f>
        <v>1.1733333333333331</v>
      </c>
      <c r="D427">
        <f>AVERAGE('R1'!K427,'R2'!K427,'R3'!K427)</f>
        <v>20.645574416666665</v>
      </c>
      <c r="E427">
        <f>AVERAGE('R1'!L427,'R2'!L427,'R3'!L427)</f>
        <v>0.10812182182010849</v>
      </c>
      <c r="F427">
        <f>AVERAGE('R1'!M427,'R2'!M427,'R3'!M427)</f>
        <v>1.9595971159936922</v>
      </c>
      <c r="G427">
        <f>AVERAGE('R1'!N427,'R2'!N427,'R3'!N427)</f>
        <v>-0.58246412967212813</v>
      </c>
      <c r="H427">
        <f>AVERAGE('R1'!O427,'R2'!O427,'R3'!O427)</f>
        <v>-4.1413996202985033E-2</v>
      </c>
      <c r="I427">
        <f t="shared" si="10"/>
        <v>4037.3567748148139</v>
      </c>
      <c r="K427">
        <f>_xlfn.STDEV.S('R1'!L427,'R2'!L427,'R3'!L427)</f>
        <v>1.0942401620993896E-2</v>
      </c>
      <c r="L427">
        <f>_xlfn.STDEV.S('R1'!M427,'R2'!M427,'R3'!M427)</f>
        <v>1.7642674930870458E-2</v>
      </c>
      <c r="M427">
        <f>_xlfn.STDEV.S('R1'!N427,'R2'!N427,'R3'!N427)</f>
        <v>1.2266156644658186E-2</v>
      </c>
      <c r="N427">
        <f>_xlfn.STDEV.S('R1'!O427,'R2'!O427,'R3'!O427)</f>
        <v>1.9439291132062969E-2</v>
      </c>
    </row>
    <row r="428" spans="1:14" x14ac:dyDescent="0.25">
      <c r="A428">
        <f>-'R1'!H428</f>
        <v>-28</v>
      </c>
      <c r="B428">
        <f>DEGREES(ATAN(-SIN(RADIANS(('R1'!I428)))/(COS(RADIANS(Sheet1!A428))*COS(RADIANS('R1'!I428)))))</f>
        <v>-4.5282031595057557</v>
      </c>
      <c r="C428">
        <f>AVERAGE('R1'!J428,'R2'!J428,'R3'!J428)</f>
        <v>1.1733333333333331</v>
      </c>
      <c r="D428">
        <f>AVERAGE('R1'!K428,'R2'!K428,'R3'!K428)</f>
        <v>20.587045249999999</v>
      </c>
      <c r="E428">
        <f>AVERAGE('R1'!L428,'R2'!L428,'R3'!L428)</f>
        <v>-0.21318140134173877</v>
      </c>
      <c r="F428">
        <f>AVERAGE('R1'!M428,'R2'!M428,'R3'!M428)</f>
        <v>1.9218930069394229</v>
      </c>
      <c r="G428">
        <f>AVERAGE('R1'!N428,'R2'!N428,'R3'!N428)</f>
        <v>-0.58346634277042186</v>
      </c>
      <c r="H428">
        <f>AVERAGE('R1'!O428,'R2'!O428,'R3'!O428)</f>
        <v>-7.6766341796614249E-2</v>
      </c>
      <c r="I428">
        <f t="shared" si="10"/>
        <v>4025.9110711111102</v>
      </c>
      <c r="K428">
        <f>_xlfn.STDEV.S('R1'!L428,'R2'!L428,'R3'!L428)</f>
        <v>1.3744939558741317E-2</v>
      </c>
      <c r="L428">
        <f>_xlfn.STDEV.S('R1'!M428,'R2'!M428,'R3'!M428)</f>
        <v>2.2539154887778551E-2</v>
      </c>
      <c r="M428">
        <f>_xlfn.STDEV.S('R1'!N428,'R2'!N428,'R3'!N428)</f>
        <v>1.6191370300472477E-2</v>
      </c>
      <c r="N428">
        <f>_xlfn.STDEV.S('R1'!O428,'R2'!O428,'R3'!O428)</f>
        <v>1.7567513415083082E-2</v>
      </c>
    </row>
    <row r="429" spans="1:14" x14ac:dyDescent="0.25">
      <c r="A429">
        <f>-'R1'!H429</f>
        <v>-28</v>
      </c>
      <c r="B429">
        <f>DEGREES(ATAN(-SIN(RADIANS(('R1'!I429)))/(COS(RADIANS(Sheet1!A429))*COS(RADIANS('R1'!I429)))))</f>
        <v>-9.0440332369115684</v>
      </c>
      <c r="C429">
        <f>AVERAGE('R1'!J429,'R2'!J429,'R3'!J429)</f>
        <v>1.1733333333333331</v>
      </c>
      <c r="D429">
        <f>AVERAGE('R1'!K429,'R2'!K429,'R3'!K429)</f>
        <v>20.354382999999999</v>
      </c>
      <c r="E429">
        <f>AVERAGE('R1'!L429,'R2'!L429,'R3'!L429)</f>
        <v>-0.49439308948334082</v>
      </c>
      <c r="F429">
        <f>AVERAGE('R1'!M429,'R2'!M429,'R3'!M429)</f>
        <v>1.8129427784122563</v>
      </c>
      <c r="G429">
        <f>AVERAGE('R1'!N429,'R2'!N429,'R3'!N429)</f>
        <v>-0.57287262031015052</v>
      </c>
      <c r="H429">
        <f>AVERAGE('R1'!O429,'R2'!O429,'R3'!O429)</f>
        <v>-0.1637981312012626</v>
      </c>
      <c r="I429">
        <f t="shared" si="10"/>
        <v>3980.4126755555544</v>
      </c>
      <c r="K429">
        <f>_xlfn.STDEV.S('R1'!L429,'R2'!L429,'R3'!L429)</f>
        <v>1.0272963403392446E-2</v>
      </c>
      <c r="L429">
        <f>_xlfn.STDEV.S('R1'!M429,'R2'!M429,'R3'!M429)</f>
        <v>1.1634648684114353E-2</v>
      </c>
      <c r="M429">
        <f>_xlfn.STDEV.S('R1'!N429,'R2'!N429,'R3'!N429)</f>
        <v>5.2333061899456487E-3</v>
      </c>
      <c r="N429">
        <f>_xlfn.STDEV.S('R1'!O429,'R2'!O429,'R3'!O429)</f>
        <v>1.0569396748182908E-2</v>
      </c>
    </row>
    <row r="430" spans="1:14" x14ac:dyDescent="0.25">
      <c r="A430">
        <f>-'R1'!H430</f>
        <v>-28</v>
      </c>
      <c r="B430">
        <f>DEGREES(ATAN(-SIN(RADIANS(('R1'!I430)))/(COS(RADIANS(Sheet1!A430))*COS(RADIANS('R1'!I430)))))</f>
        <v>-13.535556072482301</v>
      </c>
      <c r="C430">
        <f>AVERAGE('R1'!J430,'R2'!J430,'R3'!J430)</f>
        <v>1.1733333333333331</v>
      </c>
      <c r="D430">
        <f>AVERAGE('R1'!K430,'R2'!K430,'R3'!K430)</f>
        <v>20.217912999999999</v>
      </c>
      <c r="E430">
        <f>AVERAGE('R1'!L430,'R2'!L430,'R3'!L430)</f>
        <v>-0.74892642034328005</v>
      </c>
      <c r="F430">
        <f>AVERAGE('R1'!M430,'R2'!M430,'R3'!M430)</f>
        <v>1.7393989378978556</v>
      </c>
      <c r="G430">
        <f>AVERAGE('R1'!N430,'R2'!N430,'R3'!N430)</f>
        <v>-0.59892989357553128</v>
      </c>
      <c r="H430">
        <f>AVERAGE('R1'!O430,'R2'!O430,'R3'!O430)</f>
        <v>-0.25503238463651762</v>
      </c>
      <c r="I430">
        <f t="shared" si="10"/>
        <v>3953.7252088888881</v>
      </c>
      <c r="K430">
        <f>_xlfn.STDEV.S('R1'!L430,'R2'!L430,'R3'!L430)</f>
        <v>9.1237500358952589E-3</v>
      </c>
      <c r="L430">
        <f>_xlfn.STDEV.S('R1'!M430,'R2'!M430,'R3'!M430)</f>
        <v>9.792518619320319E-3</v>
      </c>
      <c r="M430">
        <f>_xlfn.STDEV.S('R1'!N430,'R2'!N430,'R3'!N430)</f>
        <v>2.3217575896893167E-3</v>
      </c>
      <c r="N430">
        <f>_xlfn.STDEV.S('R1'!O430,'R2'!O430,'R3'!O430)</f>
        <v>6.25090787289576E-3</v>
      </c>
    </row>
    <row r="431" spans="1:14" x14ac:dyDescent="0.25">
      <c r="A431">
        <f>-'R1'!H431</f>
        <v>-28</v>
      </c>
      <c r="B431">
        <f>DEGREES(ATAN(-SIN(RADIANS(('R1'!I431)))/(COS(RADIANS(Sheet1!A431))*COS(RADIANS('R1'!I431)))))</f>
        <v>-17.991683837765329</v>
      </c>
      <c r="C431">
        <f>AVERAGE('R1'!J431,'R2'!J431,'R3'!J431)</f>
        <v>1.1741666666666666</v>
      </c>
      <c r="D431">
        <f>AVERAGE('R1'!K431,'R2'!K431,'R3'!K431)</f>
        <v>20.636855666666666</v>
      </c>
      <c r="E431">
        <f>AVERAGE('R1'!L431,'R2'!L431,'R3'!L431)</f>
        <v>-0.97958309339564309</v>
      </c>
      <c r="F431">
        <f>AVERAGE('R1'!M431,'R2'!M431,'R3'!M431)</f>
        <v>1.7007038418618468</v>
      </c>
      <c r="G431">
        <f>AVERAGE('R1'!N431,'R2'!N431,'R3'!N431)</f>
        <v>-0.65305836553823104</v>
      </c>
      <c r="H431">
        <f>AVERAGE('R1'!O431,'R2'!O431,'R3'!O431)</f>
        <v>-0.35408053035818693</v>
      </c>
      <c r="I431">
        <f t="shared" si="10"/>
        <v>4038.5180047685176</v>
      </c>
      <c r="K431">
        <f>_xlfn.STDEV.S('R1'!L431,'R2'!L431,'R3'!L431)</f>
        <v>7.023280389185837E-3</v>
      </c>
      <c r="L431">
        <f>_xlfn.STDEV.S('R1'!M431,'R2'!M431,'R3'!M431)</f>
        <v>5.1408495065352472E-3</v>
      </c>
      <c r="M431">
        <f>_xlfn.STDEV.S('R1'!N431,'R2'!N431,'R3'!N431)</f>
        <v>4.3479208832858532E-3</v>
      </c>
      <c r="N431">
        <f>_xlfn.STDEV.S('R1'!O431,'R2'!O431,'R3'!O431)</f>
        <v>7.7037935207397192E-3</v>
      </c>
    </row>
    <row r="432" spans="1:14" x14ac:dyDescent="0.25">
      <c r="A432">
        <f>-'R1'!H432</f>
        <v>-28</v>
      </c>
      <c r="B432">
        <f>DEGREES(ATAN(-SIN(RADIANS(('R1'!I432)))/(COS(RADIANS(Sheet1!A432))*COS(RADIANS('R1'!I432)))))</f>
        <v>-22.402523646885253</v>
      </c>
      <c r="C432">
        <f>AVERAGE('R1'!J432,'R2'!J432,'R3'!J432)</f>
        <v>1.1766666666666665</v>
      </c>
      <c r="D432">
        <f>AVERAGE('R1'!K432,'R2'!K432,'R3'!K432)</f>
        <v>21.341217416666666</v>
      </c>
      <c r="E432">
        <f>AVERAGE('R1'!L432,'R2'!L432,'R3'!L432)</f>
        <v>-1.207860892672372</v>
      </c>
      <c r="F432">
        <f>AVERAGE('R1'!M432,'R2'!M432,'R3'!M432)</f>
        <v>1.6903095592177346</v>
      </c>
      <c r="G432">
        <f>AVERAGE('R1'!N432,'R2'!N432,'R3'!N432)</f>
        <v>-0.74174286317848814</v>
      </c>
      <c r="H432">
        <f>AVERAGE('R1'!O432,'R2'!O432,'R3'!O432)</f>
        <v>-0.46300803357670378</v>
      </c>
      <c r="I432">
        <f t="shared" si="10"/>
        <v>4185.249860046295</v>
      </c>
      <c r="K432">
        <f>_xlfn.STDEV.S('R1'!L432,'R2'!L432,'R3'!L432)</f>
        <v>3.6463202096145251E-4</v>
      </c>
      <c r="L432">
        <f>_xlfn.STDEV.S('R1'!M432,'R2'!M432,'R3'!M432)</f>
        <v>7.8743175121050064E-3</v>
      </c>
      <c r="M432">
        <f>_xlfn.STDEV.S('R1'!N432,'R2'!N432,'R3'!N432)</f>
        <v>5.5222684539236637E-3</v>
      </c>
      <c r="N432">
        <f>_xlfn.STDEV.S('R1'!O432,'R2'!O432,'R3'!O432)</f>
        <v>6.6317432857266262E-3</v>
      </c>
    </row>
    <row r="433" spans="1:14" x14ac:dyDescent="0.25">
      <c r="A433">
        <f>-'R1'!H433</f>
        <v>-28</v>
      </c>
      <c r="B433">
        <f>DEGREES(ATAN(-SIN(RADIANS(('R1'!I433)))/(COS(RADIANS(Sheet1!A433))*COS(RADIANS('R1'!I433)))))</f>
        <v>-26.759647654377044</v>
      </c>
      <c r="C433">
        <f>AVERAGE('R1'!J433,'R2'!J433,'R3'!J433)</f>
        <v>1.1741666666666666</v>
      </c>
      <c r="D433">
        <f>AVERAGE('R1'!K433,'R2'!K433,'R3'!K433)</f>
        <v>21.562205583333334</v>
      </c>
      <c r="E433">
        <f>AVERAGE('R1'!L433,'R2'!L433,'R3'!L433)</f>
        <v>-1.3962050100516199</v>
      </c>
      <c r="F433">
        <f>AVERAGE('R1'!M433,'R2'!M433,'R3'!M433)</f>
        <v>1.7106259454681227</v>
      </c>
      <c r="G433">
        <f>AVERAGE('R1'!N433,'R2'!N433,'R3'!N433)</f>
        <v>-0.83614511903356215</v>
      </c>
      <c r="H433">
        <f>AVERAGE('R1'!O433,'R2'!O433,'R3'!O433)</f>
        <v>-0.60131562599478039</v>
      </c>
      <c r="I433">
        <f t="shared" si="10"/>
        <v>4219.6038426273153</v>
      </c>
      <c r="K433">
        <f>_xlfn.STDEV.S('R1'!L433,'R2'!L433,'R3'!L433)</f>
        <v>5.4480823349856936E-3</v>
      </c>
      <c r="L433">
        <f>_xlfn.STDEV.S('R1'!M433,'R2'!M433,'R3'!M433)</f>
        <v>3.8071982199658697E-3</v>
      </c>
      <c r="M433">
        <f>_xlfn.STDEV.S('R1'!N433,'R2'!N433,'R3'!N433)</f>
        <v>5.0135176525719525E-3</v>
      </c>
      <c r="N433">
        <f>_xlfn.STDEV.S('R1'!O433,'R2'!O433,'R3'!O433)</f>
        <v>4.2084395129845919E-3</v>
      </c>
    </row>
    <row r="434" spans="1:14" x14ac:dyDescent="0.25">
      <c r="A434">
        <f>-'R1'!H434</f>
        <v>-28</v>
      </c>
      <c r="B434">
        <f>DEGREES(ATAN(-SIN(RADIANS(('R1'!I434)))/(COS(RADIANS(Sheet1!A434))*COS(RADIANS('R1'!I434)))))</f>
        <v>-31.056274317680661</v>
      </c>
      <c r="C434">
        <f>AVERAGE('R1'!J434,'R2'!J434,'R3'!J434)</f>
        <v>1.1733333333333331</v>
      </c>
      <c r="D434">
        <f>AVERAGE('R1'!K434,'R2'!K434,'R3'!K434)</f>
        <v>21.196833833333333</v>
      </c>
      <c r="E434">
        <f>AVERAGE('R1'!L434,'R2'!L434,'R3'!L434)</f>
        <v>-1.5634481249078096</v>
      </c>
      <c r="F434">
        <f>AVERAGE('R1'!M434,'R2'!M434,'R3'!M434)</f>
        <v>1.7555228523373092</v>
      </c>
      <c r="G434">
        <f>AVERAGE('R1'!N434,'R2'!N434,'R3'!N434)</f>
        <v>-0.94744257372233387</v>
      </c>
      <c r="H434">
        <f>AVERAGE('R1'!O434,'R2'!O434,'R3'!O434)</f>
        <v>-0.74953756612624378</v>
      </c>
      <c r="I434">
        <f t="shared" si="10"/>
        <v>4145.1586162962958</v>
      </c>
      <c r="K434">
        <f>_xlfn.STDEV.S('R1'!L434,'R2'!L434,'R3'!L434)</f>
        <v>9.071281589268104E-4</v>
      </c>
      <c r="L434">
        <f>_xlfn.STDEV.S('R1'!M434,'R2'!M434,'R3'!M434)</f>
        <v>1.9010639657962508E-3</v>
      </c>
      <c r="M434">
        <f>_xlfn.STDEV.S('R1'!N434,'R2'!N434,'R3'!N434)</f>
        <v>3.269975555385266E-3</v>
      </c>
      <c r="N434">
        <f>_xlfn.STDEV.S('R1'!O434,'R2'!O434,'R3'!O434)</f>
        <v>3.6855707461374496E-3</v>
      </c>
    </row>
    <row r="435" spans="1:14" x14ac:dyDescent="0.25">
      <c r="A435">
        <f>-'R1'!H435</f>
        <v>-28</v>
      </c>
      <c r="B435">
        <f>DEGREES(ATAN(-SIN(RADIANS(('R1'!I435)))/(COS(RADIANS(Sheet1!A435))*COS(RADIANS('R1'!I435)))))</f>
        <v>-35.287360012327973</v>
      </c>
      <c r="C435">
        <f>AVERAGE('R1'!J435,'R2'!J435,'R3'!J435)</f>
        <v>1.1741666666666666</v>
      </c>
      <c r="D435">
        <f>AVERAGE('R1'!K435,'R2'!K435,'R3'!K435)</f>
        <v>20.941112583333332</v>
      </c>
      <c r="E435">
        <f>AVERAGE('R1'!L435,'R2'!L435,'R3'!L435)</f>
        <v>-1.7312303465679666</v>
      </c>
      <c r="F435">
        <f>AVERAGE('R1'!M435,'R2'!M435,'R3'!M435)</f>
        <v>1.8323258821539994</v>
      </c>
      <c r="G435">
        <f>AVERAGE('R1'!N435,'R2'!N435,'R3'!N435)</f>
        <v>-1.0946628737040405</v>
      </c>
      <c r="H435">
        <f>AVERAGE('R1'!O435,'R2'!O435,'R3'!O435)</f>
        <v>-0.91387270819244648</v>
      </c>
      <c r="I435">
        <f t="shared" si="10"/>
        <v>4098.0593930439809</v>
      </c>
      <c r="K435">
        <f>_xlfn.STDEV.S('R1'!L435,'R2'!L435,'R3'!L435)</f>
        <v>4.4451165461967396E-3</v>
      </c>
      <c r="L435">
        <f>_xlfn.STDEV.S('R1'!M435,'R2'!M435,'R3'!M435)</f>
        <v>4.0961872644349161E-3</v>
      </c>
      <c r="M435">
        <f>_xlfn.STDEV.S('R1'!N435,'R2'!N435,'R3'!N435)</f>
        <v>3.8254104844161049E-3</v>
      </c>
      <c r="N435">
        <f>_xlfn.STDEV.S('R1'!O435,'R2'!O435,'R3'!O435)</f>
        <v>5.5122304684785631E-3</v>
      </c>
    </row>
    <row r="436" spans="1:14" x14ac:dyDescent="0.25">
      <c r="A436">
        <f>-'R1'!H436</f>
        <v>-28</v>
      </c>
      <c r="B436">
        <f>DEGREES(ATAN(-SIN(RADIANS(('R1'!I436)))/(COS(RADIANS(Sheet1!A436))*COS(RADIANS('R1'!I436)))))</f>
        <v>-39.449608335498439</v>
      </c>
      <c r="C436">
        <f>AVERAGE('R1'!J436,'R2'!J436,'R3'!J436)</f>
        <v>1.1733333333333331</v>
      </c>
      <c r="D436">
        <f>AVERAGE('R1'!K436,'R2'!K436,'R3'!K436)</f>
        <v>20.746328916666666</v>
      </c>
      <c r="E436">
        <f>AVERAGE('R1'!L436,'R2'!L436,'R3'!L436)</f>
        <v>-1.9166842446727979</v>
      </c>
      <c r="F436">
        <f>AVERAGE('R1'!M436,'R2'!M436,'R3'!M436)</f>
        <v>1.9449284435414065</v>
      </c>
      <c r="G436">
        <f>AVERAGE('R1'!N436,'R2'!N436,'R3'!N436)</f>
        <v>-1.2855064216230221</v>
      </c>
      <c r="H436">
        <f>AVERAGE('R1'!O436,'R2'!O436,'R3'!O436)</f>
        <v>-1.0919424542562088</v>
      </c>
      <c r="I436">
        <f t="shared" si="10"/>
        <v>4057.0598770370366</v>
      </c>
      <c r="K436">
        <f>_xlfn.STDEV.S('R1'!L436,'R2'!L436,'R3'!L436)</f>
        <v>5.7410909533691171E-3</v>
      </c>
      <c r="L436">
        <f>_xlfn.STDEV.S('R1'!M436,'R2'!M436,'R3'!M436)</f>
        <v>1.2010328982697276E-3</v>
      </c>
      <c r="M436">
        <f>_xlfn.STDEV.S('R1'!N436,'R2'!N436,'R3'!N436)</f>
        <v>6.1804371459949336E-3</v>
      </c>
      <c r="N436">
        <f>_xlfn.STDEV.S('R1'!O436,'R2'!O436,'R3'!O436)</f>
        <v>4.9215599684020207E-3</v>
      </c>
    </row>
    <row r="437" spans="1:14" x14ac:dyDescent="0.25">
      <c r="A437">
        <f>-'R1'!H437</f>
        <v>-28</v>
      </c>
      <c r="B437">
        <f>DEGREES(ATAN(-SIN(RADIANS(('R1'!I437)))/(COS(RADIANS(Sheet1!A437))*COS(RADIANS('R1'!I437)))))</f>
        <v>-43.541410263843531</v>
      </c>
      <c r="C437">
        <f>AVERAGE('R1'!J437,'R2'!J437,'R3'!J437)</f>
        <v>1.1766666666666665</v>
      </c>
      <c r="D437">
        <f>AVERAGE('R1'!K437,'R2'!K437,'R3'!K437)</f>
        <v>20.529506833333333</v>
      </c>
      <c r="E437">
        <f>AVERAGE('R1'!L437,'R2'!L437,'R3'!L437)</f>
        <v>-2.1351182048478123</v>
      </c>
      <c r="F437">
        <f>AVERAGE('R1'!M437,'R2'!M437,'R3'!M437)</f>
        <v>2.1019568686285983</v>
      </c>
      <c r="G437">
        <f>AVERAGE('R1'!N437,'R2'!N437,'R3'!N437)</f>
        <v>-1.5399290516854645</v>
      </c>
      <c r="H437">
        <f>AVERAGE('R1'!O437,'R2'!O437,'R3'!O437)</f>
        <v>-1.298396500128409</v>
      </c>
      <c r="I437">
        <f t="shared" si="10"/>
        <v>4026.0643956481472</v>
      </c>
      <c r="K437">
        <f>_xlfn.STDEV.S('R1'!L437,'R2'!L437,'R3'!L437)</f>
        <v>9.8694834184336454E-3</v>
      </c>
      <c r="L437">
        <f>_xlfn.STDEV.S('R1'!M437,'R2'!M437,'R3'!M437)</f>
        <v>6.9647976181574757E-3</v>
      </c>
      <c r="M437">
        <f>_xlfn.STDEV.S('R1'!N437,'R2'!N437,'R3'!N437)</f>
        <v>1.0908206462815121E-2</v>
      </c>
      <c r="N437">
        <f>_xlfn.STDEV.S('R1'!O437,'R2'!O437,'R3'!O437)</f>
        <v>9.2539919734666957E-3</v>
      </c>
    </row>
    <row r="438" spans="1:14" x14ac:dyDescent="0.25">
      <c r="A438">
        <f>-'R1'!H438</f>
        <v>-28</v>
      </c>
      <c r="B438">
        <f>DEGREES(ATAN(-SIN(RADIANS(('R1'!I438)))/(COS(RADIANS(Sheet1!A438))*COS(RADIANS('R1'!I438)))))</f>
        <v>-47.562731505879128</v>
      </c>
      <c r="C438">
        <f>AVERAGE('R1'!J438,'R2'!J438,'R3'!J438)</f>
        <v>1.1749999999999998</v>
      </c>
      <c r="D438">
        <f>AVERAGE('R1'!K438,'R2'!K438,'R3'!K438)</f>
        <v>20.4255645</v>
      </c>
      <c r="E438">
        <f>AVERAGE('R1'!L438,'R2'!L438,'R3'!L438)</f>
        <v>-2.4216695360492317</v>
      </c>
      <c r="F438">
        <f>AVERAGE('R1'!M438,'R2'!M438,'R3'!M438)</f>
        <v>2.3293973264512711</v>
      </c>
      <c r="G438">
        <f>AVERAGE('R1'!N438,'R2'!N438,'R3'!N438)</f>
        <v>-1.8987979972383506</v>
      </c>
      <c r="H438">
        <f>AVERAGE('R1'!O438,'R2'!O438,'R3'!O438)</f>
        <v>-1.5624462860868391</v>
      </c>
      <c r="I438">
        <f t="shared" si="10"/>
        <v>4000.0063812499993</v>
      </c>
      <c r="K438">
        <f>_xlfn.STDEV.S('R1'!L438,'R2'!L438,'R3'!L438)</f>
        <v>7.4853811949135264E-3</v>
      </c>
      <c r="L438">
        <f>_xlfn.STDEV.S('R1'!M438,'R2'!M438,'R3'!M438)</f>
        <v>4.7566389329297002E-3</v>
      </c>
      <c r="M438">
        <f>_xlfn.STDEV.S('R1'!N438,'R2'!N438,'R3'!N438)</f>
        <v>6.7488406466809561E-3</v>
      </c>
      <c r="N438">
        <f>_xlfn.STDEV.S('R1'!O438,'R2'!O438,'R3'!O438)</f>
        <v>7.2319764866407357E-3</v>
      </c>
    </row>
    <row r="439" spans="1:14" x14ac:dyDescent="0.25">
      <c r="A439">
        <f>-'R1'!H439</f>
        <v>-32</v>
      </c>
      <c r="B439">
        <f>DEGREES(ATAN(-SIN(RADIANS(('R1'!I439)))/(COS(RADIANS(Sheet1!A439))*COS(RADIANS('R1'!I439)))))</f>
        <v>48.711059881009497</v>
      </c>
      <c r="C439">
        <f>AVERAGE('R1'!J439,'R2'!J439,'R3'!J439)</f>
        <v>1.1733333333333331</v>
      </c>
      <c r="D439">
        <f>AVERAGE('R1'!K439,'R2'!K439,'R3'!K439)</f>
        <v>20.236178916666663</v>
      </c>
      <c r="E439">
        <f>AVERAGE('R1'!L439,'R2'!L439,'R3'!L439)</f>
        <v>2.2332302895327234</v>
      </c>
      <c r="F439">
        <f>AVERAGE('R1'!M439,'R2'!M439,'R3'!M439)</f>
        <v>2.143248995018177</v>
      </c>
      <c r="G439">
        <f>AVERAGE('R1'!N439,'R2'!N439,'R3'!N439)</f>
        <v>-1.6788018497978481</v>
      </c>
      <c r="H439">
        <f>AVERAGE('R1'!O439,'R2'!O439,'R3'!O439)</f>
        <v>-1.514771270024138</v>
      </c>
      <c r="I439">
        <f t="shared" si="10"/>
        <v>3957.2972103703682</v>
      </c>
      <c r="K439">
        <f>_xlfn.STDEV.S('R1'!L439,'R2'!L439,'R3'!L439)</f>
        <v>6.3222135269523369E-3</v>
      </c>
      <c r="L439">
        <f>_xlfn.STDEV.S('R1'!M439,'R2'!M439,'R3'!M439)</f>
        <v>2.5406150310763121E-3</v>
      </c>
      <c r="M439">
        <f>_xlfn.STDEV.S('R1'!N439,'R2'!N439,'R3'!N439)</f>
        <v>6.3819367212713573E-3</v>
      </c>
      <c r="N439">
        <f>_xlfn.STDEV.S('R1'!O439,'R2'!O439,'R3'!O439)</f>
        <v>3.8038292947210847E-3</v>
      </c>
    </row>
    <row r="440" spans="1:14" x14ac:dyDescent="0.25">
      <c r="A440">
        <f>-'R1'!H440</f>
        <v>-32</v>
      </c>
      <c r="B440">
        <f>DEGREES(ATAN(-SIN(RADIANS(('R1'!I440)))/(COS(RADIANS(Sheet1!A440))*COS(RADIANS('R1'!I440)))))</f>
        <v>44.69611169166604</v>
      </c>
      <c r="C440">
        <f>AVERAGE('R1'!J440,'R2'!J440,'R3'!J440)</f>
        <v>1.1733333333333331</v>
      </c>
      <c r="D440">
        <f>AVERAGE('R1'!K440,'R2'!K440,'R3'!K440)</f>
        <v>20.437721749999998</v>
      </c>
      <c r="E440">
        <f>AVERAGE('R1'!L440,'R2'!L440,'R3'!L440)</f>
        <v>2.055282907736995</v>
      </c>
      <c r="F440">
        <f>AVERAGE('R1'!M440,'R2'!M440,'R3'!M440)</f>
        <v>2.022987510891467</v>
      </c>
      <c r="G440">
        <f>AVERAGE('R1'!N440,'R2'!N440,'R3'!N440)</f>
        <v>-1.4510574261974325</v>
      </c>
      <c r="H440">
        <f>AVERAGE('R1'!O440,'R2'!O440,'R3'!O440)</f>
        <v>-1.3271951477211059</v>
      </c>
      <c r="I440">
        <f t="shared" si="10"/>
        <v>3996.7100311111094</v>
      </c>
      <c r="K440">
        <f>_xlfn.STDEV.S('R1'!L440,'R2'!L440,'R3'!L440)</f>
        <v>2.3532275243623875E-3</v>
      </c>
      <c r="L440">
        <f>_xlfn.STDEV.S('R1'!M440,'R2'!M440,'R3'!M440)</f>
        <v>2.4322385151239272E-3</v>
      </c>
      <c r="M440">
        <f>_xlfn.STDEV.S('R1'!N440,'R2'!N440,'R3'!N440)</f>
        <v>4.3492859561738489E-3</v>
      </c>
      <c r="N440">
        <f>_xlfn.STDEV.S('R1'!O440,'R2'!O440,'R3'!O440)</f>
        <v>3.7446663786913983E-3</v>
      </c>
    </row>
    <row r="441" spans="1:14" x14ac:dyDescent="0.25">
      <c r="A441">
        <f>-'R1'!H441</f>
        <v>-32</v>
      </c>
      <c r="B441">
        <f>DEGREES(ATAN(-SIN(RADIANS(('R1'!I441)))/(COS(RADIANS(Sheet1!A441))*COS(RADIANS('R1'!I441)))))</f>
        <v>40.587432696870117</v>
      </c>
      <c r="C441">
        <f>AVERAGE('R1'!J441,'R2'!J441,'R3'!J441)</f>
        <v>1.1758333333333333</v>
      </c>
      <c r="D441">
        <f>AVERAGE('R1'!K441,'R2'!K441,'R3'!K441)</f>
        <v>20.723423583333332</v>
      </c>
      <c r="E441">
        <f>AVERAGE('R1'!L441,'R2'!L441,'R3'!L441)</f>
        <v>1.8949335262561391</v>
      </c>
      <c r="F441">
        <f>AVERAGE('R1'!M441,'R2'!M441,'R3'!M441)</f>
        <v>1.9192914045097431</v>
      </c>
      <c r="G441">
        <f>AVERAGE('R1'!N441,'R2'!N441,'R3'!N441)</f>
        <v>-1.2606320049055906</v>
      </c>
      <c r="H441">
        <f>AVERAGE('R1'!O441,'R2'!O441,'R3'!O441)</f>
        <v>-1.1658453875803649</v>
      </c>
      <c r="I441">
        <f t="shared" si="10"/>
        <v>4061.2153716782404</v>
      </c>
      <c r="K441">
        <f>_xlfn.STDEV.S('R1'!L441,'R2'!L441,'R3'!L441)</f>
        <v>4.4547719121812157E-3</v>
      </c>
      <c r="L441">
        <f>_xlfn.STDEV.S('R1'!M441,'R2'!M441,'R3'!M441)</f>
        <v>4.1784058700180841E-3</v>
      </c>
      <c r="M441">
        <f>_xlfn.STDEV.S('R1'!N441,'R2'!N441,'R3'!N441)</f>
        <v>5.2438928981909244E-3</v>
      </c>
      <c r="N441">
        <f>_xlfn.STDEV.S('R1'!O441,'R2'!O441,'R3'!O441)</f>
        <v>7.9741299446924284E-3</v>
      </c>
    </row>
    <row r="442" spans="1:14" x14ac:dyDescent="0.25">
      <c r="A442">
        <f>-'R1'!H442</f>
        <v>-32</v>
      </c>
      <c r="B442">
        <f>DEGREES(ATAN(-SIN(RADIANS(('R1'!I442)))/(COS(RADIANS(Sheet1!A442))*COS(RADIANS('R1'!I442)))))</f>
        <v>36.383993076218225</v>
      </c>
      <c r="C442">
        <f>AVERAGE('R1'!J442,'R2'!J442,'R3'!J442)</f>
        <v>1.1733333333333331</v>
      </c>
      <c r="D442">
        <f>AVERAGE('R1'!K442,'R2'!K442,'R3'!K442)</f>
        <v>20.949439000000002</v>
      </c>
      <c r="E442">
        <f>AVERAGE('R1'!L442,'R2'!L442,'R3'!L442)</f>
        <v>1.7573615099168123</v>
      </c>
      <c r="F442">
        <f>AVERAGE('R1'!M442,'R2'!M442,'R3'!M442)</f>
        <v>1.8445554171464054</v>
      </c>
      <c r="G442">
        <f>AVERAGE('R1'!N442,'R2'!N442,'R3'!N442)</f>
        <v>-1.117194297792091</v>
      </c>
      <c r="H442">
        <f>AVERAGE('R1'!O442,'R2'!O442,'R3'!O442)</f>
        <v>-1.02266459207739</v>
      </c>
      <c r="I442">
        <f t="shared" si="10"/>
        <v>4096.7791822222216</v>
      </c>
      <c r="K442">
        <f>_xlfn.STDEV.S('R1'!L442,'R2'!L442,'R3'!L442)</f>
        <v>3.1153535422410164E-3</v>
      </c>
      <c r="L442">
        <f>_xlfn.STDEV.S('R1'!M442,'R2'!M442,'R3'!M442)</f>
        <v>1.7227038415479627E-3</v>
      </c>
      <c r="M442">
        <f>_xlfn.STDEV.S('R1'!N442,'R2'!N442,'R3'!N442)</f>
        <v>2.0107797066360204E-3</v>
      </c>
      <c r="N442">
        <f>_xlfn.STDEV.S('R1'!O442,'R2'!O442,'R3'!O442)</f>
        <v>9.1383972141725108E-3</v>
      </c>
    </row>
    <row r="443" spans="1:14" x14ac:dyDescent="0.25">
      <c r="A443">
        <f>-'R1'!H443</f>
        <v>-32</v>
      </c>
      <c r="B443">
        <f>DEGREES(ATAN(-SIN(RADIANS(('R1'!I443)))/(COS(RADIANS(Sheet1!A443))*COS(RADIANS('R1'!I443)))))</f>
        <v>32.086900972819144</v>
      </c>
      <c r="C443">
        <f>AVERAGE('R1'!J443,'R2'!J443,'R3'!J443)</f>
        <v>1.1733333333333331</v>
      </c>
      <c r="D443">
        <f>AVERAGE('R1'!K443,'R2'!K443,'R3'!K443)</f>
        <v>21.156893499999999</v>
      </c>
      <c r="E443">
        <f>AVERAGE('R1'!L443,'R2'!L443,'R3'!L443)</f>
        <v>1.6308091743599611</v>
      </c>
      <c r="F443">
        <f>AVERAGE('R1'!M443,'R2'!M443,'R3'!M443)</f>
        <v>1.8236975267238702</v>
      </c>
      <c r="G443">
        <f>AVERAGE('R1'!N443,'R2'!N443,'R3'!N443)</f>
        <v>-1.027413032577744</v>
      </c>
      <c r="H443">
        <f>AVERAGE('R1'!O443,'R2'!O443,'R3'!O443)</f>
        <v>-0.89733847820613055</v>
      </c>
      <c r="I443">
        <f t="shared" si="10"/>
        <v>4137.3480622222214</v>
      </c>
      <c r="K443">
        <f>_xlfn.STDEV.S('R1'!L443,'R2'!L443,'R3'!L443)</f>
        <v>1.6678707767682672E-3</v>
      </c>
      <c r="L443">
        <f>_xlfn.STDEV.S('R1'!M443,'R2'!M443,'R3'!M443)</f>
        <v>6.5367148279030576E-3</v>
      </c>
      <c r="M443">
        <f>_xlfn.STDEV.S('R1'!N443,'R2'!N443,'R3'!N443)</f>
        <v>6.0817775150265371E-3</v>
      </c>
      <c r="N443">
        <f>_xlfn.STDEV.S('R1'!O443,'R2'!O443,'R3'!O443)</f>
        <v>7.707346762414408E-3</v>
      </c>
    </row>
    <row r="444" spans="1:14" x14ac:dyDescent="0.25">
      <c r="A444">
        <f>-'R1'!H444</f>
        <v>-32</v>
      </c>
      <c r="B444">
        <f>DEGREES(ATAN(-SIN(RADIANS(('R1'!I444)))/(COS(RADIANS(Sheet1!A444))*COS(RADIANS('R1'!I444)))))</f>
        <v>27.699654729206667</v>
      </c>
      <c r="C444">
        <f>AVERAGE('R1'!J444,'R2'!J444,'R3'!J444)</f>
        <v>1.1733333333333331</v>
      </c>
      <c r="D444">
        <f>AVERAGE('R1'!K444,'R2'!K444,'R3'!K444)</f>
        <v>21.375481166666663</v>
      </c>
      <c r="E444">
        <f>AVERAGE('R1'!L444,'R2'!L444,'R3'!L444)</f>
        <v>1.4905330023936807</v>
      </c>
      <c r="F444">
        <f>AVERAGE('R1'!M444,'R2'!M444,'R3'!M444)</f>
        <v>1.8358528655669157</v>
      </c>
      <c r="G444">
        <f>AVERAGE('R1'!N444,'R2'!N444,'R3'!N444)</f>
        <v>-0.96218184276343821</v>
      </c>
      <c r="H444">
        <f>AVERAGE('R1'!O444,'R2'!O444,'R3'!O444)</f>
        <v>-0.77426682657407264</v>
      </c>
      <c r="I444">
        <f t="shared" si="10"/>
        <v>4180.0940948148136</v>
      </c>
      <c r="K444">
        <f>_xlfn.STDEV.S('R1'!L444,'R2'!L444,'R3'!L444)</f>
        <v>2.8699175117171418E-3</v>
      </c>
      <c r="L444">
        <f>_xlfn.STDEV.S('R1'!M444,'R2'!M444,'R3'!M444)</f>
        <v>8.2589221652490108E-3</v>
      </c>
      <c r="M444">
        <f>_xlfn.STDEV.S('R1'!N444,'R2'!N444,'R3'!N444)</f>
        <v>8.4101170785781144E-3</v>
      </c>
      <c r="N444">
        <f>_xlfn.STDEV.S('R1'!O444,'R2'!O444,'R3'!O444)</f>
        <v>1.0566790042840382E-2</v>
      </c>
    </row>
    <row r="445" spans="1:14" x14ac:dyDescent="0.25">
      <c r="A445">
        <f>-'R1'!H445</f>
        <v>-32</v>
      </c>
      <c r="B445">
        <f>DEGREES(ATAN(-SIN(RADIANS(('R1'!I445)))/(COS(RADIANS(Sheet1!A445))*COS(RADIANS('R1'!I445)))))</f>
        <v>23.228324501561271</v>
      </c>
      <c r="C445">
        <f>AVERAGE('R1'!J445,'R2'!J445,'R3'!J445)</f>
        <v>1.1733333333333331</v>
      </c>
      <c r="D445">
        <f>AVERAGE('R1'!K445,'R2'!K445,'R3'!K445)</f>
        <v>21.043718250000001</v>
      </c>
      <c r="E445">
        <f>AVERAGE('R1'!L445,'R2'!L445,'R3'!L445)</f>
        <v>1.3130857482195906</v>
      </c>
      <c r="F445">
        <f>AVERAGE('R1'!M445,'R2'!M445,'R3'!M445)</f>
        <v>1.8660400386314235</v>
      </c>
      <c r="G445">
        <f>AVERAGE('R1'!N445,'R2'!N445,'R3'!N445)</f>
        <v>-0.89600605660965371</v>
      </c>
      <c r="H445">
        <f>AVERAGE('R1'!O445,'R2'!O445,'R3'!O445)</f>
        <v>-0.65836873321634204</v>
      </c>
      <c r="I445">
        <f t="shared" si="10"/>
        <v>4115.2160133333327</v>
      </c>
      <c r="K445">
        <f>_xlfn.STDEV.S('R1'!L445,'R2'!L445,'R3'!L445)</f>
        <v>5.5003382531254351E-3</v>
      </c>
      <c r="L445">
        <f>_xlfn.STDEV.S('R1'!M445,'R2'!M445,'R3'!M445)</f>
        <v>4.2327407016312145E-3</v>
      </c>
      <c r="M445">
        <f>_xlfn.STDEV.S('R1'!N445,'R2'!N445,'R3'!N445)</f>
        <v>3.3930727517450586E-3</v>
      </c>
      <c r="N445">
        <f>_xlfn.STDEV.S('R1'!O445,'R2'!O445,'R3'!O445)</f>
        <v>1.0907477174027985E-2</v>
      </c>
    </row>
    <row r="446" spans="1:14" x14ac:dyDescent="0.25">
      <c r="A446">
        <f>-'R1'!H446</f>
        <v>-32</v>
      </c>
      <c r="B446">
        <f>DEGREES(ATAN(-SIN(RADIANS(('R1'!I446)))/(COS(RADIANS(Sheet1!A446))*COS(RADIANS('R1'!I446)))))</f>
        <v>18.681627509923402</v>
      </c>
      <c r="C446">
        <f>AVERAGE('R1'!J446,'R2'!J446,'R3'!J446)</f>
        <v>1.1733333333333331</v>
      </c>
      <c r="D446">
        <f>AVERAGE('R1'!K446,'R2'!K446,'R3'!K446)</f>
        <v>20.841899000000002</v>
      </c>
      <c r="E446">
        <f>AVERAGE('R1'!L446,'R2'!L446,'R3'!L446)</f>
        <v>1.1162410698074714</v>
      </c>
      <c r="F446">
        <f>AVERAGE('R1'!M446,'R2'!M446,'R3'!M446)</f>
        <v>1.9005749654885238</v>
      </c>
      <c r="G446">
        <f>AVERAGE('R1'!N446,'R2'!N446,'R3'!N446)</f>
        <v>-0.83594306390151019</v>
      </c>
      <c r="H446">
        <f>AVERAGE('R1'!O446,'R2'!O446,'R3'!O446)</f>
        <v>-0.55703737172334367</v>
      </c>
      <c r="I446">
        <f t="shared" si="10"/>
        <v>4075.7491377777774</v>
      </c>
      <c r="K446">
        <f>_xlfn.STDEV.S('R1'!L446,'R2'!L446,'R3'!L446)</f>
        <v>8.0601109453676857E-3</v>
      </c>
      <c r="L446">
        <f>_xlfn.STDEV.S('R1'!M446,'R2'!M446,'R3'!M446)</f>
        <v>4.3484743252356489E-3</v>
      </c>
      <c r="M446">
        <f>_xlfn.STDEV.S('R1'!N446,'R2'!N446,'R3'!N446)</f>
        <v>4.0983831537974155E-3</v>
      </c>
      <c r="N446">
        <f>_xlfn.STDEV.S('R1'!O446,'R2'!O446,'R3'!O446)</f>
        <v>1.3150647276599316E-2</v>
      </c>
    </row>
    <row r="447" spans="1:14" x14ac:dyDescent="0.25">
      <c r="A447">
        <f>-'R1'!H447</f>
        <v>-32</v>
      </c>
      <c r="B447">
        <f>DEGREES(ATAN(-SIN(RADIANS(('R1'!I447)))/(COS(RADIANS(Sheet1!A447))*COS(RADIANS('R1'!I447)))))</f>
        <v>14.070864136056453</v>
      </c>
      <c r="C447">
        <f>AVERAGE('R1'!J447,'R2'!J447,'R3'!J447)</f>
        <v>1.1733333333333331</v>
      </c>
      <c r="D447">
        <f>AVERAGE('R1'!K447,'R2'!K447,'R3'!K447)</f>
        <v>20.638407833333332</v>
      </c>
      <c r="E447">
        <f>AVERAGE('R1'!L447,'R2'!L447,'R3'!L447)</f>
        <v>0.91304809356526417</v>
      </c>
      <c r="F447">
        <f>AVERAGE('R1'!M447,'R2'!M447,'R3'!M447)</f>
        <v>1.951719756349737</v>
      </c>
      <c r="G447">
        <f>AVERAGE('R1'!N447,'R2'!N447,'R3'!N447)</f>
        <v>-0.7955566579530432</v>
      </c>
      <c r="H447">
        <f>AVERAGE('R1'!O447,'R2'!O447,'R3'!O447)</f>
        <v>-0.47621607777483693</v>
      </c>
      <c r="I447">
        <f t="shared" si="10"/>
        <v>4035.955309629629</v>
      </c>
      <c r="K447">
        <f>_xlfn.STDEV.S('R1'!L447,'R2'!L447,'R3'!L447)</f>
        <v>5.2971877352177826E-3</v>
      </c>
      <c r="L447">
        <f>_xlfn.STDEV.S('R1'!M447,'R2'!M447,'R3'!M447)</f>
        <v>2.401924073990648E-3</v>
      </c>
      <c r="M447">
        <f>_xlfn.STDEV.S('R1'!N447,'R2'!N447,'R3'!N447)</f>
        <v>4.0889747804808904E-3</v>
      </c>
      <c r="N447">
        <f>_xlfn.STDEV.S('R1'!O447,'R2'!O447,'R3'!O447)</f>
        <v>8.7902290039491363E-3</v>
      </c>
    </row>
    <row r="448" spans="1:14" x14ac:dyDescent="0.25">
      <c r="A448">
        <f>-'R1'!H448</f>
        <v>-32</v>
      </c>
      <c r="B448">
        <f>DEGREES(ATAN(-SIN(RADIANS(('R1'!I448)))/(COS(RADIANS(Sheet1!A448))*COS(RADIANS('R1'!I448)))))</f>
        <v>9.4096915772201388</v>
      </c>
      <c r="C448">
        <f>AVERAGE('R1'!J448,'R2'!J448,'R3'!J448)</f>
        <v>1.1733333333333331</v>
      </c>
      <c r="D448">
        <f>AVERAGE('R1'!K448,'R2'!K448,'R3'!K448)</f>
        <v>20.477722500000002</v>
      </c>
      <c r="E448">
        <f>AVERAGE('R1'!L448,'R2'!L448,'R3'!L448)</f>
        <v>0.68670067184582706</v>
      </c>
      <c r="F448">
        <f>AVERAGE('R1'!M448,'R2'!M448,'R3'!M448)</f>
        <v>2.0218971123512586</v>
      </c>
      <c r="G448">
        <f>AVERAGE('R1'!N448,'R2'!N448,'R3'!N448)</f>
        <v>-0.77673983529614132</v>
      </c>
      <c r="H448">
        <f>AVERAGE('R1'!O448,'R2'!O448,'R3'!O448)</f>
        <v>-0.40160563690365869</v>
      </c>
      <c r="I448">
        <f t="shared" si="10"/>
        <v>4004.5323999999996</v>
      </c>
      <c r="K448">
        <f>_xlfn.STDEV.S('R1'!L448,'R2'!L448,'R3'!L448)</f>
        <v>6.893353292454248E-3</v>
      </c>
      <c r="L448">
        <f>_xlfn.STDEV.S('R1'!M448,'R2'!M448,'R3'!M448)</f>
        <v>8.8989295745791203E-3</v>
      </c>
      <c r="M448">
        <f>_xlfn.STDEV.S('R1'!N448,'R2'!N448,'R3'!N448)</f>
        <v>6.0905649598469247E-3</v>
      </c>
      <c r="N448">
        <f>_xlfn.STDEV.S('R1'!O448,'R2'!O448,'R3'!O448)</f>
        <v>1.1909315175866296E-2</v>
      </c>
    </row>
    <row r="449" spans="1:14" x14ac:dyDescent="0.25">
      <c r="A449">
        <f>-'R1'!H449</f>
        <v>-32</v>
      </c>
      <c r="B449">
        <f>DEGREES(ATAN(-SIN(RADIANS(('R1'!I449)))/(COS(RADIANS(Sheet1!A449))*COS(RADIANS('R1'!I449)))))</f>
        <v>4.7137278648813155</v>
      </c>
      <c r="C449">
        <f>AVERAGE('R1'!J449,'R2'!J449,'R3'!J449)</f>
        <v>1.1733333333333331</v>
      </c>
      <c r="D449">
        <f>AVERAGE('R1'!K449,'R2'!K449,'R3'!K449)</f>
        <v>20.389625416666668</v>
      </c>
      <c r="E449">
        <f>AVERAGE('R1'!L449,'R2'!L449,'R3'!L449)</f>
        <v>0.43659667183642609</v>
      </c>
      <c r="F449">
        <f>AVERAGE('R1'!M449,'R2'!M449,'R3'!M449)</f>
        <v>2.1332843449234633</v>
      </c>
      <c r="G449">
        <f>AVERAGE('R1'!N449,'R2'!N449,'R3'!N449)</f>
        <v>-0.79514141918838721</v>
      </c>
      <c r="H449">
        <f>AVERAGE('R1'!O449,'R2'!O449,'R3'!O449)</f>
        <v>-0.32889283828566379</v>
      </c>
      <c r="I449">
        <f t="shared" si="10"/>
        <v>3987.3045259259256</v>
      </c>
      <c r="K449">
        <f>_xlfn.STDEV.S('R1'!L449,'R2'!L449,'R3'!L449)</f>
        <v>1.5039483291447699E-2</v>
      </c>
      <c r="L449">
        <f>_xlfn.STDEV.S('R1'!M449,'R2'!M449,'R3'!M449)</f>
        <v>1.077576390103901E-2</v>
      </c>
      <c r="M449">
        <f>_xlfn.STDEV.S('R1'!N449,'R2'!N449,'R3'!N449)</f>
        <v>1.1966746205073313E-2</v>
      </c>
      <c r="N449">
        <f>_xlfn.STDEV.S('R1'!O449,'R2'!O449,'R3'!O449)</f>
        <v>1.9634325036704824E-2</v>
      </c>
    </row>
    <row r="450" spans="1:14" x14ac:dyDescent="0.25">
      <c r="A450">
        <f>-'R1'!H450</f>
        <v>-32</v>
      </c>
      <c r="B450">
        <f>DEGREES(ATAN(-SIN(RADIANS(('R1'!I450)))/(COS(RADIANS(Sheet1!A450))*COS(RADIANS('R1'!I450)))))</f>
        <v>0</v>
      </c>
      <c r="C450">
        <f>AVERAGE('R1'!J450,'R2'!J450,'R3'!J450)</f>
        <v>1.1741666666666666</v>
      </c>
      <c r="D450">
        <f>AVERAGE('R1'!K450,'R2'!K450,'R3'!K450)</f>
        <v>20.209327083333335</v>
      </c>
      <c r="E450">
        <f>AVERAGE('R1'!L450,'R2'!L450,'R3'!L450)</f>
        <v>0.12691160822537098</v>
      </c>
      <c r="F450">
        <f>AVERAGE('R1'!M450,'R2'!M450,'R3'!M450)</f>
        <v>2.311755993720912</v>
      </c>
      <c r="G450">
        <f>AVERAGE('R1'!N450,'R2'!N450,'R3'!N450)</f>
        <v>-0.85604698803718782</v>
      </c>
      <c r="H450">
        <f>AVERAGE('R1'!O450,'R2'!O450,'R3'!O450)</f>
        <v>-0.25807721712096576</v>
      </c>
      <c r="I450">
        <f t="shared" si="10"/>
        <v>3954.8530361689809</v>
      </c>
      <c r="K450">
        <f>_xlfn.STDEV.S('R1'!L450,'R2'!L450,'R3'!L450)</f>
        <v>8.8935277886566244E-3</v>
      </c>
      <c r="L450">
        <f>_xlfn.STDEV.S('R1'!M450,'R2'!M450,'R3'!M450)</f>
        <v>7.0224370383809758E-3</v>
      </c>
      <c r="M450">
        <f>_xlfn.STDEV.S('R1'!N450,'R2'!N450,'R3'!N450)</f>
        <v>5.7980287972777258E-3</v>
      </c>
      <c r="N450">
        <f>_xlfn.STDEV.S('R1'!O450,'R2'!O450,'R3'!O450)</f>
        <v>8.8260714502879471E-3</v>
      </c>
    </row>
    <row r="451" spans="1:14" x14ac:dyDescent="0.25">
      <c r="A451">
        <f>-'R1'!H451</f>
        <v>-32</v>
      </c>
      <c r="B451">
        <f>DEGREES(ATAN(-SIN(RADIANS(('R1'!I451)))/(COS(RADIANS(Sheet1!A451))*COS(RADIANS('R1'!I451)))))</f>
        <v>-4.7137278648813155</v>
      </c>
      <c r="C451">
        <f>AVERAGE('R1'!J451,'R2'!J451,'R3'!J451)</f>
        <v>1.1758333333333333</v>
      </c>
      <c r="D451">
        <f>AVERAGE('R1'!K451,'R2'!K451,'R3'!K451)</f>
        <v>20.087855583333333</v>
      </c>
      <c r="E451">
        <f>AVERAGE('R1'!L451,'R2'!L451,'R3'!L451)</f>
        <v>-0.22035241270319691</v>
      </c>
      <c r="F451">
        <f>AVERAGE('R1'!M451,'R2'!M451,'R3'!M451)</f>
        <v>2.2689351482697702</v>
      </c>
      <c r="G451">
        <f>AVERAGE('R1'!N451,'R2'!N451,'R3'!N451)</f>
        <v>-0.85038734645440339</v>
      </c>
      <c r="H451">
        <f>AVERAGE('R1'!O451,'R2'!O451,'R3'!O451)</f>
        <v>-0.28340559824920913</v>
      </c>
      <c r="I451">
        <f t="shared" ref="I451:I514" si="11">C451*D451*0.003/(1.8*10^-5)</f>
        <v>3936.6616983449067</v>
      </c>
      <c r="K451">
        <f>_xlfn.STDEV.S('R1'!L451,'R2'!L451,'R3'!L451)</f>
        <v>7.4835933910308685E-3</v>
      </c>
      <c r="L451">
        <f>_xlfn.STDEV.S('R1'!M451,'R2'!M451,'R3'!M451)</f>
        <v>1.1363820174349937E-2</v>
      </c>
      <c r="M451">
        <f>_xlfn.STDEV.S('R1'!N451,'R2'!N451,'R3'!N451)</f>
        <v>5.4825549808821244E-3</v>
      </c>
      <c r="N451">
        <f>_xlfn.STDEV.S('R1'!O451,'R2'!O451,'R3'!O451)</f>
        <v>6.099291703619017E-3</v>
      </c>
    </row>
    <row r="452" spans="1:14" x14ac:dyDescent="0.25">
      <c r="A452">
        <f>-'R1'!H452</f>
        <v>-32</v>
      </c>
      <c r="B452">
        <f>DEGREES(ATAN(-SIN(RADIANS(('R1'!I452)))/(COS(RADIANS(Sheet1!A452))*COS(RADIANS('R1'!I452)))))</f>
        <v>-9.4096915772201388</v>
      </c>
      <c r="C452">
        <f>AVERAGE('R1'!J452,'R2'!J452,'R3'!J452)</f>
        <v>1.1766666666666665</v>
      </c>
      <c r="D452">
        <f>AVERAGE('R1'!K452,'R2'!K452,'R3'!K452)</f>
        <v>19.965685833333335</v>
      </c>
      <c r="E452">
        <f>AVERAGE('R1'!L452,'R2'!L452,'R3'!L452)</f>
        <v>-0.51875923603275043</v>
      </c>
      <c r="F452">
        <f>AVERAGE('R1'!M452,'R2'!M452,'R3'!M452)</f>
        <v>2.1231689217054623</v>
      </c>
      <c r="G452">
        <f>AVERAGE('R1'!N452,'R2'!N452,'R3'!N452)</f>
        <v>-0.81502651416904381</v>
      </c>
      <c r="H452">
        <f>AVERAGE('R1'!O452,'R2'!O452,'R3'!O452)</f>
        <v>-0.36480948532486107</v>
      </c>
      <c r="I452">
        <f t="shared" si="11"/>
        <v>3915.49283287037</v>
      </c>
      <c r="K452">
        <f>_xlfn.STDEV.S('R1'!L452,'R2'!L452,'R3'!L452)</f>
        <v>6.0714059344132484E-3</v>
      </c>
      <c r="L452">
        <f>_xlfn.STDEV.S('R1'!M452,'R2'!M452,'R3'!M452)</f>
        <v>1.7580465897125891E-2</v>
      </c>
      <c r="M452">
        <f>_xlfn.STDEV.S('R1'!N452,'R2'!N452,'R3'!N452)</f>
        <v>1.292630633032019E-2</v>
      </c>
      <c r="N452">
        <f>_xlfn.STDEV.S('R1'!O452,'R2'!O452,'R3'!O452)</f>
        <v>1.0447755596410284E-2</v>
      </c>
    </row>
    <row r="453" spans="1:14" x14ac:dyDescent="0.25">
      <c r="A453">
        <f>-'R1'!H453</f>
        <v>-32</v>
      </c>
      <c r="B453">
        <f>DEGREES(ATAN(-SIN(RADIANS(('R1'!I453)))/(COS(RADIANS(Sheet1!A453))*COS(RADIANS('R1'!I453)))))</f>
        <v>-14.070864136056453</v>
      </c>
      <c r="C453">
        <f>AVERAGE('R1'!J453,'R2'!J453,'R3'!J453)</f>
        <v>1.1733333333333331</v>
      </c>
      <c r="D453">
        <f>AVERAGE('R1'!K453,'R2'!K453,'R3'!K453)</f>
        <v>19.875293833333334</v>
      </c>
      <c r="E453">
        <f>AVERAGE('R1'!L453,'R2'!L453,'R3'!L453)</f>
        <v>-0.79120724463461711</v>
      </c>
      <c r="F453">
        <f>AVERAGE('R1'!M453,'R2'!M453,'R3'!M453)</f>
        <v>2.0150946222468025</v>
      </c>
      <c r="G453">
        <f>AVERAGE('R1'!N453,'R2'!N453,'R3'!N453)</f>
        <v>-0.81716505109882942</v>
      </c>
      <c r="H453">
        <f>AVERAGE('R1'!O453,'R2'!O453,'R3'!O453)</f>
        <v>-0.45128577153373567</v>
      </c>
      <c r="I453">
        <f t="shared" si="11"/>
        <v>3886.7241274074072</v>
      </c>
      <c r="K453">
        <f>_xlfn.STDEV.S('R1'!L453,'R2'!L453,'R3'!L453)</f>
        <v>5.0237484138113955E-3</v>
      </c>
      <c r="L453">
        <f>_xlfn.STDEV.S('R1'!M453,'R2'!M453,'R3'!M453)</f>
        <v>5.2414220894441777E-3</v>
      </c>
      <c r="M453">
        <f>_xlfn.STDEV.S('R1'!N453,'R2'!N453,'R3'!N453)</f>
        <v>3.1300923780493905E-3</v>
      </c>
      <c r="N453">
        <f>_xlfn.STDEV.S('R1'!O453,'R2'!O453,'R3'!O453)</f>
        <v>2.9561956563577091E-3</v>
      </c>
    </row>
    <row r="454" spans="1:14" x14ac:dyDescent="0.25">
      <c r="A454">
        <f>-'R1'!H454</f>
        <v>-32</v>
      </c>
      <c r="B454">
        <f>DEGREES(ATAN(-SIN(RADIANS(('R1'!I454)))/(COS(RADIANS(Sheet1!A454))*COS(RADIANS('R1'!I454)))))</f>
        <v>-18.681627509923402</v>
      </c>
      <c r="C454">
        <f>AVERAGE('R1'!J454,'R2'!J454,'R3'!J454)</f>
        <v>1.1733333333333331</v>
      </c>
      <c r="D454">
        <f>AVERAGE('R1'!K454,'R2'!K454,'R3'!K454)</f>
        <v>20.028428666666667</v>
      </c>
      <c r="E454">
        <f>AVERAGE('R1'!L454,'R2'!L454,'R3'!L454)</f>
        <v>-1.0314262003631616</v>
      </c>
      <c r="F454">
        <f>AVERAGE('R1'!M454,'R2'!M454,'R3'!M454)</f>
        <v>1.9556858950678999</v>
      </c>
      <c r="G454">
        <f>AVERAGE('R1'!N454,'R2'!N454,'R3'!N454)</f>
        <v>-0.86170460384994174</v>
      </c>
      <c r="H454">
        <f>AVERAGE('R1'!O454,'R2'!O454,'R3'!O454)</f>
        <v>-0.5433742045400759</v>
      </c>
      <c r="I454">
        <f t="shared" si="11"/>
        <v>3916.670494814814</v>
      </c>
      <c r="K454">
        <f>_xlfn.STDEV.S('R1'!L454,'R2'!L454,'R3'!L454)</f>
        <v>7.6310519223313326E-3</v>
      </c>
      <c r="L454">
        <f>_xlfn.STDEV.S('R1'!M454,'R2'!M454,'R3'!M454)</f>
        <v>1.3375161436834457E-2</v>
      </c>
      <c r="M454">
        <f>_xlfn.STDEV.S('R1'!N454,'R2'!N454,'R3'!N454)</f>
        <v>8.0774248034702779E-3</v>
      </c>
      <c r="N454">
        <f>_xlfn.STDEV.S('R1'!O454,'R2'!O454,'R3'!O454)</f>
        <v>9.2399948174935031E-3</v>
      </c>
    </row>
    <row r="455" spans="1:14" x14ac:dyDescent="0.25">
      <c r="A455">
        <f>-'R1'!H455</f>
        <v>-32</v>
      </c>
      <c r="B455">
        <f>DEGREES(ATAN(-SIN(RADIANS(('R1'!I455)))/(COS(RADIANS(Sheet1!A455))*COS(RADIANS('R1'!I455)))))</f>
        <v>-23.228324501561271</v>
      </c>
      <c r="C455">
        <f>AVERAGE('R1'!J455,'R2'!J455,'R3'!J455)</f>
        <v>1.1733333333333331</v>
      </c>
      <c r="D455">
        <f>AVERAGE('R1'!K455,'R2'!K455,'R3'!K455)</f>
        <v>20.363213583333334</v>
      </c>
      <c r="E455">
        <f>AVERAGE('R1'!L455,'R2'!L455,'R3'!L455)</f>
        <v>-1.2526225568727052</v>
      </c>
      <c r="F455">
        <f>AVERAGE('R1'!M455,'R2'!M455,'R3'!M455)</f>
        <v>1.918346123226609</v>
      </c>
      <c r="G455">
        <f>AVERAGE('R1'!N455,'R2'!N455,'R3'!N455)</f>
        <v>-0.92895404972065754</v>
      </c>
      <c r="H455">
        <f>AVERAGE('R1'!O455,'R2'!O455,'R3'!O455)</f>
        <v>-0.64106384850982145</v>
      </c>
      <c r="I455">
        <f t="shared" si="11"/>
        <v>3982.1395451851849</v>
      </c>
      <c r="K455">
        <f>_xlfn.STDEV.S('R1'!L455,'R2'!L455,'R3'!L455)</f>
        <v>8.6104042183309751E-3</v>
      </c>
      <c r="L455">
        <f>_xlfn.STDEV.S('R1'!M455,'R2'!M455,'R3'!M455)</f>
        <v>1.2554816668614351E-2</v>
      </c>
      <c r="M455">
        <f>_xlfn.STDEV.S('R1'!N455,'R2'!N455,'R3'!N455)</f>
        <v>2.4597516283511958E-3</v>
      </c>
      <c r="N455">
        <f>_xlfn.STDEV.S('R1'!O455,'R2'!O455,'R3'!O455)</f>
        <v>1.1878775201489998E-2</v>
      </c>
    </row>
    <row r="456" spans="1:14" x14ac:dyDescent="0.25">
      <c r="A456">
        <f>-'R1'!H456</f>
        <v>-32</v>
      </c>
      <c r="B456">
        <f>DEGREES(ATAN(-SIN(RADIANS(('R1'!I456)))/(COS(RADIANS(Sheet1!A456))*COS(RADIANS('R1'!I456)))))</f>
        <v>-27.699654729206667</v>
      </c>
      <c r="C456">
        <f>AVERAGE('R1'!J456,'R2'!J456,'R3'!J456)</f>
        <v>1.1733333333333331</v>
      </c>
      <c r="D456">
        <f>AVERAGE('R1'!K456,'R2'!K456,'R3'!K456)</f>
        <v>20.649367416666667</v>
      </c>
      <c r="E456">
        <f>AVERAGE('R1'!L456,'R2'!L456,'R3'!L456)</f>
        <v>-1.4368368198690222</v>
      </c>
      <c r="F456">
        <f>AVERAGE('R1'!M456,'R2'!M456,'R3'!M456)</f>
        <v>1.9246043433939624</v>
      </c>
      <c r="G456">
        <f>AVERAGE('R1'!N456,'R2'!N456,'R3'!N456)</f>
        <v>-1.0123871386829391</v>
      </c>
      <c r="H456">
        <f>AVERAGE('R1'!O456,'R2'!O456,'R3'!O456)</f>
        <v>-0.77032373372567042</v>
      </c>
      <c r="I456">
        <f t="shared" si="11"/>
        <v>4038.0985170370363</v>
      </c>
      <c r="K456">
        <f>_xlfn.STDEV.S('R1'!L456,'R2'!L456,'R3'!L456)</f>
        <v>1.5803852046437486E-2</v>
      </c>
      <c r="L456">
        <f>_xlfn.STDEV.S('R1'!M456,'R2'!M456,'R3'!M456)</f>
        <v>4.5492984571743325E-3</v>
      </c>
      <c r="M456">
        <f>_xlfn.STDEV.S('R1'!N456,'R2'!N456,'R3'!N456)</f>
        <v>6.1632468317625319E-3</v>
      </c>
      <c r="N456">
        <f>_xlfn.STDEV.S('R1'!O456,'R2'!O456,'R3'!O456)</f>
        <v>5.4496623720256951E-3</v>
      </c>
    </row>
    <row r="457" spans="1:14" x14ac:dyDescent="0.25">
      <c r="A457">
        <f>-'R1'!H457</f>
        <v>-32</v>
      </c>
      <c r="B457">
        <f>DEGREES(ATAN(-SIN(RADIANS(('R1'!I457)))/(COS(RADIANS(Sheet1!A457))*COS(RADIANS('R1'!I457)))))</f>
        <v>-32.086900972819144</v>
      </c>
      <c r="C457">
        <f>AVERAGE('R1'!J457,'R2'!J457,'R3'!J457)</f>
        <v>1.1733333333333331</v>
      </c>
      <c r="D457">
        <f>AVERAGE('R1'!K457,'R2'!K457,'R3'!K457)</f>
        <v>20.888550333333331</v>
      </c>
      <c r="E457">
        <f>AVERAGE('R1'!L457,'R2'!L457,'R3'!L457)</f>
        <v>-1.6015746998991753</v>
      </c>
      <c r="F457">
        <f>AVERAGE('R1'!M457,'R2'!M457,'R3'!M457)</f>
        <v>1.9471907355024074</v>
      </c>
      <c r="G457">
        <f>AVERAGE('R1'!N457,'R2'!N457,'R3'!N457)</f>
        <v>-1.1077338062913704</v>
      </c>
      <c r="H457">
        <f>AVERAGE('R1'!O457,'R2'!O457,'R3'!O457)</f>
        <v>-0.90373239297104779</v>
      </c>
      <c r="I457">
        <f t="shared" si="11"/>
        <v>4084.8720651851845</v>
      </c>
      <c r="K457">
        <f>_xlfn.STDEV.S('R1'!L457,'R2'!L457,'R3'!L457)</f>
        <v>1.2541359665791662E-2</v>
      </c>
      <c r="L457">
        <f>_xlfn.STDEV.S('R1'!M457,'R2'!M457,'R3'!M457)</f>
        <v>4.4261009260017862E-3</v>
      </c>
      <c r="M457">
        <f>_xlfn.STDEV.S('R1'!N457,'R2'!N457,'R3'!N457)</f>
        <v>8.616821043597166E-3</v>
      </c>
      <c r="N457">
        <f>_xlfn.STDEV.S('R1'!O457,'R2'!O457,'R3'!O457)</f>
        <v>3.1197073334818665E-3</v>
      </c>
    </row>
    <row r="458" spans="1:14" x14ac:dyDescent="0.25">
      <c r="A458">
        <f>-'R1'!H458</f>
        <v>-32</v>
      </c>
      <c r="B458">
        <f>DEGREES(ATAN(-SIN(RADIANS(('R1'!I458)))/(COS(RADIANS(Sheet1!A458))*COS(RADIANS('R1'!I458)))))</f>
        <v>-36.383993076218225</v>
      </c>
      <c r="C458">
        <f>AVERAGE('R1'!J458,'R2'!J458,'R3'!J458)</f>
        <v>1.1725000000000001</v>
      </c>
      <c r="D458">
        <f>AVERAGE('R1'!K458,'R2'!K458,'R3'!K458)</f>
        <v>21.435478</v>
      </c>
      <c r="E458">
        <f>AVERAGE('R1'!L458,'R2'!L458,'R3'!L458)</f>
        <v>-1.7659521474020086</v>
      </c>
      <c r="F458">
        <f>AVERAGE('R1'!M458,'R2'!M458,'R3'!M458)</f>
        <v>2.0028024013375658</v>
      </c>
      <c r="G458">
        <f>AVERAGE('R1'!N458,'R2'!N458,'R3'!N458)</f>
        <v>-1.2373087315018685</v>
      </c>
      <c r="H458">
        <f>AVERAGE('R1'!O458,'R2'!O458,'R3'!O458)</f>
        <v>-1.0526425185002806</v>
      </c>
      <c r="I458">
        <f t="shared" si="11"/>
        <v>4188.8496591666672</v>
      </c>
      <c r="K458">
        <f>_xlfn.STDEV.S('R1'!L458,'R2'!L458,'R3'!L458)</f>
        <v>8.5226505439853148E-3</v>
      </c>
      <c r="L458">
        <f>_xlfn.STDEV.S('R1'!M458,'R2'!M458,'R3'!M458)</f>
        <v>2.7068631931128481E-3</v>
      </c>
      <c r="M458">
        <f>_xlfn.STDEV.S('R1'!N458,'R2'!N458,'R3'!N458)</f>
        <v>5.6719896862165104E-3</v>
      </c>
      <c r="N458">
        <f>_xlfn.STDEV.S('R1'!O458,'R2'!O458,'R3'!O458)</f>
        <v>3.0551426538792856E-3</v>
      </c>
    </row>
    <row r="459" spans="1:14" x14ac:dyDescent="0.25">
      <c r="A459">
        <f>-'R1'!H459</f>
        <v>-32</v>
      </c>
      <c r="B459">
        <f>DEGREES(ATAN(-SIN(RADIANS(('R1'!I459)))/(COS(RADIANS(Sheet1!A459))*COS(RADIANS('R1'!I459)))))</f>
        <v>-40.587432696870117</v>
      </c>
      <c r="C459">
        <f>AVERAGE('R1'!J459,'R2'!J459,'R3'!J459)</f>
        <v>1.1758333333333333</v>
      </c>
      <c r="D459">
        <f>AVERAGE('R1'!K459,'R2'!K459,'R3'!K459)</f>
        <v>21.540903499999999</v>
      </c>
      <c r="E459">
        <f>AVERAGE('R1'!L459,'R2'!L459,'R3'!L459)</f>
        <v>-1.9439803635874304</v>
      </c>
      <c r="F459">
        <f>AVERAGE('R1'!M459,'R2'!M459,'R3'!M459)</f>
        <v>2.08907834868636</v>
      </c>
      <c r="G459">
        <f>AVERAGE('R1'!N459,'R2'!N459,'R3'!N459)</f>
        <v>-1.4080514733745615</v>
      </c>
      <c r="H459">
        <f>AVERAGE('R1'!O459,'R2'!O459,'R3'!O459)</f>
        <v>-1.213995801385735</v>
      </c>
      <c r="I459">
        <f t="shared" si="11"/>
        <v>4221.4187275694439</v>
      </c>
      <c r="K459">
        <f>_xlfn.STDEV.S('R1'!L459,'R2'!L459,'R3'!L459)</f>
        <v>2.1126172397488486E-3</v>
      </c>
      <c r="L459">
        <f>_xlfn.STDEV.S('R1'!M459,'R2'!M459,'R3'!M459)</f>
        <v>2.9525520632170473E-3</v>
      </c>
      <c r="M459">
        <f>_xlfn.STDEV.S('R1'!N459,'R2'!N459,'R3'!N459)</f>
        <v>1.9899497112652194E-3</v>
      </c>
      <c r="N459">
        <f>_xlfn.STDEV.S('R1'!O459,'R2'!O459,'R3'!O459)</f>
        <v>1.2468543359788775E-3</v>
      </c>
    </row>
    <row r="460" spans="1:14" x14ac:dyDescent="0.25">
      <c r="A460">
        <f>-'R1'!H460</f>
        <v>-32</v>
      </c>
      <c r="B460">
        <f>DEGREES(ATAN(-SIN(RADIANS(('R1'!I460)))/(COS(RADIANS(Sheet1!A460))*COS(RADIANS('R1'!I460)))))</f>
        <v>-44.69611169166604</v>
      </c>
      <c r="C460">
        <f>AVERAGE('R1'!J460,'R2'!J460,'R3'!J460)</f>
        <v>1.1766666666666665</v>
      </c>
      <c r="D460">
        <f>AVERAGE('R1'!K460,'R2'!K460,'R3'!K460)</f>
        <v>21.322872333333333</v>
      </c>
      <c r="E460">
        <f>AVERAGE('R1'!L460,'R2'!L460,'R3'!L460)</f>
        <v>-2.159288799105251</v>
      </c>
      <c r="F460">
        <f>AVERAGE('R1'!M460,'R2'!M460,'R3'!M460)</f>
        <v>2.2457584362713736</v>
      </c>
      <c r="G460">
        <f>AVERAGE('R1'!N460,'R2'!N460,'R3'!N460)</f>
        <v>-1.6602201276497199</v>
      </c>
      <c r="H460">
        <f>AVERAGE('R1'!O460,'R2'!O460,'R3'!O460)</f>
        <v>-1.4133988289854338</v>
      </c>
      <c r="I460">
        <f t="shared" si="11"/>
        <v>4181.6521853703698</v>
      </c>
      <c r="K460">
        <f>_xlfn.STDEV.S('R1'!L460,'R2'!L460,'R3'!L460)</f>
        <v>3.4574957471797882E-3</v>
      </c>
      <c r="L460">
        <f>_xlfn.STDEV.S('R1'!M460,'R2'!M460,'R3'!M460)</f>
        <v>7.4335501572616522E-3</v>
      </c>
      <c r="M460">
        <f>_xlfn.STDEV.S('R1'!N460,'R2'!N460,'R3'!N460)</f>
        <v>4.6816163448201494E-3</v>
      </c>
      <c r="N460">
        <f>_xlfn.STDEV.S('R1'!O460,'R2'!O460,'R3'!O460)</f>
        <v>2.2166752866098266E-3</v>
      </c>
    </row>
    <row r="461" spans="1:14" x14ac:dyDescent="0.25">
      <c r="A461">
        <f>-'R1'!H461</f>
        <v>-32</v>
      </c>
      <c r="B461">
        <f>DEGREES(ATAN(-SIN(RADIANS(('R1'!I461)))/(COS(RADIANS(Sheet1!A461))*COS(RADIANS('R1'!I461)))))</f>
        <v>-48.711059881009497</v>
      </c>
      <c r="C461">
        <f>AVERAGE('R1'!J461,'R2'!J461,'R3'!J461)</f>
        <v>1.1741666666666666</v>
      </c>
      <c r="D461">
        <f>AVERAGE('R1'!K461,'R2'!K461,'R3'!K461)</f>
        <v>21.094090250000001</v>
      </c>
      <c r="E461">
        <f>AVERAGE('R1'!L461,'R2'!L461,'R3'!L461)</f>
        <v>-2.4216476617424196</v>
      </c>
      <c r="F461">
        <f>AVERAGE('R1'!M461,'R2'!M461,'R3'!M461)</f>
        <v>2.470308833760642</v>
      </c>
      <c r="G461">
        <f>AVERAGE('R1'!N461,'R2'!N461,'R3'!N461)</f>
        <v>-2.0060021573592342</v>
      </c>
      <c r="H461">
        <f>AVERAGE('R1'!O461,'R2'!O461,'R3'!O461)</f>
        <v>-1.660093703877271</v>
      </c>
      <c r="I461">
        <f t="shared" si="11"/>
        <v>4127.9962725347223</v>
      </c>
      <c r="K461">
        <f>_xlfn.STDEV.S('R1'!L461,'R2'!L461,'R3'!L461)</f>
        <v>2.9449089044715584E-3</v>
      </c>
      <c r="L461">
        <f>_xlfn.STDEV.S('R1'!M461,'R2'!M461,'R3'!M461)</f>
        <v>8.592578829136898E-3</v>
      </c>
      <c r="M461">
        <f>_xlfn.STDEV.S('R1'!N461,'R2'!N461,'R3'!N461)</f>
        <v>2.7507242926399092E-3</v>
      </c>
      <c r="N461">
        <f>_xlfn.STDEV.S('R1'!O461,'R2'!O461,'R3'!O461)</f>
        <v>4.9718640813496617E-3</v>
      </c>
    </row>
    <row r="462" spans="1:14" x14ac:dyDescent="0.25">
      <c r="A462">
        <f>-'R1'!H462</f>
        <v>-36</v>
      </c>
      <c r="B462">
        <f>DEGREES(ATAN(-SIN(RADIANS(('R1'!I462)))/(COS(RADIANS(Sheet1!A462))*COS(RADIANS('R1'!I462)))))</f>
        <v>50.045016920059574</v>
      </c>
      <c r="C462">
        <f>AVERAGE('R1'!J462,'R2'!J462,'R3'!J462)</f>
        <v>1.1733333333333331</v>
      </c>
      <c r="D462">
        <f>AVERAGE('R1'!K462,'R2'!K462,'R3'!K462)</f>
        <v>20.89353925</v>
      </c>
      <c r="E462">
        <f>AVERAGE('R1'!L462,'R2'!L462,'R3'!L462)</f>
        <v>2.308112014507274</v>
      </c>
      <c r="F462">
        <f>AVERAGE('R1'!M462,'R2'!M462,'R3'!M462)</f>
        <v>2.3358522669234998</v>
      </c>
      <c r="G462">
        <f>AVERAGE('R1'!N462,'R2'!N462,'R3'!N462)</f>
        <v>-1.874328073563144</v>
      </c>
      <c r="H462">
        <f>AVERAGE('R1'!O462,'R2'!O462,'R3'!O462)</f>
        <v>-1.6638063389143047</v>
      </c>
      <c r="I462">
        <f t="shared" si="11"/>
        <v>4085.8476755555548</v>
      </c>
      <c r="K462">
        <f>_xlfn.STDEV.S('R1'!L462,'R2'!L462,'R3'!L462)</f>
        <v>8.177252370369861E-3</v>
      </c>
      <c r="L462">
        <f>_xlfn.STDEV.S('R1'!M462,'R2'!M462,'R3'!M462)</f>
        <v>4.977556599953443E-3</v>
      </c>
      <c r="M462">
        <f>_xlfn.STDEV.S('R1'!N462,'R2'!N462,'R3'!N462)</f>
        <v>7.479399168662291E-3</v>
      </c>
      <c r="N462">
        <f>_xlfn.STDEV.S('R1'!O462,'R2'!O462,'R3'!O462)</f>
        <v>8.1617652722005395E-3</v>
      </c>
    </row>
    <row r="463" spans="1:14" x14ac:dyDescent="0.25">
      <c r="A463">
        <f>-'R1'!H463</f>
        <v>-36</v>
      </c>
      <c r="B463">
        <f>DEGREES(ATAN(-SIN(RADIANS(('R1'!I463)))/(COS(RADIANS(Sheet1!A463))*COS(RADIANS('R1'!I463)))))</f>
        <v>46.045688589723383</v>
      </c>
      <c r="C463">
        <f>AVERAGE('R1'!J463,'R2'!J463,'R3'!J463)</f>
        <v>1.1733333333333331</v>
      </c>
      <c r="D463">
        <f>AVERAGE('R1'!K463,'R2'!K463,'R3'!K463)</f>
        <v>20.710648166666669</v>
      </c>
      <c r="E463">
        <f>AVERAGE('R1'!L463,'R2'!L463,'R3'!L463)</f>
        <v>2.1450847377526223</v>
      </c>
      <c r="F463">
        <f>AVERAGE('R1'!M463,'R2'!M463,'R3'!M463)</f>
        <v>2.2322799510023912</v>
      </c>
      <c r="G463">
        <f>AVERAGE('R1'!N463,'R2'!N463,'R3'!N463)</f>
        <v>-1.6663036379053524</v>
      </c>
      <c r="H463">
        <f>AVERAGE('R1'!O463,'R2'!O463,'R3'!O463)</f>
        <v>-1.4838023079311065</v>
      </c>
      <c r="I463">
        <f t="shared" si="11"/>
        <v>4050.0823081481476</v>
      </c>
      <c r="K463">
        <f>_xlfn.STDEV.S('R1'!L463,'R2'!L463,'R3'!L463)</f>
        <v>1.1159381667228069E-3</v>
      </c>
      <c r="L463">
        <f>_xlfn.STDEV.S('R1'!M463,'R2'!M463,'R3'!M463)</f>
        <v>3.4057775669726884E-3</v>
      </c>
      <c r="M463">
        <f>_xlfn.STDEV.S('R1'!N463,'R2'!N463,'R3'!N463)</f>
        <v>3.9023539920110808E-3</v>
      </c>
      <c r="N463">
        <f>_xlfn.STDEV.S('R1'!O463,'R2'!O463,'R3'!O463)</f>
        <v>3.2095121240815184E-3</v>
      </c>
    </row>
    <row r="464" spans="1:14" x14ac:dyDescent="0.25">
      <c r="A464">
        <f>-'R1'!H464</f>
        <v>-36</v>
      </c>
      <c r="B464">
        <f>DEGREES(ATAN(-SIN(RADIANS(('R1'!I464)))/(COS(RADIANS(Sheet1!A464))*COS(RADIANS('R1'!I464)))))</f>
        <v>41.925613925819086</v>
      </c>
      <c r="C464">
        <f>AVERAGE('R1'!J464,'R2'!J464,'R3'!J464)</f>
        <v>1.1733333333333331</v>
      </c>
      <c r="D464">
        <f>AVERAGE('R1'!K464,'R2'!K464,'R3'!K464)</f>
        <v>20.613906499999999</v>
      </c>
      <c r="E464">
        <f>AVERAGE('R1'!L464,'R2'!L464,'R3'!L464)</f>
        <v>1.9896668872067937</v>
      </c>
      <c r="F464">
        <f>AVERAGE('R1'!M464,'R2'!M464,'R3'!M464)</f>
        <v>2.1280603562057308</v>
      </c>
      <c r="G464">
        <f>AVERAGE('R1'!N464,'R2'!N464,'R3'!N464)</f>
        <v>-1.4744815768407511</v>
      </c>
      <c r="H464">
        <f>AVERAGE('R1'!O464,'R2'!O464,'R3'!O464)</f>
        <v>-1.3229789453930634</v>
      </c>
      <c r="I464">
        <f t="shared" si="11"/>
        <v>4031.1639377777765</v>
      </c>
      <c r="K464">
        <f>_xlfn.STDEV.S('R1'!L464,'R2'!L464,'R3'!L464)</f>
        <v>5.0592334223955966E-3</v>
      </c>
      <c r="L464">
        <f>_xlfn.STDEV.S('R1'!M464,'R2'!M464,'R3'!M464)</f>
        <v>1.1413178882840177E-2</v>
      </c>
      <c r="M464">
        <f>_xlfn.STDEV.S('R1'!N464,'R2'!N464,'R3'!N464)</f>
        <v>1.2354156161839346E-2</v>
      </c>
      <c r="N464">
        <f>_xlfn.STDEV.S('R1'!O464,'R2'!O464,'R3'!O464)</f>
        <v>8.2815018142681704E-3</v>
      </c>
    </row>
    <row r="465" spans="1:14" x14ac:dyDescent="0.25">
      <c r="A465">
        <f>-'R1'!H465</f>
        <v>-36</v>
      </c>
      <c r="B465">
        <f>DEGREES(ATAN(-SIN(RADIANS(('R1'!I465)))/(COS(RADIANS(Sheet1!A465))*COS(RADIANS('R1'!I465)))))</f>
        <v>37.681815805789164</v>
      </c>
      <c r="C465">
        <f>AVERAGE('R1'!J465,'R2'!J465,'R3'!J465)</f>
        <v>1.1741666666666666</v>
      </c>
      <c r="D465">
        <f>AVERAGE('R1'!K465,'R2'!K465,'R3'!K465)</f>
        <v>20.508274</v>
      </c>
      <c r="E465">
        <f>AVERAGE('R1'!L465,'R2'!L465,'R3'!L465)</f>
        <v>1.8532912197982558</v>
      </c>
      <c r="F465">
        <f>AVERAGE('R1'!M465,'R2'!M465,'R3'!M465)</f>
        <v>2.0521725706046881</v>
      </c>
      <c r="G465">
        <f>AVERAGE('R1'!N465,'R2'!N465,'R3'!N465)</f>
        <v>-1.3291749303996609</v>
      </c>
      <c r="H465">
        <f>AVERAGE('R1'!O465,'R2'!O465,'R3'!O465)</f>
        <v>-1.187204248241867</v>
      </c>
      <c r="I465">
        <f t="shared" si="11"/>
        <v>4013.3552869444443</v>
      </c>
      <c r="K465">
        <f>_xlfn.STDEV.S('R1'!L465,'R2'!L465,'R3'!L465)</f>
        <v>2.3272091837663123E-3</v>
      </c>
      <c r="L465">
        <f>_xlfn.STDEV.S('R1'!M465,'R2'!M465,'R3'!M465)</f>
        <v>4.7470522144504659E-3</v>
      </c>
      <c r="M465">
        <f>_xlfn.STDEV.S('R1'!N465,'R2'!N465,'R3'!N465)</f>
        <v>4.0520134441527859E-3</v>
      </c>
      <c r="N465">
        <f>_xlfn.STDEV.S('R1'!O465,'R2'!O465,'R3'!O465)</f>
        <v>5.0337393896284595E-3</v>
      </c>
    </row>
    <row r="466" spans="1:14" x14ac:dyDescent="0.25">
      <c r="A466">
        <f>-'R1'!H466</f>
        <v>-36</v>
      </c>
      <c r="B466">
        <f>DEGREES(ATAN(-SIN(RADIANS(('R1'!I466)))/(COS(RADIANS(Sheet1!A466))*COS(RADIANS('R1'!I466)))))</f>
        <v>33.314077817276932</v>
      </c>
      <c r="C466">
        <f>AVERAGE('R1'!J466,'R2'!J466,'R3'!J466)</f>
        <v>1.1758333333333333</v>
      </c>
      <c r="D466">
        <f>AVERAGE('R1'!K466,'R2'!K466,'R3'!K466)</f>
        <v>20.355192583333334</v>
      </c>
      <c r="E466">
        <f>AVERAGE('R1'!L466,'R2'!L466,'R3'!L466)</f>
        <v>1.7138603083460409</v>
      </c>
      <c r="F466">
        <f>AVERAGE('R1'!M466,'R2'!M466,'R3'!M466)</f>
        <v>2.02929854076126</v>
      </c>
      <c r="G466">
        <f>AVERAGE('R1'!N466,'R2'!N466,'R3'!N466)</f>
        <v>-1.2306722395412015</v>
      </c>
      <c r="H466">
        <f>AVERAGE('R1'!O466,'R2'!O466,'R3'!O466)</f>
        <v>-1.062551096076771</v>
      </c>
      <c r="I466">
        <f t="shared" si="11"/>
        <v>3989.0523243171301</v>
      </c>
      <c r="K466">
        <f>_xlfn.STDEV.S('R1'!L466,'R2'!L466,'R3'!L466)</f>
        <v>5.8607981646683982E-3</v>
      </c>
      <c r="L466">
        <f>_xlfn.STDEV.S('R1'!M466,'R2'!M466,'R3'!M466)</f>
        <v>8.5128930787670577E-3</v>
      </c>
      <c r="M466">
        <f>_xlfn.STDEV.S('R1'!N466,'R2'!N466,'R3'!N466)</f>
        <v>1.1513352641247948E-2</v>
      </c>
      <c r="N466">
        <f>_xlfn.STDEV.S('R1'!O466,'R2'!O466,'R3'!O466)</f>
        <v>7.8251292059543093E-3</v>
      </c>
    </row>
    <row r="467" spans="1:14" x14ac:dyDescent="0.25">
      <c r="A467">
        <f>-'R1'!H467</f>
        <v>-36</v>
      </c>
      <c r="B467">
        <f>DEGREES(ATAN(-SIN(RADIANS(('R1'!I467)))/(COS(RADIANS(Sheet1!A467))*COS(RADIANS('R1'!I467)))))</f>
        <v>28.825436554649738</v>
      </c>
      <c r="C467">
        <f>AVERAGE('R1'!J467,'R2'!J467,'R3'!J467)</f>
        <v>1.1733333333333331</v>
      </c>
      <c r="D467">
        <f>AVERAGE('R1'!K467,'R2'!K467,'R3'!K467)</f>
        <v>20.587272416666668</v>
      </c>
      <c r="E467">
        <f>AVERAGE('R1'!L467,'R2'!L467,'R3'!L467)</f>
        <v>1.566816780571588</v>
      </c>
      <c r="F467">
        <f>AVERAGE('R1'!M467,'R2'!M467,'R3'!M467)</f>
        <v>2.0535000398617709</v>
      </c>
      <c r="G467">
        <f>AVERAGE('R1'!N467,'R2'!N467,'R3'!N467)</f>
        <v>-1.1683549099049784</v>
      </c>
      <c r="H467">
        <f>AVERAGE('R1'!O467,'R2'!O467,'R3'!O467)</f>
        <v>-0.95422012616900886</v>
      </c>
      <c r="I467">
        <f t="shared" si="11"/>
        <v>4025.9554948148138</v>
      </c>
      <c r="K467">
        <f>_xlfn.STDEV.S('R1'!L467,'R2'!L467,'R3'!L467)</f>
        <v>4.4958064941039086E-3</v>
      </c>
      <c r="L467">
        <f>_xlfn.STDEV.S('R1'!M467,'R2'!M467,'R3'!M467)</f>
        <v>3.4150127334166298E-3</v>
      </c>
      <c r="M467">
        <f>_xlfn.STDEV.S('R1'!N467,'R2'!N467,'R3'!N467)</f>
        <v>3.3396264960515974E-3</v>
      </c>
      <c r="N467">
        <f>_xlfn.STDEV.S('R1'!O467,'R2'!O467,'R3'!O467)</f>
        <v>7.1841682255246392E-3</v>
      </c>
    </row>
    <row r="468" spans="1:14" x14ac:dyDescent="0.25">
      <c r="A468">
        <f>-'R1'!H468</f>
        <v>-36</v>
      </c>
      <c r="B468">
        <f>DEGREES(ATAN(-SIN(RADIANS(('R1'!I468)))/(COS(RADIANS(Sheet1!A468))*COS(RADIANS('R1'!I468)))))</f>
        <v>24.22259689172926</v>
      </c>
      <c r="C468">
        <f>AVERAGE('R1'!J468,'R2'!J468,'R3'!J468)</f>
        <v>1.1733333333333331</v>
      </c>
      <c r="D468">
        <f>AVERAGE('R1'!K468,'R2'!K468,'R3'!K468)</f>
        <v>20.958904499999999</v>
      </c>
      <c r="E468">
        <f>AVERAGE('R1'!L468,'R2'!L468,'R3'!L468)</f>
        <v>1.3964626776618931</v>
      </c>
      <c r="F468">
        <f>AVERAGE('R1'!M468,'R2'!M468,'R3'!M468)</f>
        <v>2.0967507012364694</v>
      </c>
      <c r="G468">
        <f>AVERAGE('R1'!N468,'R2'!N468,'R3'!N468)</f>
        <v>-1.1139191868250762</v>
      </c>
      <c r="H468">
        <f>AVERAGE('R1'!O468,'R2'!O468,'R3'!O468)</f>
        <v>-0.85886889546169842</v>
      </c>
      <c r="I468">
        <f t="shared" si="11"/>
        <v>4098.6302133333329</v>
      </c>
      <c r="K468">
        <f>_xlfn.STDEV.S('R1'!L468,'R2'!L468,'R3'!L468)</f>
        <v>7.2564694908964699E-3</v>
      </c>
      <c r="L468">
        <f>_xlfn.STDEV.S('R1'!M468,'R2'!M468,'R3'!M468)</f>
        <v>2.3544810808241337E-3</v>
      </c>
      <c r="M468">
        <f>_xlfn.STDEV.S('R1'!N468,'R2'!N468,'R3'!N468)</f>
        <v>1.8316571308516776E-3</v>
      </c>
      <c r="N468">
        <f>_xlfn.STDEV.S('R1'!O468,'R2'!O468,'R3'!O468)</f>
        <v>9.2636686714050974E-3</v>
      </c>
    </row>
    <row r="469" spans="1:14" x14ac:dyDescent="0.25">
      <c r="A469">
        <f>-'R1'!H469</f>
        <v>-36</v>
      </c>
      <c r="B469">
        <f>DEGREES(ATAN(-SIN(RADIANS(('R1'!I469)))/(COS(RADIANS(Sheet1!A469))*COS(RADIANS('R1'!I469)))))</f>
        <v>19.516199251096932</v>
      </c>
      <c r="C469">
        <f>AVERAGE('R1'!J469,'R2'!J469,'R3'!J469)</f>
        <v>1.1749999999999998</v>
      </c>
      <c r="D469">
        <f>AVERAGE('R1'!K469,'R2'!K469,'R3'!K469)</f>
        <v>20.906189666666666</v>
      </c>
      <c r="E469">
        <f>AVERAGE('R1'!L469,'R2'!L469,'R3'!L469)</f>
        <v>1.2135127256454943</v>
      </c>
      <c r="F469">
        <f>AVERAGE('R1'!M469,'R2'!M469,'R3'!M469)</f>
        <v>2.158509934124083</v>
      </c>
      <c r="G469">
        <f>AVERAGE('R1'!N469,'R2'!N469,'R3'!N469)</f>
        <v>-1.080179922070913</v>
      </c>
      <c r="H469">
        <f>AVERAGE('R1'!O469,'R2'!O469,'R3'!O469)</f>
        <v>-0.77520706606800882</v>
      </c>
      <c r="I469">
        <f t="shared" si="11"/>
        <v>4094.1288097222214</v>
      </c>
      <c r="K469">
        <f>_xlfn.STDEV.S('R1'!L469,'R2'!L469,'R3'!L469)</f>
        <v>9.0092341762514367E-3</v>
      </c>
      <c r="L469">
        <f>_xlfn.STDEV.S('R1'!M469,'R2'!M469,'R3'!M469)</f>
        <v>6.9815657110313513E-3</v>
      </c>
      <c r="M469">
        <f>_xlfn.STDEV.S('R1'!N469,'R2'!N469,'R3'!N469)</f>
        <v>7.5944447655659723E-3</v>
      </c>
      <c r="N469">
        <f>_xlfn.STDEV.S('R1'!O469,'R2'!O469,'R3'!O469)</f>
        <v>1.1426937675850278E-2</v>
      </c>
    </row>
    <row r="470" spans="1:14" x14ac:dyDescent="0.25">
      <c r="A470">
        <f>-'R1'!H470</f>
        <v>-36</v>
      </c>
      <c r="B470">
        <f>DEGREES(ATAN(-SIN(RADIANS(('R1'!I470)))/(COS(RADIANS(Sheet1!A470))*COS(RADIANS('R1'!I470)))))</f>
        <v>14.720865361542916</v>
      </c>
      <c r="C470">
        <f>AVERAGE('R1'!J470,'R2'!J470,'R3'!J470)</f>
        <v>1.1733333333333336</v>
      </c>
      <c r="D470">
        <f>AVERAGE('R1'!K470,'R2'!K470,'R3'!K470)</f>
        <v>20.738403416666667</v>
      </c>
      <c r="E470">
        <f>AVERAGE('R1'!L470,'R2'!L470,'R3'!L470)</f>
        <v>1.0008394710205597</v>
      </c>
      <c r="F470">
        <f>AVERAGE('R1'!M470,'R2'!M470,'R3'!M470)</f>
        <v>2.2405342494547709</v>
      </c>
      <c r="G470">
        <f>AVERAGE('R1'!N470,'R2'!N470,'R3'!N470)</f>
        <v>-1.057239010686005</v>
      </c>
      <c r="H470">
        <f>AVERAGE('R1'!O470,'R2'!O470,'R3'!O470)</f>
        <v>-0.70461794454696536</v>
      </c>
      <c r="I470">
        <f t="shared" si="11"/>
        <v>4055.510001481482</v>
      </c>
      <c r="K470">
        <f>_xlfn.STDEV.S('R1'!L470,'R2'!L470,'R3'!L470)</f>
        <v>8.3797891816442364E-3</v>
      </c>
      <c r="L470">
        <f>_xlfn.STDEV.S('R1'!M470,'R2'!M470,'R3'!M470)</f>
        <v>7.400601399787321E-3</v>
      </c>
      <c r="M470">
        <f>_xlfn.STDEV.S('R1'!N470,'R2'!N470,'R3'!N470)</f>
        <v>8.6269538022565422E-3</v>
      </c>
      <c r="N470">
        <f>_xlfn.STDEV.S('R1'!O470,'R2'!O470,'R3'!O470)</f>
        <v>1.2747954210664129E-2</v>
      </c>
    </row>
    <row r="471" spans="1:14" x14ac:dyDescent="0.25">
      <c r="A471">
        <f>-'R1'!H471</f>
        <v>-36</v>
      </c>
      <c r="B471">
        <f>DEGREES(ATAN(-SIN(RADIANS(('R1'!I471)))/(COS(RADIANS(Sheet1!A471))*COS(RADIANS('R1'!I471)))))</f>
        <v>9.8549609037615156</v>
      </c>
      <c r="C471">
        <f>AVERAGE('R1'!J471,'R2'!J471,'R3'!J471)</f>
        <v>1.1733333333333331</v>
      </c>
      <c r="D471">
        <f>AVERAGE('R1'!K471,'R2'!K471,'R3'!K471)</f>
        <v>20.604931583333336</v>
      </c>
      <c r="E471">
        <f>AVERAGE('R1'!L471,'R2'!L471,'R3'!L471)</f>
        <v>0.77666023083153146</v>
      </c>
      <c r="F471">
        <f>AVERAGE('R1'!M471,'R2'!M471,'R3'!M471)</f>
        <v>2.3426057318710343</v>
      </c>
      <c r="G471">
        <f>AVERAGE('R1'!N471,'R2'!N471,'R3'!N471)</f>
        <v>-1.061764541792378</v>
      </c>
      <c r="H471">
        <f>AVERAGE('R1'!O471,'R2'!O471,'R3'!O471)</f>
        <v>-0.6416150360296482</v>
      </c>
      <c r="I471">
        <f t="shared" si="11"/>
        <v>4029.4088429629628</v>
      </c>
      <c r="K471">
        <f>_xlfn.STDEV.S('R1'!L471,'R2'!L471,'R3'!L471)</f>
        <v>5.4209934184610373E-3</v>
      </c>
      <c r="L471">
        <f>_xlfn.STDEV.S('R1'!M471,'R2'!M471,'R3'!M471)</f>
        <v>1.067155312878239E-2</v>
      </c>
      <c r="M471">
        <f>_xlfn.STDEV.S('R1'!N471,'R2'!N471,'R3'!N471)</f>
        <v>8.6634850592527922E-3</v>
      </c>
      <c r="N471">
        <f>_xlfn.STDEV.S('R1'!O471,'R2'!O471,'R3'!O471)</f>
        <v>1.0275609536739281E-2</v>
      </c>
    </row>
    <row r="472" spans="1:14" x14ac:dyDescent="0.25">
      <c r="A472">
        <f>-'R1'!H472</f>
        <v>-36</v>
      </c>
      <c r="B472">
        <f>DEGREES(ATAN(-SIN(RADIANS(('R1'!I472)))/(COS(RADIANS(Sheet1!A472))*COS(RADIANS('R1'!I472)))))</f>
        <v>4.940042441862353</v>
      </c>
      <c r="C472">
        <f>AVERAGE('R1'!J472,'R2'!J472,'R3'!J472)</f>
        <v>1.1741666666666666</v>
      </c>
      <c r="D472">
        <f>AVERAGE('R1'!K472,'R2'!K472,'R3'!K472)</f>
        <v>20.582306833333334</v>
      </c>
      <c r="E472">
        <f>AVERAGE('R1'!L472,'R2'!L472,'R3'!L472)</f>
        <v>0.49894109137993464</v>
      </c>
      <c r="F472">
        <f>AVERAGE('R1'!M472,'R2'!M472,'R3'!M472)</f>
        <v>2.5122216647513156</v>
      </c>
      <c r="G472">
        <f>AVERAGE('R1'!N472,'R2'!N472,'R3'!N472)</f>
        <v>-1.1188994022028647</v>
      </c>
      <c r="H472">
        <f>AVERAGE('R1'!O472,'R2'!O472,'R3'!O472)</f>
        <v>-0.57731086291231526</v>
      </c>
      <c r="I472">
        <f t="shared" si="11"/>
        <v>4027.8431011342591</v>
      </c>
      <c r="K472">
        <f>_xlfn.STDEV.S('R1'!L472,'R2'!L472,'R3'!L472)</f>
        <v>1.2442114913209281E-2</v>
      </c>
      <c r="L472">
        <f>_xlfn.STDEV.S('R1'!M472,'R2'!M472,'R3'!M472)</f>
        <v>1.2080326987554107E-2</v>
      </c>
      <c r="M472">
        <f>_xlfn.STDEV.S('R1'!N472,'R2'!N472,'R3'!N472)</f>
        <v>9.1018238044985895E-3</v>
      </c>
      <c r="N472">
        <f>_xlfn.STDEV.S('R1'!O472,'R2'!O472,'R3'!O472)</f>
        <v>1.42202548460676E-2</v>
      </c>
    </row>
    <row r="473" spans="1:14" x14ac:dyDescent="0.25">
      <c r="A473">
        <f>-'R1'!H473</f>
        <v>-36</v>
      </c>
      <c r="B473">
        <f>DEGREES(ATAN(-SIN(RADIANS(('R1'!I473)))/(COS(RADIANS(Sheet1!A473))*COS(RADIANS('R1'!I473)))))</f>
        <v>0</v>
      </c>
      <c r="C473">
        <f>AVERAGE('R1'!J473,'R2'!J473,'R3'!J473)</f>
        <v>1.1758333333333333</v>
      </c>
      <c r="D473">
        <f>AVERAGE('R1'!K473,'R2'!K473,'R3'!K473)</f>
        <v>20.952089416666666</v>
      </c>
      <c r="E473">
        <f>AVERAGE('R1'!L473,'R2'!L473,'R3'!L473)</f>
        <v>0.16362733252045111</v>
      </c>
      <c r="F473">
        <f>AVERAGE('R1'!M473,'R2'!M473,'R3'!M473)</f>
        <v>2.7548373984215799</v>
      </c>
      <c r="G473">
        <f>AVERAGE('R1'!N473,'R2'!N473,'R3'!N473)</f>
        <v>-1.2263824114860968</v>
      </c>
      <c r="H473">
        <f>AVERAGE('R1'!O473,'R2'!O473,'R3'!O473)</f>
        <v>-0.52885136468303762</v>
      </c>
      <c r="I473">
        <f t="shared" si="11"/>
        <v>4106.02752318287</v>
      </c>
      <c r="K473">
        <f>_xlfn.STDEV.S('R1'!L473,'R2'!L473,'R3'!L473)</f>
        <v>7.9076914002442229E-3</v>
      </c>
      <c r="L473">
        <f>_xlfn.STDEV.S('R1'!M473,'R2'!M473,'R3'!M473)</f>
        <v>6.2448851081817773E-3</v>
      </c>
      <c r="M473">
        <f>_xlfn.STDEV.S('R1'!N473,'R2'!N473,'R3'!N473)</f>
        <v>6.8200869176756104E-3</v>
      </c>
      <c r="N473">
        <f>_xlfn.STDEV.S('R1'!O473,'R2'!O473,'R3'!O473)</f>
        <v>1.4068413277977282E-2</v>
      </c>
    </row>
    <row r="474" spans="1:14" x14ac:dyDescent="0.25">
      <c r="A474">
        <f>-'R1'!H474</f>
        <v>-36</v>
      </c>
      <c r="B474">
        <f>DEGREES(ATAN(-SIN(RADIANS(('R1'!I474)))/(COS(RADIANS(Sheet1!A474))*COS(RADIANS('R1'!I474)))))</f>
        <v>-4.940042441862353</v>
      </c>
      <c r="C474">
        <f>AVERAGE('R1'!J474,'R2'!J474,'R3'!J474)</f>
        <v>1.1733333333333331</v>
      </c>
      <c r="D474">
        <f>AVERAGE('R1'!K474,'R2'!K474,'R3'!K474)</f>
        <v>21.109237</v>
      </c>
      <c r="E474">
        <f>AVERAGE('R1'!L474,'R2'!L474,'R3'!L474)</f>
        <v>-0.2210375439335687</v>
      </c>
      <c r="F474">
        <f>AVERAGE('R1'!M474,'R2'!M474,'R3'!M474)</f>
        <v>2.7282245776410829</v>
      </c>
      <c r="G474">
        <f>AVERAGE('R1'!N474,'R2'!N474,'R3'!N474)</f>
        <v>-1.2228760413537849</v>
      </c>
      <c r="H474">
        <f>AVERAGE('R1'!O474,'R2'!O474,'R3'!O474)</f>
        <v>-0.54335267822801614</v>
      </c>
      <c r="I474">
        <f t="shared" si="11"/>
        <v>4128.0285688888889</v>
      </c>
      <c r="K474">
        <f>_xlfn.STDEV.S('R1'!L474,'R2'!L474,'R3'!L474)</f>
        <v>1.1509340219561418E-2</v>
      </c>
      <c r="L474">
        <f>_xlfn.STDEV.S('R1'!M474,'R2'!M474,'R3'!M474)</f>
        <v>3.1644150863573056E-2</v>
      </c>
      <c r="M474">
        <f>_xlfn.STDEV.S('R1'!N474,'R2'!N474,'R3'!N474)</f>
        <v>2.4894721354640416E-2</v>
      </c>
      <c r="N474">
        <f>_xlfn.STDEV.S('R1'!O474,'R2'!O474,'R3'!O474)</f>
        <v>1.8308947842556156E-2</v>
      </c>
    </row>
    <row r="475" spans="1:14" x14ac:dyDescent="0.25">
      <c r="A475">
        <f>-'R1'!H475</f>
        <v>-36</v>
      </c>
      <c r="B475">
        <f>DEGREES(ATAN(-SIN(RADIANS(('R1'!I475)))/(COS(RADIANS(Sheet1!A475))*COS(RADIANS('R1'!I475)))))</f>
        <v>-9.8549609037615156</v>
      </c>
      <c r="C475">
        <f>AVERAGE('R1'!J475,'R2'!J475,'R3'!J475)</f>
        <v>1.1741666666666666</v>
      </c>
      <c r="D475">
        <f>AVERAGE('R1'!K475,'R2'!K475,'R3'!K475)</f>
        <v>20.878878</v>
      </c>
      <c r="E475">
        <f>AVERAGE('R1'!L475,'R2'!L475,'R3'!L475)</f>
        <v>-0.55751215798457954</v>
      </c>
      <c r="F475">
        <f>AVERAGE('R1'!M475,'R2'!M475,'R3'!M475)</f>
        <v>2.5258284218665525</v>
      </c>
      <c r="G475">
        <f>AVERAGE('R1'!N475,'R2'!N475,'R3'!N475)</f>
        <v>-1.1521870584365539</v>
      </c>
      <c r="H475">
        <f>AVERAGE('R1'!O475,'R2'!O475,'R3'!O475)</f>
        <v>-0.61210338389474506</v>
      </c>
      <c r="I475">
        <f t="shared" si="11"/>
        <v>4085.8804308333329</v>
      </c>
      <c r="K475">
        <f>_xlfn.STDEV.S('R1'!L475,'R2'!L475,'R3'!L475)</f>
        <v>5.9007316324226422E-3</v>
      </c>
      <c r="L475">
        <f>_xlfn.STDEV.S('R1'!M475,'R2'!M475,'R3'!M475)</f>
        <v>6.322668597129876E-3</v>
      </c>
      <c r="M475">
        <f>_xlfn.STDEV.S('R1'!N475,'R2'!N475,'R3'!N475)</f>
        <v>4.3561409799906334E-3</v>
      </c>
      <c r="N475">
        <f>_xlfn.STDEV.S('R1'!O475,'R2'!O475,'R3'!O475)</f>
        <v>1.1396505556217015E-2</v>
      </c>
    </row>
    <row r="476" spans="1:14" x14ac:dyDescent="0.25">
      <c r="A476">
        <f>-'R1'!H476</f>
        <v>-36</v>
      </c>
      <c r="B476">
        <f>DEGREES(ATAN(-SIN(RADIANS(('R1'!I476)))/(COS(RADIANS(Sheet1!A476))*COS(RADIANS('R1'!I476)))))</f>
        <v>-14.720865361542916</v>
      </c>
      <c r="C476">
        <f>AVERAGE('R1'!J476,'R2'!J476,'R3'!J476)</f>
        <v>1.1741666666666666</v>
      </c>
      <c r="D476">
        <f>AVERAGE('R1'!K476,'R2'!K476,'R3'!K476)</f>
        <v>20.766591333333334</v>
      </c>
      <c r="E476">
        <f>AVERAGE('R1'!L476,'R2'!L476,'R3'!L476)</f>
        <v>-0.83867792540112374</v>
      </c>
      <c r="F476">
        <f>AVERAGE('R1'!M476,'R2'!M476,'R3'!M476)</f>
        <v>2.3885956581628474</v>
      </c>
      <c r="G476">
        <f>AVERAGE('R1'!N476,'R2'!N476,'R3'!N476)</f>
        <v>-1.1334593063060598</v>
      </c>
      <c r="H476">
        <f>AVERAGE('R1'!O476,'R2'!O476,'R3'!O476)</f>
        <v>-0.69027563229830469</v>
      </c>
      <c r="I476">
        <f t="shared" si="11"/>
        <v>4063.906553981481</v>
      </c>
      <c r="K476">
        <f>_xlfn.STDEV.S('R1'!L476,'R2'!L476,'R3'!L476)</f>
        <v>6.9255089638481128E-3</v>
      </c>
      <c r="L476">
        <f>_xlfn.STDEV.S('R1'!M476,'R2'!M476,'R3'!M476)</f>
        <v>1.5042111994075532E-2</v>
      </c>
      <c r="M476">
        <f>_xlfn.STDEV.S('R1'!N476,'R2'!N476,'R3'!N476)</f>
        <v>1.167583014483029E-2</v>
      </c>
      <c r="N476">
        <f>_xlfn.STDEV.S('R1'!O476,'R2'!O476,'R3'!O476)</f>
        <v>1.1726443641794315E-2</v>
      </c>
    </row>
    <row r="477" spans="1:14" x14ac:dyDescent="0.25">
      <c r="A477">
        <f>-'R1'!H477</f>
        <v>-36</v>
      </c>
      <c r="B477">
        <f>DEGREES(ATAN(-SIN(RADIANS(('R1'!I477)))/(COS(RADIANS(Sheet1!A477))*COS(RADIANS('R1'!I477)))))</f>
        <v>-19.516199251096932</v>
      </c>
      <c r="C477">
        <f>AVERAGE('R1'!J477,'R2'!J477,'R3'!J477)</f>
        <v>1.1733333333333331</v>
      </c>
      <c r="D477">
        <f>AVERAGE('R1'!K477,'R2'!K477,'R3'!K477)</f>
        <v>20.619020583333334</v>
      </c>
      <c r="E477">
        <f>AVERAGE('R1'!L477,'R2'!L477,'R3'!L477)</f>
        <v>-1.0958018261544862</v>
      </c>
      <c r="F477">
        <f>AVERAGE('R1'!M477,'R2'!M477,'R3'!M477)</f>
        <v>2.2778775734571926</v>
      </c>
      <c r="G477">
        <f>AVERAGE('R1'!N477,'R2'!N477,'R3'!N477)</f>
        <v>-1.1480832228313875</v>
      </c>
      <c r="H477">
        <f>AVERAGE('R1'!O477,'R2'!O477,'R3'!O477)</f>
        <v>-0.76447404195272062</v>
      </c>
      <c r="I477">
        <f t="shared" si="11"/>
        <v>4032.164025185185</v>
      </c>
      <c r="K477">
        <f>_xlfn.STDEV.S('R1'!L477,'R2'!L477,'R3'!L477)</f>
        <v>4.5632270826918703E-3</v>
      </c>
      <c r="L477">
        <f>_xlfn.STDEV.S('R1'!M477,'R2'!M477,'R3'!M477)</f>
        <v>8.2947715346049326E-3</v>
      </c>
      <c r="M477">
        <f>_xlfn.STDEV.S('R1'!N477,'R2'!N477,'R3'!N477)</f>
        <v>1.5601754604609172E-3</v>
      </c>
      <c r="N477">
        <f>_xlfn.STDEV.S('R1'!O477,'R2'!O477,'R3'!O477)</f>
        <v>8.2089438866888003E-3</v>
      </c>
    </row>
    <row r="478" spans="1:14" x14ac:dyDescent="0.25">
      <c r="A478">
        <f>-'R1'!H478</f>
        <v>-36</v>
      </c>
      <c r="B478">
        <f>DEGREES(ATAN(-SIN(RADIANS(('R1'!I478)))/(COS(RADIANS(Sheet1!A478))*COS(RADIANS('R1'!I478)))))</f>
        <v>-24.22259689172926</v>
      </c>
      <c r="C478">
        <f>AVERAGE('R1'!J478,'R2'!J478,'R3'!J478)</f>
        <v>1.1733333333333331</v>
      </c>
      <c r="D478">
        <f>AVERAGE('R1'!K478,'R2'!K478,'R3'!K478)</f>
        <v>20.508122750000002</v>
      </c>
      <c r="E478">
        <f>AVERAGE('R1'!L478,'R2'!L478,'R3'!L478)</f>
        <v>-1.3115478278210924</v>
      </c>
      <c r="F478">
        <f>AVERAGE('R1'!M478,'R2'!M478,'R3'!M478)</f>
        <v>2.2101798749782815</v>
      </c>
      <c r="G478">
        <f>AVERAGE('R1'!N478,'R2'!N478,'R3'!N478)</f>
        <v>-1.1831883770973883</v>
      </c>
      <c r="H478">
        <f>AVERAGE('R1'!O478,'R2'!O478,'R3'!O478)</f>
        <v>-0.85223524584578347</v>
      </c>
      <c r="I478">
        <f t="shared" si="11"/>
        <v>4010.4773377777769</v>
      </c>
      <c r="K478">
        <f>_xlfn.STDEV.S('R1'!L478,'R2'!L478,'R3'!L478)</f>
        <v>8.2948862404773442E-3</v>
      </c>
      <c r="L478">
        <f>_xlfn.STDEV.S('R1'!M478,'R2'!M478,'R3'!M478)</f>
        <v>8.8311818795460476E-3</v>
      </c>
      <c r="M478">
        <f>_xlfn.STDEV.S('R1'!N478,'R2'!N478,'R3'!N478)</f>
        <v>2.9127441592583904E-3</v>
      </c>
      <c r="N478">
        <f>_xlfn.STDEV.S('R1'!O478,'R2'!O478,'R3'!O478)</f>
        <v>9.1040033660156755E-3</v>
      </c>
    </row>
    <row r="479" spans="1:14" x14ac:dyDescent="0.25">
      <c r="A479">
        <f>-'R1'!H479</f>
        <v>-36</v>
      </c>
      <c r="B479">
        <f>DEGREES(ATAN(-SIN(RADIANS(('R1'!I479)))/(COS(RADIANS(Sheet1!A479))*COS(RADIANS('R1'!I479)))))</f>
        <v>-28.825436554649738</v>
      </c>
      <c r="C479">
        <f>AVERAGE('R1'!J479,'R2'!J479,'R3'!J479)</f>
        <v>1.1733333333333331</v>
      </c>
      <c r="D479">
        <f>AVERAGE('R1'!K479,'R2'!K479,'R3'!K479)</f>
        <v>20.424707333333334</v>
      </c>
      <c r="E479">
        <f>AVERAGE('R1'!L479,'R2'!L479,'R3'!L479)</f>
        <v>-1.5008112885249432</v>
      </c>
      <c r="F479">
        <f>AVERAGE('R1'!M479,'R2'!M479,'R3'!M479)</f>
        <v>2.1828739774888333</v>
      </c>
      <c r="G479">
        <f>AVERAGE('R1'!N479,'R2'!N479,'R3'!N479)</f>
        <v>-1.2463584484541868</v>
      </c>
      <c r="H479">
        <f>AVERAGE('R1'!O479,'R2'!O479,'R3'!O479)</f>
        <v>-0.96467386941632949</v>
      </c>
      <c r="I479">
        <f t="shared" si="11"/>
        <v>3994.164989629629</v>
      </c>
      <c r="K479">
        <f>_xlfn.STDEV.S('R1'!L479,'R2'!L479,'R3'!L479)</f>
        <v>1.1053883501926782E-2</v>
      </c>
      <c r="L479">
        <f>_xlfn.STDEV.S('R1'!M479,'R2'!M479,'R3'!M479)</f>
        <v>9.4260672539566359E-4</v>
      </c>
      <c r="M479">
        <f>_xlfn.STDEV.S('R1'!N479,'R2'!N479,'R3'!N479)</f>
        <v>6.8716027863224994E-3</v>
      </c>
      <c r="N479">
        <f>_xlfn.STDEV.S('R1'!O479,'R2'!O479,'R3'!O479)</f>
        <v>3.8705314204016514E-3</v>
      </c>
    </row>
    <row r="480" spans="1:14" x14ac:dyDescent="0.25">
      <c r="A480">
        <f>-'R1'!H480</f>
        <v>-36</v>
      </c>
      <c r="B480">
        <f>DEGREES(ATAN(-SIN(RADIANS(('R1'!I480)))/(COS(RADIANS(Sheet1!A480))*COS(RADIANS('R1'!I480)))))</f>
        <v>-33.314077817276932</v>
      </c>
      <c r="C480">
        <f>AVERAGE('R1'!J480,'R2'!J480,'R3'!J480)</f>
        <v>1.1733333333333331</v>
      </c>
      <c r="D480">
        <f>AVERAGE('R1'!K480,'R2'!K480,'R3'!K480)</f>
        <v>20.317639666666665</v>
      </c>
      <c r="E480">
        <f>AVERAGE('R1'!L480,'R2'!L480,'R3'!L480)</f>
        <v>-1.6772144553170467</v>
      </c>
      <c r="F480">
        <f>AVERAGE('R1'!M480,'R2'!M480,'R3'!M480)</f>
        <v>2.1843702691285225</v>
      </c>
      <c r="G480">
        <f>AVERAGE('R1'!N480,'R2'!N480,'R3'!N480)</f>
        <v>-1.3358538036269971</v>
      </c>
      <c r="H480">
        <f>AVERAGE('R1'!O480,'R2'!O480,'R3'!O480)</f>
        <v>-1.0860414217017282</v>
      </c>
      <c r="I480">
        <f t="shared" si="11"/>
        <v>3973.2273125925913</v>
      </c>
      <c r="K480">
        <f>_xlfn.STDEV.S('R1'!L480,'R2'!L480,'R3'!L480)</f>
        <v>6.6641466261988871E-3</v>
      </c>
      <c r="L480">
        <f>_xlfn.STDEV.S('R1'!M480,'R2'!M480,'R3'!M480)</f>
        <v>1.2738811798591637E-3</v>
      </c>
      <c r="M480">
        <f>_xlfn.STDEV.S('R1'!N480,'R2'!N480,'R3'!N480)</f>
        <v>2.4845065082417178E-3</v>
      </c>
      <c r="N480">
        <f>_xlfn.STDEV.S('R1'!O480,'R2'!O480,'R3'!O480)</f>
        <v>2.5777309953535325E-3</v>
      </c>
    </row>
    <row r="481" spans="1:14" x14ac:dyDescent="0.25">
      <c r="A481">
        <f>-'R1'!H481</f>
        <v>-36</v>
      </c>
      <c r="B481">
        <f>DEGREES(ATAN(-SIN(RADIANS(('R1'!I481)))/(COS(RADIANS(Sheet1!A481))*COS(RADIANS('R1'!I481)))))</f>
        <v>-37.681815805789164</v>
      </c>
      <c r="C481">
        <f>AVERAGE('R1'!J481,'R2'!J481,'R3'!J481)</f>
        <v>1.1758333333333333</v>
      </c>
      <c r="D481">
        <f>AVERAGE('R1'!K481,'R2'!K481,'R3'!K481)</f>
        <v>20.223548166666667</v>
      </c>
      <c r="E481">
        <f>AVERAGE('R1'!L481,'R2'!L481,'R3'!L481)</f>
        <v>-1.8485309549673359</v>
      </c>
      <c r="F481">
        <f>AVERAGE('R1'!M481,'R2'!M481,'R3'!M481)</f>
        <v>2.2268039106131696</v>
      </c>
      <c r="G481">
        <f>AVERAGE('R1'!N481,'R2'!N481,'R3'!N481)</f>
        <v>-1.4634524442957002</v>
      </c>
      <c r="H481">
        <f>AVERAGE('R1'!O481,'R2'!O481,'R3'!O481)</f>
        <v>-1.2233935886268499</v>
      </c>
      <c r="I481">
        <f t="shared" si="11"/>
        <v>3963.2536754398152</v>
      </c>
      <c r="K481">
        <f>_xlfn.STDEV.S('R1'!L481,'R2'!L481,'R3'!L481)</f>
        <v>1.1245457380503109E-2</v>
      </c>
      <c r="L481">
        <f>_xlfn.STDEV.S('R1'!M481,'R2'!M481,'R3'!M481)</f>
        <v>8.8336918665408732E-4</v>
      </c>
      <c r="M481">
        <f>_xlfn.STDEV.S('R1'!N481,'R2'!N481,'R3'!N481)</f>
        <v>7.2728567825901553E-3</v>
      </c>
      <c r="N481">
        <f>_xlfn.STDEV.S('R1'!O481,'R2'!O481,'R3'!O481)</f>
        <v>3.3204361833673694E-3</v>
      </c>
    </row>
    <row r="482" spans="1:14" x14ac:dyDescent="0.25">
      <c r="A482">
        <f>-'R1'!H482</f>
        <v>-36</v>
      </c>
      <c r="B482">
        <f>DEGREES(ATAN(-SIN(RADIANS(('R1'!I482)))/(COS(RADIANS(Sheet1!A482))*COS(RADIANS('R1'!I482)))))</f>
        <v>-41.925613925819086</v>
      </c>
      <c r="C482">
        <f>AVERAGE('R1'!J482,'R2'!J482,'R3'!J482)</f>
        <v>1.1741666666666666</v>
      </c>
      <c r="D482">
        <f>AVERAGE('R1'!K482,'R2'!K482,'R3'!K482)</f>
        <v>20.140506000000002</v>
      </c>
      <c r="E482">
        <f>AVERAGE('R1'!L482,'R2'!L482,'R3'!L482)</f>
        <v>-2.0238712237675016</v>
      </c>
      <c r="F482">
        <f>AVERAGE('R1'!M482,'R2'!M482,'R3'!M482)</f>
        <v>2.3054599317521216</v>
      </c>
      <c r="G482">
        <f>AVERAGE('R1'!N482,'R2'!N482,'R3'!N482)</f>
        <v>-1.6289159476270652</v>
      </c>
      <c r="H482">
        <f>AVERAGE('R1'!O482,'R2'!O482,'R3'!O482)</f>
        <v>-1.3791566970129843</v>
      </c>
      <c r="I482">
        <f t="shared" si="11"/>
        <v>3941.3851325000001</v>
      </c>
      <c r="K482">
        <f>_xlfn.STDEV.S('R1'!L482,'R2'!L482,'R3'!L482)</f>
        <v>8.699627922826669E-3</v>
      </c>
      <c r="L482">
        <f>_xlfn.STDEV.S('R1'!M482,'R2'!M482,'R3'!M482)</f>
        <v>8.5898934182043994E-3</v>
      </c>
      <c r="M482">
        <f>_xlfn.STDEV.S('R1'!N482,'R2'!N482,'R3'!N482)</f>
        <v>1.9574096550770493E-3</v>
      </c>
      <c r="N482">
        <f>_xlfn.STDEV.S('R1'!O482,'R2'!O482,'R3'!O482)</f>
        <v>8.1412869081422361E-3</v>
      </c>
    </row>
    <row r="483" spans="1:14" x14ac:dyDescent="0.25">
      <c r="A483">
        <f>-'R1'!H483</f>
        <v>-36</v>
      </c>
      <c r="B483">
        <f>DEGREES(ATAN(-SIN(RADIANS(('R1'!I483)))/(COS(RADIANS(Sheet1!A483))*COS(RADIANS('R1'!I483)))))</f>
        <v>-46.045688589723383</v>
      </c>
      <c r="C483">
        <f>AVERAGE('R1'!J483,'R2'!J483,'R3'!J483)</f>
        <v>1.1733333333333331</v>
      </c>
      <c r="D483">
        <f>AVERAGE('R1'!K483,'R2'!K483,'R3'!K483)</f>
        <v>20.066896750000002</v>
      </c>
      <c r="E483">
        <f>AVERAGE('R1'!L483,'R2'!L483,'R3'!L483)</f>
        <v>-2.2304637604127553</v>
      </c>
      <c r="F483">
        <f>AVERAGE('R1'!M483,'R2'!M483,'R3'!M483)</f>
        <v>2.4573118072632294</v>
      </c>
      <c r="G483">
        <f>AVERAGE('R1'!N483,'R2'!N483,'R3'!N483)</f>
        <v>-1.8782792548402309</v>
      </c>
      <c r="H483">
        <f>AVERAGE('R1'!O483,'R2'!O483,'R3'!O483)</f>
        <v>-1.5738977176131987</v>
      </c>
      <c r="I483">
        <f t="shared" si="11"/>
        <v>3924.1931422222219</v>
      </c>
      <c r="K483">
        <f>_xlfn.STDEV.S('R1'!L483,'R2'!L483,'R3'!L483)</f>
        <v>1.8263528376333736E-2</v>
      </c>
      <c r="L483">
        <f>_xlfn.STDEV.S('R1'!M483,'R2'!M483,'R3'!M483)</f>
        <v>4.9286791772686469E-3</v>
      </c>
      <c r="M483">
        <f>_xlfn.STDEV.S('R1'!N483,'R2'!N483,'R3'!N483)</f>
        <v>1.7456989761287012E-2</v>
      </c>
      <c r="N483">
        <f>_xlfn.STDEV.S('R1'!O483,'R2'!O483,'R3'!O483)</f>
        <v>4.0311493363959037E-3</v>
      </c>
    </row>
    <row r="484" spans="1:14" x14ac:dyDescent="0.25">
      <c r="A484">
        <f>-'R1'!H484</f>
        <v>-36</v>
      </c>
      <c r="B484">
        <f>DEGREES(ATAN(-SIN(RADIANS(('R1'!I484)))/(COS(RADIANS(Sheet1!A484))*COS(RADIANS('R1'!I484)))))</f>
        <v>-50.045016920059574</v>
      </c>
      <c r="C484">
        <f>AVERAGE('R1'!J484,'R2'!J484,'R3'!J484)</f>
        <v>1.1733333333333331</v>
      </c>
      <c r="D484">
        <f>AVERAGE('R1'!K484,'R2'!K484,'R3'!K484)</f>
        <v>20.025162416666664</v>
      </c>
      <c r="E484">
        <f>AVERAGE('R1'!L484,'R2'!L484,'R3'!L484)</f>
        <v>-2.474263222907584</v>
      </c>
      <c r="F484">
        <f>AVERAGE('R1'!M484,'R2'!M484,'R3'!M484)</f>
        <v>2.685929300827913</v>
      </c>
      <c r="G484">
        <f>AVERAGE('R1'!N484,'R2'!N484,'R3'!N484)</f>
        <v>-2.2192825086245334</v>
      </c>
      <c r="H484">
        <f>AVERAGE('R1'!O484,'R2'!O484,'R3'!O484)</f>
        <v>-1.8165394206482544</v>
      </c>
      <c r="I484">
        <f t="shared" si="11"/>
        <v>3916.0317614814799</v>
      </c>
      <c r="K484">
        <f>_xlfn.STDEV.S('R1'!L484,'R2'!L484,'R3'!L484)</f>
        <v>1.541204616381732E-2</v>
      </c>
      <c r="L484">
        <f>_xlfn.STDEV.S('R1'!M484,'R2'!M484,'R3'!M484)</f>
        <v>7.0290810301020887E-3</v>
      </c>
      <c r="M484">
        <f>_xlfn.STDEV.S('R1'!N484,'R2'!N484,'R3'!N484)</f>
        <v>1.7184409038750202E-2</v>
      </c>
      <c r="N484">
        <f>_xlfn.STDEV.S('R1'!O484,'R2'!O484,'R3'!O484)</f>
        <v>2.6918266456639633E-3</v>
      </c>
    </row>
    <row r="485" spans="1:14" x14ac:dyDescent="0.25">
      <c r="A485">
        <f>-'R1'!H485</f>
        <v>-40</v>
      </c>
      <c r="B485">
        <f>DEGREES(ATAN(-SIN(RADIANS(('R1'!I485)))/(COS(RADIANS(Sheet1!A485))*COS(RADIANS('R1'!I485)))))</f>
        <v>51.576359961556868</v>
      </c>
      <c r="C485">
        <f>AVERAGE('R1'!J485,'R2'!J485,'R3'!J485)</f>
        <v>1.1733333333333331</v>
      </c>
      <c r="D485">
        <f>AVERAGE('R1'!K485,'R2'!K485,'R3'!K485)</f>
        <v>20.364215083333335</v>
      </c>
      <c r="E485">
        <f>AVERAGE('R1'!L485,'R2'!L485,'R3'!L485)</f>
        <v>2.4165893295855594</v>
      </c>
      <c r="F485">
        <f>AVERAGE('R1'!M485,'R2'!M485,'R3'!M485)</f>
        <v>2.5776084832305544</v>
      </c>
      <c r="G485">
        <f>AVERAGE('R1'!N485,'R2'!N485,'R3'!N485)</f>
        <v>-2.1464567237511787</v>
      </c>
      <c r="H485">
        <f>AVERAGE('R1'!O485,'R2'!O485,'R3'!O485)</f>
        <v>-1.8548362108237384</v>
      </c>
      <c r="I485">
        <f t="shared" si="11"/>
        <v>3982.335394074074</v>
      </c>
      <c r="K485">
        <f>_xlfn.STDEV.S('R1'!L485,'R2'!L485,'R3'!L485)</f>
        <v>1.5650413616364297E-3</v>
      </c>
      <c r="L485">
        <f>_xlfn.STDEV.S('R1'!M485,'R2'!M485,'R3'!M485)</f>
        <v>7.4607904464024646E-3</v>
      </c>
      <c r="M485">
        <f>_xlfn.STDEV.S('R1'!N485,'R2'!N485,'R3'!N485)</f>
        <v>8.4971526786910712E-3</v>
      </c>
      <c r="N485">
        <f>_xlfn.STDEV.S('R1'!O485,'R2'!O485,'R3'!O485)</f>
        <v>2.6452311806449348E-3</v>
      </c>
    </row>
    <row r="486" spans="1:14" x14ac:dyDescent="0.25">
      <c r="A486">
        <f>-'R1'!H486</f>
        <v>-40</v>
      </c>
      <c r="B486">
        <f>DEGREES(ATAN(-SIN(RADIANS(('R1'!I486)))/(COS(RADIANS(Sheet1!A486))*COS(RADIANS('R1'!I486)))))</f>
        <v>47.605913955135343</v>
      </c>
      <c r="C486">
        <f>AVERAGE('R1'!J486,'R2'!J486,'R3'!J486)</f>
        <v>1.1725000000000001</v>
      </c>
      <c r="D486">
        <f>AVERAGE('R1'!K486,'R2'!K486,'R3'!K486)</f>
        <v>20.708521333333334</v>
      </c>
      <c r="E486">
        <f>AVERAGE('R1'!L486,'R2'!L486,'R3'!L486)</f>
        <v>2.2509289574924902</v>
      </c>
      <c r="F486">
        <f>AVERAGE('R1'!M486,'R2'!M486,'R3'!M486)</f>
        <v>2.464430800376054</v>
      </c>
      <c r="G486">
        <f>AVERAGE('R1'!N486,'R2'!N486,'R3'!N486)</f>
        <v>-1.9241314434060879</v>
      </c>
      <c r="H486">
        <f>AVERAGE('R1'!O486,'R2'!O486,'R3'!O486)</f>
        <v>-1.6796803311121475</v>
      </c>
      <c r="I486">
        <f t="shared" si="11"/>
        <v>4046.7902105555559</v>
      </c>
      <c r="K486">
        <f>_xlfn.STDEV.S('R1'!L486,'R2'!L486,'R3'!L486)</f>
        <v>6.8593099759888462E-3</v>
      </c>
      <c r="L486">
        <f>_xlfn.STDEV.S('R1'!M486,'R2'!M486,'R3'!M486)</f>
        <v>9.4797922205689302E-3</v>
      </c>
      <c r="M486">
        <f>_xlfn.STDEV.S('R1'!N486,'R2'!N486,'R3'!N486)</f>
        <v>1.0409956936192717E-2</v>
      </c>
      <c r="N486">
        <f>_xlfn.STDEV.S('R1'!O486,'R2'!O486,'R3'!O486)</f>
        <v>1.0194206561365746E-2</v>
      </c>
    </row>
    <row r="487" spans="1:14" x14ac:dyDescent="0.25">
      <c r="A487">
        <f>-'R1'!H487</f>
        <v>-40</v>
      </c>
      <c r="B487">
        <f>DEGREES(ATAN(-SIN(RADIANS(('R1'!I487)))/(COS(RADIANS(Sheet1!A487))*COS(RADIANS('R1'!I487)))))</f>
        <v>43.48399800633365</v>
      </c>
      <c r="C487">
        <f>AVERAGE('R1'!J487,'R2'!J487,'R3'!J487)</f>
        <v>1.1733333333333331</v>
      </c>
      <c r="D487">
        <f>AVERAGE('R1'!K487,'R2'!K487,'R3'!K487)</f>
        <v>20.827200749999999</v>
      </c>
      <c r="E487">
        <f>AVERAGE('R1'!L487,'R2'!L487,'R3'!L487)</f>
        <v>2.1053779945794506</v>
      </c>
      <c r="F487">
        <f>AVERAGE('R1'!M487,'R2'!M487,'R3'!M487)</f>
        <v>2.3765398319106974</v>
      </c>
      <c r="G487">
        <f>AVERAGE('R1'!N487,'R2'!N487,'R3'!N487)</f>
        <v>-1.7470642729178039</v>
      </c>
      <c r="H487">
        <f>AVERAGE('R1'!O487,'R2'!O487,'R3'!O487)</f>
        <v>-1.5254081119029264</v>
      </c>
      <c r="I487">
        <f t="shared" si="11"/>
        <v>4072.874813333332</v>
      </c>
      <c r="K487">
        <f>_xlfn.STDEV.S('R1'!L487,'R2'!L487,'R3'!L487)</f>
        <v>8.6618295870546647E-3</v>
      </c>
      <c r="L487">
        <f>_xlfn.STDEV.S('R1'!M487,'R2'!M487,'R3'!M487)</f>
        <v>7.7408700370197826E-3</v>
      </c>
      <c r="M487">
        <f>_xlfn.STDEV.S('R1'!N487,'R2'!N487,'R3'!N487)</f>
        <v>1.0480448546060592E-2</v>
      </c>
      <c r="N487">
        <f>_xlfn.STDEV.S('R1'!O487,'R2'!O487,'R3'!O487)</f>
        <v>7.7719512850261373E-3</v>
      </c>
    </row>
    <row r="488" spans="1:14" x14ac:dyDescent="0.25">
      <c r="A488">
        <f>-'R1'!H488</f>
        <v>-40</v>
      </c>
      <c r="B488">
        <f>DEGREES(ATAN(-SIN(RADIANS(('R1'!I488)))/(COS(RADIANS(Sheet1!A488))*COS(RADIANS('R1'!I488)))))</f>
        <v>39.204435233296593</v>
      </c>
      <c r="C488">
        <f>AVERAGE('R1'!J488,'R2'!J488,'R3'!J488)</f>
        <v>1.1733333333333331</v>
      </c>
      <c r="D488">
        <f>AVERAGE('R1'!K488,'R2'!K488,'R3'!K488)</f>
        <v>21.119214499999998</v>
      </c>
      <c r="E488">
        <f>AVERAGE('R1'!L488,'R2'!L488,'R3'!L488)</f>
        <v>1.9670958418521682</v>
      </c>
      <c r="F488">
        <f>AVERAGE('R1'!M488,'R2'!M488,'R3'!M488)</f>
        <v>2.3140671872626304</v>
      </c>
      <c r="G488">
        <f>AVERAGE('R1'!N488,'R2'!N488,'R3'!N488)</f>
        <v>-1.6076784247507117</v>
      </c>
      <c r="H488">
        <f>AVERAGE('R1'!O488,'R2'!O488,'R3'!O488)</f>
        <v>-1.3925155894760242</v>
      </c>
      <c r="I488">
        <f t="shared" si="11"/>
        <v>4129.9797244444435</v>
      </c>
      <c r="K488">
        <f>_xlfn.STDEV.S('R1'!L488,'R2'!L488,'R3'!L488)</f>
        <v>6.1344068620472602E-3</v>
      </c>
      <c r="L488">
        <f>_xlfn.STDEV.S('R1'!M488,'R2'!M488,'R3'!M488)</f>
        <v>3.964949024848681E-3</v>
      </c>
      <c r="M488">
        <f>_xlfn.STDEV.S('R1'!N488,'R2'!N488,'R3'!N488)</f>
        <v>4.872361253750678E-3</v>
      </c>
      <c r="N488">
        <f>_xlfn.STDEV.S('R1'!O488,'R2'!O488,'R3'!O488)</f>
        <v>7.3475990121129745E-3</v>
      </c>
    </row>
    <row r="489" spans="1:14" x14ac:dyDescent="0.25">
      <c r="A489">
        <f>-'R1'!H489</f>
        <v>-40</v>
      </c>
      <c r="B489">
        <f>DEGREES(ATAN(-SIN(RADIANS(('R1'!I489)))/(COS(RADIANS(Sheet1!A489))*COS(RADIANS('R1'!I489)))))</f>
        <v>34.764413107862225</v>
      </c>
      <c r="C489">
        <f>AVERAGE('R1'!J489,'R2'!J489,'R3'!J489)</f>
        <v>1.1749999999999998</v>
      </c>
      <c r="D489">
        <f>AVERAGE('R1'!K489,'R2'!K489,'R3'!K489)</f>
        <v>21.155666750000002</v>
      </c>
      <c r="E489">
        <f>AVERAGE('R1'!L489,'R2'!L489,'R3'!L489)</f>
        <v>1.830630684982302</v>
      </c>
      <c r="F489">
        <f>AVERAGE('R1'!M489,'R2'!M489,'R3'!M489)</f>
        <v>2.3054492961496784</v>
      </c>
      <c r="G489">
        <f>AVERAGE('R1'!N489,'R2'!N489,'R3'!N489)</f>
        <v>-1.5189273465725905</v>
      </c>
      <c r="H489">
        <f>AVERAGE('R1'!O489,'R2'!O489,'R3'!O489)</f>
        <v>-1.2806713350903012</v>
      </c>
      <c r="I489">
        <f t="shared" si="11"/>
        <v>4142.984738541667</v>
      </c>
      <c r="K489">
        <f>_xlfn.STDEV.S('R1'!L489,'R2'!L489,'R3'!L489)</f>
        <v>9.3137616287060875E-3</v>
      </c>
      <c r="L489">
        <f>_xlfn.STDEV.S('R1'!M489,'R2'!M489,'R3'!M489)</f>
        <v>1.841215202257338E-3</v>
      </c>
      <c r="M489">
        <f>_xlfn.STDEV.S('R1'!N489,'R2'!N489,'R3'!N489)</f>
        <v>6.1315535644764566E-3</v>
      </c>
      <c r="N489">
        <f>_xlfn.STDEV.S('R1'!O489,'R2'!O489,'R3'!O489)</f>
        <v>5.3911490782671519E-3</v>
      </c>
    </row>
    <row r="490" spans="1:14" x14ac:dyDescent="0.25">
      <c r="A490">
        <f>-'R1'!H490</f>
        <v>-40</v>
      </c>
      <c r="B490">
        <f>DEGREES(ATAN(-SIN(RADIANS(('R1'!I490)))/(COS(RADIANS(Sheet1!A490))*COS(RADIANS('R1'!I490)))))</f>
        <v>30.165358572591657</v>
      </c>
      <c r="C490">
        <f>AVERAGE('R1'!J490,'R2'!J490,'R3'!J490)</f>
        <v>1.1733333333333331</v>
      </c>
      <c r="D490">
        <f>AVERAGE('R1'!K490,'R2'!K490,'R3'!K490)</f>
        <v>20.920119499999998</v>
      </c>
      <c r="E490">
        <f>AVERAGE('R1'!L490,'R2'!L490,'R3'!L490)</f>
        <v>1.685750326546039</v>
      </c>
      <c r="F490">
        <f>AVERAGE('R1'!M490,'R2'!M490,'R3'!M490)</f>
        <v>2.3372524132957424</v>
      </c>
      <c r="G490">
        <f>AVERAGE('R1'!N490,'R2'!N490,'R3'!N490)</f>
        <v>-1.4627925887213735</v>
      </c>
      <c r="H490">
        <f>AVERAGE('R1'!O490,'R2'!O490,'R3'!O490)</f>
        <v>-1.186718317340669</v>
      </c>
      <c r="I490">
        <f t="shared" si="11"/>
        <v>4091.0455911111103</v>
      </c>
      <c r="K490">
        <f>_xlfn.STDEV.S('R1'!L490,'R2'!L490,'R3'!L490)</f>
        <v>3.9490810499866452E-3</v>
      </c>
      <c r="L490">
        <f>_xlfn.STDEV.S('R1'!M490,'R2'!M490,'R3'!M490)</f>
        <v>4.3221457647115435E-3</v>
      </c>
      <c r="M490">
        <f>_xlfn.STDEV.S('R1'!N490,'R2'!N490,'R3'!N490)</f>
        <v>7.6678459164309237E-3</v>
      </c>
      <c r="N490">
        <f>_xlfn.STDEV.S('R1'!O490,'R2'!O490,'R3'!O490)</f>
        <v>8.0290184651056525E-3</v>
      </c>
    </row>
    <row r="491" spans="1:14" x14ac:dyDescent="0.25">
      <c r="A491">
        <f>-'R1'!H491</f>
        <v>-40</v>
      </c>
      <c r="B491">
        <f>DEGREES(ATAN(-SIN(RADIANS(('R1'!I491)))/(COS(RADIANS(Sheet1!A491))*COS(RADIANS('R1'!I491)))))</f>
        <v>25.413766880049252</v>
      </c>
      <c r="C491">
        <f>AVERAGE('R1'!J491,'R2'!J491,'R3'!J491)</f>
        <v>1.1733333333333331</v>
      </c>
      <c r="D491">
        <f>AVERAGE('R1'!K491,'R2'!K491,'R3'!K491)</f>
        <v>20.730441583333334</v>
      </c>
      <c r="E491">
        <f>AVERAGE('R1'!L491,'R2'!L491,'R3'!L491)</f>
        <v>1.5097128966970619</v>
      </c>
      <c r="F491">
        <f>AVERAGE('R1'!M491,'R2'!M491,'R3'!M491)</f>
        <v>2.3941855396026432</v>
      </c>
      <c r="G491">
        <f>AVERAGE('R1'!N491,'R2'!N491,'R3'!N491)</f>
        <v>-1.4162289454991244</v>
      </c>
      <c r="H491">
        <f>AVERAGE('R1'!O491,'R2'!O491,'R3'!O491)</f>
        <v>-1.0917234893812442</v>
      </c>
      <c r="I491">
        <f t="shared" si="11"/>
        <v>4053.9530207407397</v>
      </c>
      <c r="K491">
        <f>_xlfn.STDEV.S('R1'!L491,'R2'!L491,'R3'!L491)</f>
        <v>6.230915683889433E-3</v>
      </c>
      <c r="L491">
        <f>_xlfn.STDEV.S('R1'!M491,'R2'!M491,'R3'!M491)</f>
        <v>5.362492978425352E-3</v>
      </c>
      <c r="M491">
        <f>_xlfn.STDEV.S('R1'!N491,'R2'!N491,'R3'!N491)</f>
        <v>6.6618742049927935E-3</v>
      </c>
      <c r="N491">
        <f>_xlfn.STDEV.S('R1'!O491,'R2'!O491,'R3'!O491)</f>
        <v>3.4977844793959915E-3</v>
      </c>
    </row>
    <row r="492" spans="1:14" x14ac:dyDescent="0.25">
      <c r="A492">
        <f>-'R1'!H492</f>
        <v>-40</v>
      </c>
      <c r="B492">
        <f>DEGREES(ATAN(-SIN(RADIANS(('R1'!I492)))/(COS(RADIANS(Sheet1!A492))*COS(RADIANS('R1'!I492)))))</f>
        <v>20.5218555971705</v>
      </c>
      <c r="C492">
        <f>AVERAGE('R1'!J492,'R2'!J492,'R3'!J492)</f>
        <v>1.1733333333333331</v>
      </c>
      <c r="D492">
        <f>AVERAGE('R1'!K492,'R2'!K492,'R3'!K492)</f>
        <v>20.63096625</v>
      </c>
      <c r="E492">
        <f>AVERAGE('R1'!L492,'R2'!L492,'R3'!L492)</f>
        <v>1.3294139971912775</v>
      </c>
      <c r="F492">
        <f>AVERAGE('R1'!M492,'R2'!M492,'R3'!M492)</f>
        <v>2.4941591424303682</v>
      </c>
      <c r="G492">
        <f>AVERAGE('R1'!N492,'R2'!N492,'R3'!N492)</f>
        <v>-1.4112391316760162</v>
      </c>
      <c r="H492">
        <f>AVERAGE('R1'!O492,'R2'!O492,'R3'!O492)</f>
        <v>-1.0303371408742545</v>
      </c>
      <c r="I492">
        <f t="shared" si="11"/>
        <v>4034.5000666666656</v>
      </c>
      <c r="K492">
        <f>_xlfn.STDEV.S('R1'!L492,'R2'!L492,'R3'!L492)</f>
        <v>7.1452504580040337E-3</v>
      </c>
      <c r="L492">
        <f>_xlfn.STDEV.S('R1'!M492,'R2'!M492,'R3'!M492)</f>
        <v>5.3396068330971557E-3</v>
      </c>
      <c r="M492">
        <f>_xlfn.STDEV.S('R1'!N492,'R2'!N492,'R3'!N492)</f>
        <v>9.7282754025582313E-3</v>
      </c>
      <c r="N492">
        <f>_xlfn.STDEV.S('R1'!O492,'R2'!O492,'R3'!O492)</f>
        <v>7.5369387533125868E-3</v>
      </c>
    </row>
    <row r="493" spans="1:14" x14ac:dyDescent="0.25">
      <c r="A493">
        <f>-'R1'!H493</f>
        <v>-40</v>
      </c>
      <c r="B493">
        <f>DEGREES(ATAN(-SIN(RADIANS(('R1'!I493)))/(COS(RADIANS(Sheet1!A493))*COS(RADIANS('R1'!I493)))))</f>
        <v>15.507892018560797</v>
      </c>
      <c r="C493">
        <f>AVERAGE('R1'!J493,'R2'!J493,'R3'!J493)</f>
        <v>1.1725000000000001</v>
      </c>
      <c r="D493">
        <f>AVERAGE('R1'!K493,'R2'!K493,'R3'!K493)</f>
        <v>20.641187416666664</v>
      </c>
      <c r="E493">
        <f>AVERAGE('R1'!L493,'R2'!L493,'R3'!L493)</f>
        <v>1.1073655668399878</v>
      </c>
      <c r="F493">
        <f>AVERAGE('R1'!M493,'R2'!M493,'R3'!M493)</f>
        <v>2.6105782153846877</v>
      </c>
      <c r="G493">
        <f>AVERAGE('R1'!N493,'R2'!N493,'R3'!N493)</f>
        <v>-1.4075966619611411</v>
      </c>
      <c r="H493">
        <f>AVERAGE('R1'!O493,'R2'!O493,'R3'!O493)</f>
        <v>-0.9716378124629097</v>
      </c>
      <c r="I493">
        <f t="shared" si="11"/>
        <v>4033.6320410069447</v>
      </c>
      <c r="K493">
        <f>_xlfn.STDEV.S('R1'!L493,'R2'!L493,'R3'!L493)</f>
        <v>2.9570133421025057E-3</v>
      </c>
      <c r="L493">
        <f>_xlfn.STDEV.S('R1'!M493,'R2'!M493,'R3'!M493)</f>
        <v>6.7260985976810217E-3</v>
      </c>
      <c r="M493">
        <f>_xlfn.STDEV.S('R1'!N493,'R2'!N493,'R3'!N493)</f>
        <v>7.0894265635531887E-3</v>
      </c>
      <c r="N493">
        <f>_xlfn.STDEV.S('R1'!O493,'R2'!O493,'R3'!O493)</f>
        <v>7.6754998260113354E-3</v>
      </c>
    </row>
    <row r="494" spans="1:14" x14ac:dyDescent="0.25">
      <c r="A494">
        <f>-'R1'!H494</f>
        <v>-40</v>
      </c>
      <c r="B494">
        <f>DEGREES(ATAN(-SIN(RADIANS(('R1'!I494)))/(COS(RADIANS(Sheet1!A494))*COS(RADIANS('R1'!I494)))))</f>
        <v>10.396047080877794</v>
      </c>
      <c r="C494">
        <f>AVERAGE('R1'!J494,'R2'!J494,'R3'!J494)</f>
        <v>1.1716666666666666</v>
      </c>
      <c r="D494">
        <f>AVERAGE('R1'!K494,'R2'!K494,'R3'!K494)</f>
        <v>20.995725083333337</v>
      </c>
      <c r="E494">
        <f>AVERAGE('R1'!L494,'R2'!L494,'R3'!L494)</f>
        <v>0.8625448356324118</v>
      </c>
      <c r="F494">
        <f>AVERAGE('R1'!M494,'R2'!M494,'R3'!M494)</f>
        <v>2.7820430519907702</v>
      </c>
      <c r="G494">
        <f>AVERAGE('R1'!N494,'R2'!N494,'R3'!N494)</f>
        <v>-1.4602054899665855</v>
      </c>
      <c r="H494">
        <f>AVERAGE('R1'!O494,'R2'!O494,'R3'!O494)</f>
        <v>-0.92728310144252435</v>
      </c>
      <c r="I494">
        <f t="shared" si="11"/>
        <v>4099.9985371064813</v>
      </c>
      <c r="K494">
        <f>_xlfn.STDEV.S('R1'!L494,'R2'!L494,'R3'!L494)</f>
        <v>1.398668980419825E-2</v>
      </c>
      <c r="L494">
        <f>_xlfn.STDEV.S('R1'!M494,'R2'!M494,'R3'!M494)</f>
        <v>3.503794495734527E-3</v>
      </c>
      <c r="M494">
        <f>_xlfn.STDEV.S('R1'!N494,'R2'!N494,'R3'!N494)</f>
        <v>3.5020568092212706E-3</v>
      </c>
      <c r="N494">
        <f>_xlfn.STDEV.S('R1'!O494,'R2'!O494,'R3'!O494)</f>
        <v>1.1462908527283955E-2</v>
      </c>
    </row>
    <row r="495" spans="1:14" x14ac:dyDescent="0.25">
      <c r="A495">
        <f>-'R1'!H495</f>
        <v>-40</v>
      </c>
      <c r="B495">
        <f>DEGREES(ATAN(-SIN(RADIANS(('R1'!I495)))/(COS(RADIANS(Sheet1!A495))*COS(RADIANS('R1'!I495)))))</f>
        <v>5.2156742986237852</v>
      </c>
      <c r="C495">
        <f>AVERAGE('R1'!J495,'R2'!J495,'R3'!J495)</f>
        <v>1.1733333333333331</v>
      </c>
      <c r="D495">
        <f>AVERAGE('R1'!K495,'R2'!K495,'R3'!K495)</f>
        <v>21.24252525</v>
      </c>
      <c r="E495">
        <f>AVERAGE('R1'!L495,'R2'!L495,'R3'!L495)</f>
        <v>0.57596404909897059</v>
      </c>
      <c r="F495">
        <f>AVERAGE('R1'!M495,'R2'!M495,'R3'!M495)</f>
        <v>3.0160425432366984</v>
      </c>
      <c r="G495">
        <f>AVERAGE('R1'!N495,'R2'!N495,'R3'!N495)</f>
        <v>-1.5615868054051925</v>
      </c>
      <c r="H495">
        <f>AVERAGE('R1'!O495,'R2'!O495,'R3'!O495)</f>
        <v>-0.88960792244239661</v>
      </c>
      <c r="I495">
        <f t="shared" si="11"/>
        <v>4154.0938266666662</v>
      </c>
      <c r="K495">
        <f>_xlfn.STDEV.S('R1'!L495,'R2'!L495,'R3'!L495)</f>
        <v>2.58454410025579E-3</v>
      </c>
      <c r="L495">
        <f>_xlfn.STDEV.S('R1'!M495,'R2'!M495,'R3'!M495)</f>
        <v>4.8692573297801304E-3</v>
      </c>
      <c r="M495">
        <f>_xlfn.STDEV.S('R1'!N495,'R2'!N495,'R3'!N495)</f>
        <v>5.8980118054870858E-3</v>
      </c>
      <c r="N495">
        <f>_xlfn.STDEV.S('R1'!O495,'R2'!O495,'R3'!O495)</f>
        <v>1.1883435805129539E-2</v>
      </c>
    </row>
    <row r="496" spans="1:14" x14ac:dyDescent="0.25">
      <c r="A496">
        <f>-'R1'!H496</f>
        <v>-40</v>
      </c>
      <c r="B496">
        <f>DEGREES(ATAN(-SIN(RADIANS(('R1'!I496)))/(COS(RADIANS(Sheet1!A496))*COS(RADIANS('R1'!I496)))))</f>
        <v>0</v>
      </c>
      <c r="C496">
        <f>AVERAGE('R1'!J496,'R2'!J496,'R3'!J496)</f>
        <v>1.1733333333333331</v>
      </c>
      <c r="D496">
        <f>AVERAGE('R1'!K496,'R2'!K496,'R3'!K496)</f>
        <v>20.991965666666669</v>
      </c>
      <c r="E496">
        <f>AVERAGE('R1'!L496,'R2'!L496,'R3'!L496)</f>
        <v>0.21367934173891848</v>
      </c>
      <c r="F496">
        <f>AVERAGE('R1'!M496,'R2'!M496,'R3'!M496)</f>
        <v>3.3447318784559541</v>
      </c>
      <c r="G496">
        <f>AVERAGE('R1'!N496,'R2'!N496,'R3'!N496)</f>
        <v>-1.7317014936173012</v>
      </c>
      <c r="H496">
        <f>AVERAGE('R1'!O496,'R2'!O496,'R3'!O496)</f>
        <v>-0.86273982020414364</v>
      </c>
      <c r="I496">
        <f t="shared" si="11"/>
        <v>4105.0955081481479</v>
      </c>
      <c r="K496">
        <f>_xlfn.STDEV.S('R1'!L496,'R2'!L496,'R3'!L496)</f>
        <v>3.3243039659670722E-3</v>
      </c>
      <c r="L496">
        <f>_xlfn.STDEV.S('R1'!M496,'R2'!M496,'R3'!M496)</f>
        <v>1.5934426579114279E-2</v>
      </c>
      <c r="M496">
        <f>_xlfn.STDEV.S('R1'!N496,'R2'!N496,'R3'!N496)</f>
        <v>1.4964058091255521E-2</v>
      </c>
      <c r="N496">
        <f>_xlfn.STDEV.S('R1'!O496,'R2'!O496,'R3'!O496)</f>
        <v>1.2593677467978362E-2</v>
      </c>
    </row>
    <row r="497" spans="1:14" x14ac:dyDescent="0.25">
      <c r="A497">
        <f>-'R1'!H497</f>
        <v>-40</v>
      </c>
      <c r="B497">
        <f>DEGREES(ATAN(-SIN(RADIANS(('R1'!I497)))/(COS(RADIANS(Sheet1!A497))*COS(RADIANS('R1'!I497)))))</f>
        <v>-5.2156742986237852</v>
      </c>
      <c r="C497">
        <f>AVERAGE('R1'!J497,'R2'!J497,'R3'!J497)</f>
        <v>1.1733333333333331</v>
      </c>
      <c r="D497">
        <f>AVERAGE('R1'!K497,'R2'!K497,'R3'!K497)</f>
        <v>20.773915083333332</v>
      </c>
      <c r="E497">
        <f>AVERAGE('R1'!L497,'R2'!L497,'R3'!L497)</f>
        <v>-0.22014096929002394</v>
      </c>
      <c r="F497">
        <f>AVERAGE('R1'!M497,'R2'!M497,'R3'!M497)</f>
        <v>3.3661196694980977</v>
      </c>
      <c r="G497">
        <f>AVERAGE('R1'!N497,'R2'!N497,'R3'!N497)</f>
        <v>-1.7533002586964874</v>
      </c>
      <c r="H497">
        <f>AVERAGE('R1'!O497,'R2'!O497,'R3'!O497)</f>
        <v>-0.87019123749116423</v>
      </c>
      <c r="I497">
        <f t="shared" si="11"/>
        <v>4062.4545051851846</v>
      </c>
      <c r="K497">
        <f>_xlfn.STDEV.S('R1'!L497,'R2'!L497,'R3'!L497)</f>
        <v>8.7111965391854802E-3</v>
      </c>
      <c r="L497">
        <f>_xlfn.STDEV.S('R1'!M497,'R2'!M497,'R3'!M497)</f>
        <v>1.9908631488564039E-2</v>
      </c>
      <c r="M497">
        <f>_xlfn.STDEV.S('R1'!N497,'R2'!N497,'R3'!N497)</f>
        <v>1.7337117649005133E-2</v>
      </c>
      <c r="N497">
        <f>_xlfn.STDEV.S('R1'!O497,'R2'!O497,'R3'!O497)</f>
        <v>1.5056403758705145E-2</v>
      </c>
    </row>
    <row r="498" spans="1:14" x14ac:dyDescent="0.25">
      <c r="A498">
        <f>-'R1'!H498</f>
        <v>-40</v>
      </c>
      <c r="B498">
        <f>DEGREES(ATAN(-SIN(RADIANS(('R1'!I498)))/(COS(RADIANS(Sheet1!A498))*COS(RADIANS('R1'!I498)))))</f>
        <v>-10.396047080877794</v>
      </c>
      <c r="C498">
        <f>AVERAGE('R1'!J498,'R2'!J498,'R3'!J498)</f>
        <v>1.1733333333333331</v>
      </c>
      <c r="D498">
        <f>AVERAGE('R1'!K498,'R2'!K498,'R3'!K498)</f>
        <v>20.63011625</v>
      </c>
      <c r="E498">
        <f>AVERAGE('R1'!L498,'R2'!L498,'R3'!L498)</f>
        <v>-0.59230561041182062</v>
      </c>
      <c r="F498">
        <f>AVERAGE('R1'!M498,'R2'!M498,'R3'!M498)</f>
        <v>3.0828581989777386</v>
      </c>
      <c r="G498">
        <f>AVERAGE('R1'!N498,'R2'!N498,'R3'!N498)</f>
        <v>-1.6297467160774819</v>
      </c>
      <c r="H498">
        <f>AVERAGE('R1'!O498,'R2'!O498,'R3'!O498)</f>
        <v>-0.91475105128899126</v>
      </c>
      <c r="I498">
        <f t="shared" si="11"/>
        <v>4034.3338444444444</v>
      </c>
      <c r="K498">
        <f>_xlfn.STDEV.S('R1'!L498,'R2'!L498,'R3'!L498)</f>
        <v>9.0082822471586992E-3</v>
      </c>
      <c r="L498">
        <f>_xlfn.STDEV.S('R1'!M498,'R2'!M498,'R3'!M498)</f>
        <v>1.047649213962322E-2</v>
      </c>
      <c r="M498">
        <f>_xlfn.STDEV.S('R1'!N498,'R2'!N498,'R3'!N498)</f>
        <v>1.1996926078196338E-2</v>
      </c>
      <c r="N498">
        <f>_xlfn.STDEV.S('R1'!O498,'R2'!O498,'R3'!O498)</f>
        <v>1.2765989605311607E-2</v>
      </c>
    </row>
    <row r="499" spans="1:14" x14ac:dyDescent="0.25">
      <c r="A499">
        <f>-'R1'!H499</f>
        <v>-40</v>
      </c>
      <c r="B499">
        <f>DEGREES(ATAN(-SIN(RADIANS(('R1'!I499)))/(COS(RADIANS(Sheet1!A499))*COS(RADIANS('R1'!I499)))))</f>
        <v>-15.507892018560797</v>
      </c>
      <c r="C499">
        <f>AVERAGE('R1'!J499,'R2'!J499,'R3'!J499)</f>
        <v>1.1741666666666666</v>
      </c>
      <c r="D499">
        <f>AVERAGE('R1'!K499,'R2'!K499,'R3'!K499)</f>
        <v>20.490841666666665</v>
      </c>
      <c r="E499">
        <f>AVERAGE('R1'!L499,'R2'!L499,'R3'!L499)</f>
        <v>-0.90429455460919383</v>
      </c>
      <c r="F499">
        <f>AVERAGE('R1'!M499,'R2'!M499,'R3'!M499)</f>
        <v>2.8696995736915203</v>
      </c>
      <c r="G499">
        <f>AVERAGE('R1'!N499,'R2'!N499,'R3'!N499)</f>
        <v>-1.5661373037749302</v>
      </c>
      <c r="H499">
        <f>AVERAGE('R1'!O499,'R2'!O499,'R3'!O499)</f>
        <v>-0.96839643127267738</v>
      </c>
      <c r="I499">
        <f t="shared" si="11"/>
        <v>4009.943876157407</v>
      </c>
      <c r="K499">
        <f>_xlfn.STDEV.S('R1'!L499,'R2'!L499,'R3'!L499)</f>
        <v>3.7569671581066024E-3</v>
      </c>
      <c r="L499">
        <f>_xlfn.STDEV.S('R1'!M499,'R2'!M499,'R3'!M499)</f>
        <v>2.0200901280823459E-2</v>
      </c>
      <c r="M499">
        <f>_xlfn.STDEV.S('R1'!N499,'R2'!N499,'R3'!N499)</f>
        <v>1.84989731975214E-2</v>
      </c>
      <c r="N499">
        <f>_xlfn.STDEV.S('R1'!O499,'R2'!O499,'R3'!O499)</f>
        <v>1.2429119067450449E-2</v>
      </c>
    </row>
    <row r="500" spans="1:14" x14ac:dyDescent="0.25">
      <c r="A500">
        <f>-'R1'!H500</f>
        <v>-40</v>
      </c>
      <c r="B500">
        <f>DEGREES(ATAN(-SIN(RADIANS(('R1'!I500)))/(COS(RADIANS(Sheet1!A500))*COS(RADIANS('R1'!I500)))))</f>
        <v>-20.5218555971705</v>
      </c>
      <c r="C500">
        <f>AVERAGE('R1'!J500,'R2'!J500,'R3'!J500)</f>
        <v>1.1766666666666665</v>
      </c>
      <c r="D500">
        <f>AVERAGE('R1'!K500,'R2'!K500,'R3'!K500)</f>
        <v>20.385728166666667</v>
      </c>
      <c r="E500">
        <f>AVERAGE('R1'!L500,'R2'!L500,'R3'!L500)</f>
        <v>-1.1736950985909747</v>
      </c>
      <c r="F500">
        <f>AVERAGE('R1'!M500,'R2'!M500,'R3'!M500)</f>
        <v>2.7195464157159468</v>
      </c>
      <c r="G500">
        <f>AVERAGE('R1'!N500,'R2'!N500,'R3'!N500)</f>
        <v>-1.551877114048561</v>
      </c>
      <c r="H500">
        <f>AVERAGE('R1'!O500,'R2'!O500,'R3'!O500)</f>
        <v>-1.0345444633156615</v>
      </c>
      <c r="I500">
        <f t="shared" si="11"/>
        <v>3997.8678015740729</v>
      </c>
      <c r="K500">
        <f>_xlfn.STDEV.S('R1'!L500,'R2'!L500,'R3'!L500)</f>
        <v>2.8162816131080703E-3</v>
      </c>
      <c r="L500">
        <f>_xlfn.STDEV.S('R1'!M500,'R2'!M500,'R3'!M500)</f>
        <v>1.0907357724282691E-2</v>
      </c>
      <c r="M500">
        <f>_xlfn.STDEV.S('R1'!N500,'R2'!N500,'R3'!N500)</f>
        <v>9.3102955506825982E-3</v>
      </c>
      <c r="N500">
        <f>_xlfn.STDEV.S('R1'!O500,'R2'!O500,'R3'!O500)</f>
        <v>1.0684716202240296E-2</v>
      </c>
    </row>
    <row r="501" spans="1:14" x14ac:dyDescent="0.25">
      <c r="A501">
        <f>-'R1'!H501</f>
        <v>-40</v>
      </c>
      <c r="B501">
        <f>DEGREES(ATAN(-SIN(RADIANS(('R1'!I501)))/(COS(RADIANS(Sheet1!A501))*COS(RADIANS('R1'!I501)))))</f>
        <v>-25.413766880049252</v>
      </c>
      <c r="C501">
        <f>AVERAGE('R1'!J501,'R2'!J501,'R3'!J501)</f>
        <v>1.1749999999999998</v>
      </c>
      <c r="D501">
        <f>AVERAGE('R1'!K501,'R2'!K501,'R3'!K501)</f>
        <v>20.296994166666664</v>
      </c>
      <c r="E501">
        <f>AVERAGE('R1'!L501,'R2'!L501,'R3'!L501)</f>
        <v>-1.4035328286235169</v>
      </c>
      <c r="F501">
        <f>AVERAGE('R1'!M501,'R2'!M501,'R3'!M501)</f>
        <v>2.598821375703809</v>
      </c>
      <c r="G501">
        <f>AVERAGE('R1'!N501,'R2'!N501,'R3'!N501)</f>
        <v>-1.5537118724631451</v>
      </c>
      <c r="H501">
        <f>AVERAGE('R1'!O501,'R2'!O501,'R3'!O501)</f>
        <v>-1.1146615789211367</v>
      </c>
      <c r="I501">
        <f t="shared" si="11"/>
        <v>3974.8280243055542</v>
      </c>
      <c r="K501">
        <f>_xlfn.STDEV.S('R1'!L501,'R2'!L501,'R3'!L501)</f>
        <v>3.4055936060637792E-4</v>
      </c>
      <c r="L501">
        <f>_xlfn.STDEV.S('R1'!M501,'R2'!M501,'R3'!M501)</f>
        <v>8.8622141745401256E-3</v>
      </c>
      <c r="M501">
        <f>_xlfn.STDEV.S('R1'!N501,'R2'!N501,'R3'!N501)</f>
        <v>7.8492038268500909E-3</v>
      </c>
      <c r="N501">
        <f>_xlfn.STDEV.S('R1'!O501,'R2'!O501,'R3'!O501)</f>
        <v>7.9708169758380704E-3</v>
      </c>
    </row>
    <row r="502" spans="1:14" x14ac:dyDescent="0.25">
      <c r="A502">
        <f>-'R1'!H502</f>
        <v>-40</v>
      </c>
      <c r="B502">
        <f>DEGREES(ATAN(-SIN(RADIANS(('R1'!I502)))/(COS(RADIANS(Sheet1!A502))*COS(RADIANS('R1'!I502)))))</f>
        <v>-30.165358572591657</v>
      </c>
      <c r="C502">
        <f>AVERAGE('R1'!J502,'R2'!J502,'R3'!J502)</f>
        <v>1.1733333333333331</v>
      </c>
      <c r="D502">
        <f>AVERAGE('R1'!K502,'R2'!K502,'R3'!K502)</f>
        <v>20.362212500000002</v>
      </c>
      <c r="E502">
        <f>AVERAGE('R1'!L502,'R2'!L502,'R3'!L502)</f>
        <v>-1.5968872445484097</v>
      </c>
      <c r="F502">
        <f>AVERAGE('R1'!M502,'R2'!M502,'R3'!M502)</f>
        <v>2.5365250376896786</v>
      </c>
      <c r="G502">
        <f>AVERAGE('R1'!N502,'R2'!N502,'R3'!N502)</f>
        <v>-1.5909970204755461</v>
      </c>
      <c r="H502">
        <f>AVERAGE('R1'!O502,'R2'!O502,'R3'!O502)</f>
        <v>-1.2080259313077082</v>
      </c>
      <c r="I502">
        <f t="shared" si="11"/>
        <v>3981.9437777777775</v>
      </c>
      <c r="K502">
        <f>_xlfn.STDEV.S('R1'!L502,'R2'!L502,'R3'!L502)</f>
        <v>8.9558330596507842E-3</v>
      </c>
      <c r="L502">
        <f>_xlfn.STDEV.S('R1'!M502,'R2'!M502,'R3'!M502)</f>
        <v>9.2942346460307308E-3</v>
      </c>
      <c r="M502">
        <f>_xlfn.STDEV.S('R1'!N502,'R2'!N502,'R3'!N502)</f>
        <v>2.3678858650829221E-3</v>
      </c>
      <c r="N502">
        <f>_xlfn.STDEV.S('R1'!O502,'R2'!O502,'R3'!O502)</f>
        <v>3.8800067227638831E-3</v>
      </c>
    </row>
    <row r="503" spans="1:14" x14ac:dyDescent="0.25">
      <c r="A503">
        <f>-'R1'!H503</f>
        <v>-40</v>
      </c>
      <c r="B503">
        <f>DEGREES(ATAN(-SIN(RADIANS(('R1'!I503)))/(COS(RADIANS(Sheet1!A503))*COS(RADIANS('R1'!I503)))))</f>
        <v>-34.764413107862225</v>
      </c>
      <c r="C503">
        <f>AVERAGE('R1'!J503,'R2'!J503,'R3'!J503)</f>
        <v>1.1733333333333331</v>
      </c>
      <c r="D503">
        <f>AVERAGE('R1'!K503,'R2'!K503,'R3'!K503)</f>
        <v>20.791065166666666</v>
      </c>
      <c r="E503">
        <f>AVERAGE('R1'!L503,'R2'!L503,'R3'!L503)</f>
        <v>-1.7801488019512306</v>
      </c>
      <c r="F503">
        <f>AVERAGE('R1'!M503,'R2'!M503,'R3'!M503)</f>
        <v>2.5174997862651751</v>
      </c>
      <c r="G503">
        <f>AVERAGE('R1'!N503,'R2'!N503,'R3'!N503)</f>
        <v>-1.6701052488501948</v>
      </c>
      <c r="H503">
        <f>AVERAGE('R1'!O503,'R2'!O503,'R3'!O503)</f>
        <v>-1.3203242390031973</v>
      </c>
      <c r="I503">
        <f t="shared" si="11"/>
        <v>4065.8082992592585</v>
      </c>
      <c r="K503">
        <f>_xlfn.STDEV.S('R1'!L503,'R2'!L503,'R3'!L503)</f>
        <v>9.8110637476534965E-3</v>
      </c>
      <c r="L503">
        <f>_xlfn.STDEV.S('R1'!M503,'R2'!M503,'R3'!M503)</f>
        <v>9.6305590638504496E-3</v>
      </c>
      <c r="M503">
        <f>_xlfn.STDEV.S('R1'!N503,'R2'!N503,'R3'!N503)</f>
        <v>2.2822823227472374E-3</v>
      </c>
      <c r="N503">
        <f>_xlfn.STDEV.S('R1'!O503,'R2'!O503,'R3'!O503)</f>
        <v>7.3537846701882108E-3</v>
      </c>
    </row>
    <row r="504" spans="1:14" x14ac:dyDescent="0.25">
      <c r="A504">
        <f>-'R1'!H504</f>
        <v>-40</v>
      </c>
      <c r="B504">
        <f>DEGREES(ATAN(-SIN(RADIANS(('R1'!I504)))/(COS(RADIANS(Sheet1!A504))*COS(RADIANS('R1'!I504)))))</f>
        <v>-39.204435233296593</v>
      </c>
      <c r="C504">
        <f>AVERAGE('R1'!J504,'R2'!J504,'R3'!J504)</f>
        <v>1.1733333333333331</v>
      </c>
      <c r="D504">
        <f>AVERAGE('R1'!K504,'R2'!K504,'R3'!K504)</f>
        <v>20.857912666666664</v>
      </c>
      <c r="E504">
        <f>AVERAGE('R1'!L504,'R2'!L504,'R3'!L504)</f>
        <v>-1.9596613827045246</v>
      </c>
      <c r="F504">
        <f>AVERAGE('R1'!M504,'R2'!M504,'R3'!M504)</f>
        <v>2.53621927006634</v>
      </c>
      <c r="G504">
        <f>AVERAGE('R1'!N504,'R2'!N504,'R3'!N504)</f>
        <v>-1.7871965336575555</v>
      </c>
      <c r="H504">
        <f>AVERAGE('R1'!O504,'R2'!O504,'R3'!O504)</f>
        <v>-1.4490009587229178</v>
      </c>
      <c r="I504">
        <f t="shared" si="11"/>
        <v>4078.8806992592577</v>
      </c>
      <c r="K504">
        <f>_xlfn.STDEV.S('R1'!L504,'R2'!L504,'R3'!L504)</f>
        <v>1.0788679370170475E-2</v>
      </c>
      <c r="L504">
        <f>_xlfn.STDEV.S('R1'!M504,'R2'!M504,'R3'!M504)</f>
        <v>5.651136090748827E-3</v>
      </c>
      <c r="M504">
        <f>_xlfn.STDEV.S('R1'!N504,'R2'!N504,'R3'!N504)</f>
        <v>3.8136643989362192E-3</v>
      </c>
      <c r="N504">
        <f>_xlfn.STDEV.S('R1'!O504,'R2'!O504,'R3'!O504)</f>
        <v>8.450917196651796E-3</v>
      </c>
    </row>
    <row r="505" spans="1:14" x14ac:dyDescent="0.25">
      <c r="A505">
        <f>-'R1'!H505</f>
        <v>-40</v>
      </c>
      <c r="B505">
        <f>DEGREES(ATAN(-SIN(RADIANS(('R1'!I505)))/(COS(RADIANS(Sheet1!A505))*COS(RADIANS('R1'!I505)))))</f>
        <v>-43.48399800633365</v>
      </c>
      <c r="C505">
        <f>AVERAGE('R1'!J505,'R2'!J505,'R3'!J505)</f>
        <v>1.1733333333333331</v>
      </c>
      <c r="D505">
        <f>AVERAGE('R1'!K505,'R2'!K505,'R3'!K505)</f>
        <v>20.659417250000001</v>
      </c>
      <c r="E505">
        <f>AVERAGE('R1'!L505,'R2'!L505,'R3'!L505)</f>
        <v>-2.1532878448006851</v>
      </c>
      <c r="F505">
        <f>AVERAGE('R1'!M505,'R2'!M505,'R3'!M505)</f>
        <v>2.6203201698265777</v>
      </c>
      <c r="G505">
        <f>AVERAGE('R1'!N505,'R2'!N505,'R3'!N505)</f>
        <v>-1.9689297536615136</v>
      </c>
      <c r="H505">
        <f>AVERAGE('R1'!O505,'R2'!O505,'R3'!O505)</f>
        <v>-1.6139779902653448</v>
      </c>
      <c r="I505">
        <f t="shared" si="11"/>
        <v>4040.0638177777769</v>
      </c>
      <c r="K505">
        <f>_xlfn.STDEV.S('R1'!L505,'R2'!L505,'R3'!L505)</f>
        <v>1.4888198614431384E-2</v>
      </c>
      <c r="L505">
        <f>_xlfn.STDEV.S('R1'!M505,'R2'!M505,'R3'!M505)</f>
        <v>7.3450464191484651E-3</v>
      </c>
      <c r="M505">
        <f>_xlfn.STDEV.S('R1'!N505,'R2'!N505,'R3'!N505)</f>
        <v>5.8931847216611519E-3</v>
      </c>
      <c r="N505">
        <f>_xlfn.STDEV.S('R1'!O505,'R2'!O505,'R3'!O505)</f>
        <v>5.9367177651962234E-3</v>
      </c>
    </row>
    <row r="506" spans="1:14" x14ac:dyDescent="0.25">
      <c r="A506">
        <f>-'R1'!H506</f>
        <v>-40</v>
      </c>
      <c r="B506">
        <f>DEGREES(ATAN(-SIN(RADIANS(('R1'!I506)))/(COS(RADIANS(Sheet1!A506))*COS(RADIANS('R1'!I506)))))</f>
        <v>-47.605913955135343</v>
      </c>
      <c r="C506">
        <f>AVERAGE('R1'!J506,'R2'!J506,'R3'!J506)</f>
        <v>1.1733333333333331</v>
      </c>
      <c r="D506">
        <f>AVERAGE('R1'!K506,'R2'!K506,'R3'!K506)</f>
        <v>20.538829416666669</v>
      </c>
      <c r="E506">
        <f>AVERAGE('R1'!L506,'R2'!L506,'R3'!L506)</f>
        <v>-2.3557089204591066</v>
      </c>
      <c r="F506">
        <f>AVERAGE('R1'!M506,'R2'!M506,'R3'!M506)</f>
        <v>2.7665540005165039</v>
      </c>
      <c r="G506">
        <f>AVERAGE('R1'!N506,'R2'!N506,'R3'!N506)</f>
        <v>-2.2123313500147912</v>
      </c>
      <c r="H506">
        <f>AVERAGE('R1'!O506,'R2'!O506,'R3'!O506)</f>
        <v>-1.8105353312586498</v>
      </c>
      <c r="I506">
        <f t="shared" si="11"/>
        <v>4016.4821970370367</v>
      </c>
      <c r="K506">
        <f>_xlfn.STDEV.S('R1'!L506,'R2'!L506,'R3'!L506)</f>
        <v>1.3507640678077613E-2</v>
      </c>
      <c r="L506">
        <f>_xlfn.STDEV.S('R1'!M506,'R2'!M506,'R3'!M506)</f>
        <v>8.2249985778289365E-3</v>
      </c>
      <c r="M506">
        <f>_xlfn.STDEV.S('R1'!N506,'R2'!N506,'R3'!N506)</f>
        <v>6.9229288285752701E-3</v>
      </c>
      <c r="N506">
        <f>_xlfn.STDEV.S('R1'!O506,'R2'!O506,'R3'!O506)</f>
        <v>4.8998323946308295E-3</v>
      </c>
    </row>
    <row r="507" spans="1:14" x14ac:dyDescent="0.25">
      <c r="A507">
        <f>-'R1'!H507</f>
        <v>-40</v>
      </c>
      <c r="B507">
        <f>DEGREES(ATAN(-SIN(RADIANS(('R1'!I507)))/(COS(RADIANS(Sheet1!A507))*COS(RADIANS('R1'!I507)))))</f>
        <v>-51.576359961556868</v>
      </c>
      <c r="C507">
        <f>AVERAGE('R1'!J507,'R2'!J507,'R3'!J507)</f>
        <v>1.1733333333333331</v>
      </c>
      <c r="D507">
        <f>AVERAGE('R1'!K507,'R2'!K507,'R3'!K507)</f>
        <v>20.393086583333332</v>
      </c>
      <c r="E507">
        <f>AVERAGE('R1'!L507,'R2'!L507,'R3'!L507)</f>
        <v>-2.5912485879368132</v>
      </c>
      <c r="F507">
        <f>AVERAGE('R1'!M507,'R2'!M507,'R3'!M507)</f>
        <v>2.952872220031002</v>
      </c>
      <c r="G507">
        <f>AVERAGE('R1'!N507,'R2'!N507,'R3'!N507)</f>
        <v>-2.5204636339115045</v>
      </c>
      <c r="H507">
        <f>AVERAGE('R1'!O507,'R2'!O507,'R3'!O507)</f>
        <v>-2.0460044732459752</v>
      </c>
      <c r="I507">
        <f t="shared" si="11"/>
        <v>3987.9813762962958</v>
      </c>
      <c r="K507">
        <f>_xlfn.STDEV.S('R1'!L507,'R2'!L507,'R3'!L507)</f>
        <v>2.2746982337036491E-2</v>
      </c>
      <c r="L507">
        <f>_xlfn.STDEV.S('R1'!M507,'R2'!M507,'R3'!M507)</f>
        <v>1.3917886606574555E-2</v>
      </c>
      <c r="M507">
        <f>_xlfn.STDEV.S('R1'!N507,'R2'!N507,'R3'!N507)</f>
        <v>2.8176562878076215E-2</v>
      </c>
      <c r="N507">
        <f>_xlfn.STDEV.S('R1'!O507,'R2'!O507,'R3'!O507)</f>
        <v>6.9132058853466826E-3</v>
      </c>
    </row>
    <row r="508" spans="1:14" x14ac:dyDescent="0.25">
      <c r="A508">
        <f>-'R1'!H508</f>
        <v>-44</v>
      </c>
      <c r="B508">
        <f>DEGREES(ATAN(-SIN(RADIANS(('R1'!I508)))/(COS(RADIANS(Sheet1!A508))*COS(RADIANS('R1'!I508)))))</f>
        <v>53.317641506405714</v>
      </c>
      <c r="C508">
        <f>AVERAGE('R1'!J508,'R2'!J508,'R3'!J508)</f>
        <v>1.1733333333333331</v>
      </c>
      <c r="D508">
        <f>AVERAGE('R1'!K508,'R2'!K508,'R3'!K508)</f>
        <v>20.858952833333333</v>
      </c>
      <c r="E508">
        <f>AVERAGE('R1'!L508,'R2'!L508,'R3'!L508)</f>
        <v>2.6224285471499518</v>
      </c>
      <c r="F508">
        <f>AVERAGE('R1'!M508,'R2'!M508,'R3'!M508)</f>
        <v>2.9400514866658605</v>
      </c>
      <c r="G508">
        <f>AVERAGE('R1'!N508,'R2'!N508,'R3'!N508)</f>
        <v>-2.5888226771620384</v>
      </c>
      <c r="H508">
        <f>AVERAGE('R1'!O508,'R2'!O508,'R3'!O508)</f>
        <v>-2.1423364738301767</v>
      </c>
      <c r="I508">
        <f t="shared" si="11"/>
        <v>4079.084109629629</v>
      </c>
      <c r="K508">
        <f>_xlfn.STDEV.S('R1'!L508,'R2'!L508,'R3'!L508)</f>
        <v>1.8302263624257571E-3</v>
      </c>
      <c r="L508">
        <f>_xlfn.STDEV.S('R1'!M508,'R2'!M508,'R3'!M508)</f>
        <v>4.156267814857023E-3</v>
      </c>
      <c r="M508">
        <f>_xlfn.STDEV.S('R1'!N508,'R2'!N508,'R3'!N508)</f>
        <v>1.4021049188042139E-3</v>
      </c>
      <c r="N508">
        <f>_xlfn.STDEV.S('R1'!O508,'R2'!O508,'R3'!O508)</f>
        <v>1.2427644052413001E-2</v>
      </c>
    </row>
    <row r="509" spans="1:14" x14ac:dyDescent="0.25">
      <c r="A509">
        <f>-'R1'!H509</f>
        <v>-44</v>
      </c>
      <c r="B509">
        <f>DEGREES(ATAN(-SIN(RADIANS(('R1'!I509)))/(COS(RADIANS(Sheet1!A509))*COS(RADIANS('R1'!I509)))))</f>
        <v>49.394314915379752</v>
      </c>
      <c r="C509">
        <f>AVERAGE('R1'!J509,'R2'!J509,'R3'!J509)</f>
        <v>1.1733333333333331</v>
      </c>
      <c r="D509">
        <f>AVERAGE('R1'!K509,'R2'!K509,'R3'!K509)</f>
        <v>20.951306666666664</v>
      </c>
      <c r="E509">
        <f>AVERAGE('R1'!L509,'R2'!L509,'R3'!L509)</f>
        <v>2.4335122283209301</v>
      </c>
      <c r="F509">
        <f>AVERAGE('R1'!M509,'R2'!M509,'R3'!M509)</f>
        <v>2.812436287904577</v>
      </c>
      <c r="G509">
        <f>AVERAGE('R1'!N509,'R2'!N509,'R3'!N509)</f>
        <v>-2.3349239863092146</v>
      </c>
      <c r="H509">
        <f>AVERAGE('R1'!O509,'R2'!O509,'R3'!O509)</f>
        <v>-1.9512016389124955</v>
      </c>
      <c r="I509">
        <f t="shared" si="11"/>
        <v>4097.1444148148139</v>
      </c>
      <c r="K509">
        <f>_xlfn.STDEV.S('R1'!L509,'R2'!L509,'R3'!L509)</f>
        <v>8.1634647966842694E-3</v>
      </c>
      <c r="L509">
        <f>_xlfn.STDEV.S('R1'!M509,'R2'!M509,'R3'!M509)</f>
        <v>3.0845359019896976E-3</v>
      </c>
      <c r="M509">
        <f>_xlfn.STDEV.S('R1'!N509,'R2'!N509,'R3'!N509)</f>
        <v>6.6169292457902394E-3</v>
      </c>
      <c r="N509">
        <f>_xlfn.STDEV.S('R1'!O509,'R2'!O509,'R3'!O509)</f>
        <v>9.2237628380188088E-3</v>
      </c>
    </row>
    <row r="510" spans="1:14" x14ac:dyDescent="0.25">
      <c r="A510">
        <f>-'R1'!H510</f>
        <v>-44</v>
      </c>
      <c r="B510">
        <f>DEGREES(ATAN(-SIN(RADIANS(('R1'!I510)))/(COS(RADIANS(Sheet1!A510))*COS(RADIANS('R1'!I510)))))</f>
        <v>45.285419134418312</v>
      </c>
      <c r="C510">
        <f>AVERAGE('R1'!J510,'R2'!J510,'R3'!J510)</f>
        <v>1.1766666666666665</v>
      </c>
      <c r="D510">
        <f>AVERAGE('R1'!K510,'R2'!K510,'R3'!K510)</f>
        <v>20.716994666666668</v>
      </c>
      <c r="E510">
        <f>AVERAGE('R1'!L510,'R2'!L510,'R3'!L510)</f>
        <v>2.2714306614334885</v>
      </c>
      <c r="F510">
        <f>AVERAGE('R1'!M510,'R2'!M510,'R3'!M510)</f>
        <v>2.7211084998077539</v>
      </c>
      <c r="G510">
        <f>AVERAGE('R1'!N510,'R2'!N510,'R3'!N510)</f>
        <v>-2.1442071417665516</v>
      </c>
      <c r="H510">
        <f>AVERAGE('R1'!O510,'R2'!O510,'R3'!O510)</f>
        <v>-1.7911341816314195</v>
      </c>
      <c r="I510">
        <f t="shared" si="11"/>
        <v>4062.8328429629632</v>
      </c>
      <c r="K510">
        <f>_xlfn.STDEV.S('R1'!L510,'R2'!L510,'R3'!L510)</f>
        <v>5.4545116786270968E-3</v>
      </c>
      <c r="L510">
        <f>_xlfn.STDEV.S('R1'!M510,'R2'!M510,'R3'!M510)</f>
        <v>9.7444495089011006E-3</v>
      </c>
      <c r="M510">
        <f>_xlfn.STDEV.S('R1'!N510,'R2'!N510,'R3'!N510)</f>
        <v>9.6657968468178111E-3</v>
      </c>
      <c r="N510">
        <f>_xlfn.STDEV.S('R1'!O510,'R2'!O510,'R3'!O510)</f>
        <v>1.6203744688971421E-2</v>
      </c>
    </row>
    <row r="511" spans="1:14" x14ac:dyDescent="0.25">
      <c r="A511">
        <f>-'R1'!H511</f>
        <v>-44</v>
      </c>
      <c r="B511">
        <f>DEGREES(ATAN(-SIN(RADIANS(('R1'!I511)))/(COS(RADIANS(Sheet1!A511))*COS(RADIANS('R1'!I511)))))</f>
        <v>40.979886989205063</v>
      </c>
      <c r="C511">
        <f>AVERAGE('R1'!J511,'R2'!J511,'R3'!J511)</f>
        <v>1.1749999999999998</v>
      </c>
      <c r="D511">
        <f>AVERAGE('R1'!K511,'R2'!K511,'R3'!K511)</f>
        <v>20.652013499999999</v>
      </c>
      <c r="E511">
        <f>AVERAGE('R1'!L511,'R2'!L511,'R3'!L511)</f>
        <v>2.1293339367386803</v>
      </c>
      <c r="F511">
        <f>AVERAGE('R1'!M511,'R2'!M511,'R3'!M511)</f>
        <v>2.6752256643715313</v>
      </c>
      <c r="G511">
        <f>AVERAGE('R1'!N511,'R2'!N511,'R3'!N511)</f>
        <v>-2.0123598690413722</v>
      </c>
      <c r="H511">
        <f>AVERAGE('R1'!O511,'R2'!O511,'R3'!O511)</f>
        <v>-1.6605587706952738</v>
      </c>
      <c r="I511">
        <f t="shared" si="11"/>
        <v>4044.3526437499986</v>
      </c>
      <c r="K511">
        <f>_xlfn.STDEV.S('R1'!L511,'R2'!L511,'R3'!L511)</f>
        <v>2.2349614330574551E-3</v>
      </c>
      <c r="L511">
        <f>_xlfn.STDEV.S('R1'!M511,'R2'!M511,'R3'!M511)</f>
        <v>1.1489180033847642E-2</v>
      </c>
      <c r="M511">
        <f>_xlfn.STDEV.S('R1'!N511,'R2'!N511,'R3'!N511)</f>
        <v>1.2315894558007015E-2</v>
      </c>
      <c r="N511">
        <f>_xlfn.STDEV.S('R1'!O511,'R2'!O511,'R3'!O511)</f>
        <v>1.5294671808174422E-2</v>
      </c>
    </row>
    <row r="512" spans="1:14" x14ac:dyDescent="0.25">
      <c r="A512">
        <f>-'R1'!H512</f>
        <v>-44</v>
      </c>
      <c r="B512">
        <f>DEGREES(ATAN(-SIN(RADIANS(('R1'!I512)))/(COS(RADIANS(Sheet1!A512))*COS(RADIANS('R1'!I512)))))</f>
        <v>36.470444456761925</v>
      </c>
      <c r="C512">
        <f>AVERAGE('R1'!J512,'R2'!J512,'R3'!J512)</f>
        <v>1.1733333333333331</v>
      </c>
      <c r="D512">
        <f>AVERAGE('R1'!K512,'R2'!K512,'R3'!K512)</f>
        <v>20.948099166666669</v>
      </c>
      <c r="E512">
        <f>AVERAGE('R1'!L512,'R2'!L512,'R3'!L512)</f>
        <v>1.9930394129993505</v>
      </c>
      <c r="F512">
        <f>AVERAGE('R1'!M512,'R2'!M512,'R3'!M512)</f>
        <v>2.6742419571536042</v>
      </c>
      <c r="G512">
        <f>AVERAGE('R1'!N512,'R2'!N512,'R3'!N512)</f>
        <v>-1.9276482375522666</v>
      </c>
      <c r="H512">
        <f>AVERAGE('R1'!O512,'R2'!O512,'R3'!O512)</f>
        <v>-1.5577896186117066</v>
      </c>
      <c r="I512">
        <f t="shared" si="11"/>
        <v>4096.51717037037</v>
      </c>
      <c r="K512">
        <f>_xlfn.STDEV.S('R1'!L512,'R2'!L512,'R3'!L512)</f>
        <v>5.2443830462347721E-3</v>
      </c>
      <c r="L512">
        <f>_xlfn.STDEV.S('R1'!M512,'R2'!M512,'R3'!M512)</f>
        <v>4.0101614647185032E-3</v>
      </c>
      <c r="M512">
        <f>_xlfn.STDEV.S('R1'!N512,'R2'!N512,'R3'!N512)</f>
        <v>1.395159886381512E-3</v>
      </c>
      <c r="N512">
        <f>_xlfn.STDEV.S('R1'!O512,'R2'!O512,'R3'!O512)</f>
        <v>5.7588561308747101E-3</v>
      </c>
    </row>
    <row r="513" spans="1:14" x14ac:dyDescent="0.25">
      <c r="A513">
        <f>-'R1'!H513</f>
        <v>-44</v>
      </c>
      <c r="B513">
        <f>DEGREES(ATAN(-SIN(RADIANS(('R1'!I513)))/(COS(RADIANS(Sheet1!A513))*COS(RADIANS('R1'!I513)))))</f>
        <v>31.755051399893443</v>
      </c>
      <c r="C513">
        <f>AVERAGE('R1'!J513,'R2'!J513,'R3'!J513)</f>
        <v>1.1733333333333331</v>
      </c>
      <c r="D513">
        <f>AVERAGE('R1'!K513,'R2'!K513,'R3'!K513)</f>
        <v>21.241841166666664</v>
      </c>
      <c r="E513">
        <f>AVERAGE('R1'!L513,'R2'!L513,'R3'!L513)</f>
        <v>1.8491564606525099</v>
      </c>
      <c r="F513">
        <f>AVERAGE('R1'!M513,'R2'!M513,'R3'!M513)</f>
        <v>2.7280020268248415</v>
      </c>
      <c r="G513">
        <f>AVERAGE('R1'!N513,'R2'!N513,'R3'!N513)</f>
        <v>-1.886431738786458</v>
      </c>
      <c r="H513">
        <f>AVERAGE('R1'!O513,'R2'!O513,'R3'!O513)</f>
        <v>-1.4772334164864807</v>
      </c>
      <c r="I513">
        <f t="shared" si="11"/>
        <v>4153.9600503703687</v>
      </c>
      <c r="K513">
        <f>_xlfn.STDEV.S('R1'!L513,'R2'!L513,'R3'!L513)</f>
        <v>6.2155282165900164E-3</v>
      </c>
      <c r="L513">
        <f>_xlfn.STDEV.S('R1'!M513,'R2'!M513,'R3'!M513)</f>
        <v>9.2119782200509835E-3</v>
      </c>
      <c r="M513">
        <f>_xlfn.STDEV.S('R1'!N513,'R2'!N513,'R3'!N513)</f>
        <v>1.0486893278174326E-2</v>
      </c>
      <c r="N513">
        <f>_xlfn.STDEV.S('R1'!O513,'R2'!O513,'R3'!O513)</f>
        <v>8.2597090156365221E-3</v>
      </c>
    </row>
    <row r="514" spans="1:14" x14ac:dyDescent="0.25">
      <c r="A514">
        <f>-'R1'!H514</f>
        <v>-44</v>
      </c>
      <c r="B514">
        <f>DEGREES(ATAN(-SIN(RADIANS(('R1'!I514)))/(COS(RADIANS(Sheet1!A514))*COS(RADIANS('R1'!I514)))))</f>
        <v>26.838414444764965</v>
      </c>
      <c r="C514">
        <f>AVERAGE('R1'!J514,'R2'!J514,'R3'!J514)</f>
        <v>1.093333333333333</v>
      </c>
      <c r="D514">
        <f>AVERAGE('R1'!K514,'R2'!K514,'R3'!K514)</f>
        <v>23.746418833333333</v>
      </c>
      <c r="E514">
        <f>AVERAGE('R1'!L514,'R2'!L514,'R3'!L514)</f>
        <v>1.6897273539233648</v>
      </c>
      <c r="F514">
        <f>AVERAGE('R1'!M514,'R2'!M514,'R3'!M514)</f>
        <v>2.8305772107661178</v>
      </c>
      <c r="G514">
        <f>AVERAGE('R1'!N514,'R2'!N514,'R3'!N514)</f>
        <v>-1.8845937596564957</v>
      </c>
      <c r="H514">
        <f>AVERAGE('R1'!O514,'R2'!O514,'R3'!O514)</f>
        <v>-1.412429269122554</v>
      </c>
      <c r="I514">
        <f t="shared" si="11"/>
        <v>4327.1252096296284</v>
      </c>
      <c r="K514">
        <f>_xlfn.STDEV.S('R1'!L514,'R2'!L514,'R3'!L514)</f>
        <v>1.8668554856784974E-3</v>
      </c>
      <c r="L514">
        <f>_xlfn.STDEV.S('R1'!M514,'R2'!M514,'R3'!M514)</f>
        <v>5.0671304367323443E-3</v>
      </c>
      <c r="M514">
        <f>_xlfn.STDEV.S('R1'!N514,'R2'!N514,'R3'!N514)</f>
        <v>5.0621152154836776E-3</v>
      </c>
      <c r="N514">
        <f>_xlfn.STDEV.S('R1'!O514,'R2'!O514,'R3'!O514)</f>
        <v>3.0472986347206002E-3</v>
      </c>
    </row>
    <row r="515" spans="1:14" x14ac:dyDescent="0.25">
      <c r="A515">
        <f>-'R1'!H515</f>
        <v>-44</v>
      </c>
      <c r="B515">
        <f>DEGREES(ATAN(-SIN(RADIANS(('R1'!I515)))/(COS(RADIANS(Sheet1!A515))*COS(RADIANS('R1'!I515)))))</f>
        <v>21.733362927744114</v>
      </c>
      <c r="C515">
        <f>AVERAGE('R1'!J515,'R2'!J515,'R3'!J515)</f>
        <v>1.18</v>
      </c>
      <c r="D515">
        <f>AVERAGE('R1'!K515,'R2'!K515,'R3'!K515)</f>
        <v>20.840291666666666</v>
      </c>
      <c r="E515">
        <f>AVERAGE('R1'!L515,'R2'!L515,'R3'!L515)</f>
        <v>1.4938820491360161</v>
      </c>
      <c r="F515">
        <f>AVERAGE('R1'!M515,'R2'!M515,'R3'!M515)</f>
        <v>2.9700989304827954</v>
      </c>
      <c r="G515">
        <f>AVERAGE('R1'!N515,'R2'!N515,'R3'!N515)</f>
        <v>-1.9051667351473593</v>
      </c>
      <c r="H515">
        <f>AVERAGE('R1'!O515,'R2'!O515,'R3'!O515)</f>
        <v>-1.3570242931450789</v>
      </c>
      <c r="I515">
        <f t="shared" ref="I515:I530" si="12">C515*D515*0.003/(1.8*10^-5)</f>
        <v>4098.5906944444441</v>
      </c>
      <c r="K515">
        <f>_xlfn.STDEV.S('R1'!L515,'R2'!L515,'R3'!L515)</f>
        <v>5.8197298161126766E-3</v>
      </c>
      <c r="L515">
        <f>_xlfn.STDEV.S('R1'!M515,'R2'!M515,'R3'!M515)</f>
        <v>8.390632451792869E-3</v>
      </c>
      <c r="M515">
        <f>_xlfn.STDEV.S('R1'!N515,'R2'!N515,'R3'!N515)</f>
        <v>1.1263200479132695E-2</v>
      </c>
      <c r="N515">
        <f>_xlfn.STDEV.S('R1'!O515,'R2'!O515,'R3'!O515)</f>
        <v>6.2218950553459161E-3</v>
      </c>
    </row>
    <row r="516" spans="1:14" x14ac:dyDescent="0.25">
      <c r="A516">
        <f>-'R1'!H516</f>
        <v>-44</v>
      </c>
      <c r="B516">
        <f>DEGREES(ATAN(-SIN(RADIANS(('R1'!I516)))/(COS(RADIANS(Sheet1!A516))*COS(RADIANS('R1'!I516)))))</f>
        <v>16.461798422084197</v>
      </c>
      <c r="C516">
        <f>AVERAGE('R1'!J516,'R2'!J516,'R3'!J516)</f>
        <v>1.18</v>
      </c>
      <c r="D516">
        <f>AVERAGE('R1'!K516,'R2'!K516,'R3'!K516)</f>
        <v>20.716165749999998</v>
      </c>
      <c r="E516">
        <f>AVERAGE('R1'!L516,'R2'!L516,'R3'!L516)</f>
        <v>1.2643503632611504</v>
      </c>
      <c r="F516">
        <f>AVERAGE('R1'!M516,'R2'!M516,'R3'!M516)</f>
        <v>3.1453895694248537</v>
      </c>
      <c r="G516">
        <f>AVERAGE('R1'!N516,'R2'!N516,'R3'!N516)</f>
        <v>-1.9447654946869786</v>
      </c>
      <c r="H516">
        <f>AVERAGE('R1'!O516,'R2'!O516,'R3'!O516)</f>
        <v>-1.3173280793654949</v>
      </c>
      <c r="I516">
        <f t="shared" si="12"/>
        <v>4074.1792641666661</v>
      </c>
      <c r="K516">
        <f>_xlfn.STDEV.S('R1'!L516,'R2'!L516,'R3'!L516)</f>
        <v>6.5879783023445899E-3</v>
      </c>
      <c r="L516">
        <f>_xlfn.STDEV.S('R1'!M516,'R2'!M516,'R3'!M516)</f>
        <v>9.2475676408172933E-3</v>
      </c>
      <c r="M516">
        <f>_xlfn.STDEV.S('R1'!N516,'R2'!N516,'R3'!N516)</f>
        <v>1.0563127835011303E-2</v>
      </c>
      <c r="N516">
        <f>_xlfn.STDEV.S('R1'!O516,'R2'!O516,'R3'!O516)</f>
        <v>9.2548616961601396E-3</v>
      </c>
    </row>
    <row r="517" spans="1:14" x14ac:dyDescent="0.25">
      <c r="A517">
        <f>-'R1'!H517</f>
        <v>-44</v>
      </c>
      <c r="B517">
        <f>DEGREES(ATAN(-SIN(RADIANS(('R1'!I517)))/(COS(RADIANS(Sheet1!A517))*COS(RADIANS('R1'!I517)))))</f>
        <v>11.054892671059431</v>
      </c>
      <c r="C517">
        <f>AVERAGE('R1'!J517,'R2'!J517,'R3'!J517)</f>
        <v>1.18</v>
      </c>
      <c r="D517">
        <f>AVERAGE('R1'!K517,'R2'!K517,'R3'!K517)</f>
        <v>20.576331166666666</v>
      </c>
      <c r="E517">
        <f>AVERAGE('R1'!L517,'R2'!L517,'R3'!L517)</f>
        <v>1.0092375995662166</v>
      </c>
      <c r="F517">
        <f>AVERAGE('R1'!M517,'R2'!M517,'R3'!M517)</f>
        <v>3.3923509670758496</v>
      </c>
      <c r="G517">
        <f>AVERAGE('R1'!N517,'R2'!N517,'R3'!N517)</f>
        <v>-2.0498433484301795</v>
      </c>
      <c r="H517">
        <f>AVERAGE('R1'!O517,'R2'!O517,'R3'!O517)</f>
        <v>-1.2976225383871174</v>
      </c>
      <c r="I517">
        <f t="shared" si="12"/>
        <v>4046.6784627777779</v>
      </c>
      <c r="K517">
        <f>_xlfn.STDEV.S('R1'!L517,'R2'!L517,'R3'!L517)</f>
        <v>2.9618064451805044E-3</v>
      </c>
      <c r="L517">
        <f>_xlfn.STDEV.S('R1'!M517,'R2'!M517,'R3'!M517)</f>
        <v>1.1675833894001625E-2</v>
      </c>
      <c r="M517">
        <f>_xlfn.STDEV.S('R1'!N517,'R2'!N517,'R3'!N517)</f>
        <v>7.7134888099251227E-3</v>
      </c>
      <c r="N517">
        <f>_xlfn.STDEV.S('R1'!O517,'R2'!O517,'R3'!O517)</f>
        <v>9.9165413989051043E-4</v>
      </c>
    </row>
    <row r="518" spans="1:14" x14ac:dyDescent="0.25">
      <c r="A518">
        <f>-'R1'!H518</f>
        <v>-44</v>
      </c>
      <c r="B518">
        <f>DEGREES(ATAN(-SIN(RADIANS(('R1'!I518)))/(COS(RADIANS(Sheet1!A518))*COS(RADIANS('R1'!I518)))))</f>
        <v>5.5522607339018597</v>
      </c>
      <c r="C518">
        <f>AVERAGE('R1'!J518,'R2'!J518,'R3'!J518)</f>
        <v>1.18</v>
      </c>
      <c r="D518">
        <f>AVERAGE('R1'!K518,'R2'!K518,'R3'!K518)</f>
        <v>20.470242333333331</v>
      </c>
      <c r="E518">
        <f>AVERAGE('R1'!L518,'R2'!L518,'R3'!L518)</f>
        <v>0.6897714621729355</v>
      </c>
      <c r="F518">
        <f>AVERAGE('R1'!M518,'R2'!M518,'R3'!M518)</f>
        <v>3.7551957752141489</v>
      </c>
      <c r="G518">
        <f>AVERAGE('R1'!N518,'R2'!N518,'R3'!N518)</f>
        <v>-2.2449126610558126</v>
      </c>
      <c r="H518">
        <f>AVERAGE('R1'!O518,'R2'!O518,'R3'!O518)</f>
        <v>-1.3020381027123085</v>
      </c>
      <c r="I518">
        <f t="shared" si="12"/>
        <v>4025.8143255555547</v>
      </c>
      <c r="K518">
        <f>_xlfn.STDEV.S('R1'!L518,'R2'!L518,'R3'!L518)</f>
        <v>4.3005596629108554E-3</v>
      </c>
      <c r="L518">
        <f>_xlfn.STDEV.S('R1'!M518,'R2'!M518,'R3'!M518)</f>
        <v>8.4420064185240402E-3</v>
      </c>
      <c r="M518">
        <f>_xlfn.STDEV.S('R1'!N518,'R2'!N518,'R3'!N518)</f>
        <v>7.0136425517510603E-3</v>
      </c>
      <c r="N518">
        <f>_xlfn.STDEV.S('R1'!O518,'R2'!O518,'R3'!O518)</f>
        <v>5.4528998470917047E-3</v>
      </c>
    </row>
    <row r="519" spans="1:14" x14ac:dyDescent="0.25">
      <c r="A519">
        <f>-'R1'!H519</f>
        <v>-44</v>
      </c>
      <c r="B519">
        <f>DEGREES(ATAN(-SIN(RADIANS(('R1'!I519)))/(COS(RADIANS(Sheet1!A519))*COS(RADIANS('R1'!I519)))))</f>
        <v>0</v>
      </c>
      <c r="C519">
        <f>AVERAGE('R1'!J519,'R2'!J519,'R3'!J519)</f>
        <v>1.18</v>
      </c>
      <c r="D519">
        <f>AVERAGE('R1'!K519,'R2'!K519,'R3'!K519)</f>
        <v>20.407517416666668</v>
      </c>
      <c r="E519">
        <f>AVERAGE('R1'!L519,'R2'!L519,'R3'!L519)</f>
        <v>0.28599486369575078</v>
      </c>
      <c r="F519">
        <f>AVERAGE('R1'!M519,'R2'!M519,'R3'!M519)</f>
        <v>4.2602074939892702</v>
      </c>
      <c r="G519">
        <f>AVERAGE('R1'!N519,'R2'!N519,'R3'!N519)</f>
        <v>-2.5515614479252586</v>
      </c>
      <c r="H519">
        <f>AVERAGE('R1'!O519,'R2'!O519,'R3'!O519)</f>
        <v>-1.3322935134970679</v>
      </c>
      <c r="I519">
        <f t="shared" si="12"/>
        <v>4013.4784252777777</v>
      </c>
      <c r="K519">
        <f>_xlfn.STDEV.S('R1'!L519,'R2'!L519,'R3'!L519)</f>
        <v>3.0151674574355968E-3</v>
      </c>
      <c r="L519">
        <f>_xlfn.STDEV.S('R1'!M519,'R2'!M519,'R3'!M519)</f>
        <v>1.2213706257115821E-2</v>
      </c>
      <c r="M519">
        <f>_xlfn.STDEV.S('R1'!N519,'R2'!N519,'R3'!N519)</f>
        <v>1.3241641499189846E-2</v>
      </c>
      <c r="N519">
        <f>_xlfn.STDEV.S('R1'!O519,'R2'!O519,'R3'!O519)</f>
        <v>6.0228088610464452E-3</v>
      </c>
    </row>
    <row r="520" spans="1:14" x14ac:dyDescent="0.25">
      <c r="A520">
        <f>-'R1'!H520</f>
        <v>-44</v>
      </c>
      <c r="B520">
        <f>DEGREES(ATAN(-SIN(RADIANS(('R1'!I520)))/(COS(RADIANS(Sheet1!A520))*COS(RADIANS('R1'!I520)))))</f>
        <v>-5.5522607339018597</v>
      </c>
      <c r="C520">
        <f>AVERAGE('R1'!J520,'R2'!J520,'R3'!J520)</f>
        <v>1.18</v>
      </c>
      <c r="D520">
        <f>AVERAGE('R1'!K520,'R2'!K520,'R3'!K520)</f>
        <v>20.290724833333332</v>
      </c>
      <c r="E520">
        <f>AVERAGE('R1'!L520,'R2'!L520,'R3'!L520)</f>
        <v>-0.22814958975783881</v>
      </c>
      <c r="F520">
        <f>AVERAGE('R1'!M520,'R2'!M520,'R3'!M520)</f>
        <v>4.365335700306435</v>
      </c>
      <c r="G520">
        <f>AVERAGE('R1'!N520,'R2'!N520,'R3'!N520)</f>
        <v>-2.6269156442599368</v>
      </c>
      <c r="H520">
        <f>AVERAGE('R1'!O520,'R2'!O520,'R3'!O520)</f>
        <v>-1.350626438822718</v>
      </c>
      <c r="I520">
        <f t="shared" si="12"/>
        <v>3990.5092172222217</v>
      </c>
      <c r="K520">
        <f>_xlfn.STDEV.S('R1'!L520,'R2'!L520,'R3'!L520)</f>
        <v>8.2258477740602323E-3</v>
      </c>
      <c r="L520">
        <f>_xlfn.STDEV.S('R1'!M520,'R2'!M520,'R3'!M520)</f>
        <v>2.5173113276627655E-2</v>
      </c>
      <c r="M520">
        <f>_xlfn.STDEV.S('R1'!N520,'R2'!N520,'R3'!N520)</f>
        <v>2.0637224376536617E-2</v>
      </c>
      <c r="N520">
        <f>_xlfn.STDEV.S('R1'!O520,'R2'!O520,'R3'!O520)</f>
        <v>1.0006180091646045E-2</v>
      </c>
    </row>
    <row r="521" spans="1:14" x14ac:dyDescent="0.25">
      <c r="A521">
        <f>-'R1'!H521</f>
        <v>-44</v>
      </c>
      <c r="B521">
        <f>DEGREES(ATAN(-SIN(RADIANS(('R1'!I521)))/(COS(RADIANS(Sheet1!A521))*COS(RADIANS('R1'!I521)))))</f>
        <v>-11.054892671059431</v>
      </c>
      <c r="C521">
        <f>AVERAGE('R1'!J521,'R2'!J521,'R3'!J521)</f>
        <v>1.18</v>
      </c>
      <c r="D521">
        <f>AVERAGE('R1'!K521,'R2'!K521,'R3'!K521)</f>
        <v>20.422033416666668</v>
      </c>
      <c r="E521">
        <f>AVERAGE('R1'!L521,'R2'!L521,'R3'!L521)</f>
        <v>-0.64012993934773255</v>
      </c>
      <c r="F521">
        <f>AVERAGE('R1'!M521,'R2'!M521,'R3'!M521)</f>
        <v>3.9054521449162016</v>
      </c>
      <c r="G521">
        <f>AVERAGE('R1'!N521,'R2'!N521,'R3'!N521)</f>
        <v>-2.3696919069820255</v>
      </c>
      <c r="H521">
        <f>AVERAGE('R1'!O521,'R2'!O521,'R3'!O521)</f>
        <v>-1.3346480122919242</v>
      </c>
      <c r="I521">
        <f t="shared" si="12"/>
        <v>4016.3332386111115</v>
      </c>
      <c r="K521">
        <f>_xlfn.STDEV.S('R1'!L521,'R2'!L521,'R3'!L521)</f>
        <v>9.4834825211488789E-3</v>
      </c>
      <c r="L521">
        <f>_xlfn.STDEV.S('R1'!M521,'R2'!M521,'R3'!M521)</f>
        <v>2.7655887868242125E-2</v>
      </c>
      <c r="M521">
        <f>_xlfn.STDEV.S('R1'!N521,'R2'!N521,'R3'!N521)</f>
        <v>2.2379836927937425E-2</v>
      </c>
      <c r="N521">
        <f>_xlfn.STDEV.S('R1'!O521,'R2'!O521,'R3'!O521)</f>
        <v>1.2982351706129302E-2</v>
      </c>
    </row>
    <row r="522" spans="1:14" x14ac:dyDescent="0.25">
      <c r="A522">
        <f>-'R1'!H522</f>
        <v>-44</v>
      </c>
      <c r="B522">
        <f>DEGREES(ATAN(-SIN(RADIANS(('R1'!I522)))/(COS(RADIANS(Sheet1!A522))*COS(RADIANS('R1'!I522)))))</f>
        <v>-16.461798422084197</v>
      </c>
      <c r="C522">
        <f>AVERAGE('R1'!J522,'R2'!J522,'R3'!J522)</f>
        <v>1.18</v>
      </c>
      <c r="D522">
        <f>AVERAGE('R1'!K522,'R2'!K522,'R3'!K522)</f>
        <v>20.831858416666666</v>
      </c>
      <c r="E522">
        <f>AVERAGE('R1'!L522,'R2'!L522,'R3'!L522)</f>
        <v>-0.99939336952506441</v>
      </c>
      <c r="F522">
        <f>AVERAGE('R1'!M522,'R2'!M522,'R3'!M522)</f>
        <v>3.602685282314491</v>
      </c>
      <c r="G522">
        <f>AVERAGE('R1'!N522,'R2'!N522,'R3'!N522)</f>
        <v>-2.2494741997724064</v>
      </c>
      <c r="H522">
        <f>AVERAGE('R1'!O522,'R2'!O522,'R3'!O522)</f>
        <v>-1.3708452145380976</v>
      </c>
      <c r="I522">
        <f t="shared" si="12"/>
        <v>4096.9321552777774</v>
      </c>
      <c r="K522">
        <f>_xlfn.STDEV.S('R1'!L522,'R2'!L522,'R3'!L522)</f>
        <v>6.2123918151610752E-3</v>
      </c>
      <c r="L522">
        <f>_xlfn.STDEV.S('R1'!M522,'R2'!M522,'R3'!M522)</f>
        <v>2.9252424615209591E-2</v>
      </c>
      <c r="M522">
        <f>_xlfn.STDEV.S('R1'!N522,'R2'!N522,'R3'!N522)</f>
        <v>2.742362805865927E-2</v>
      </c>
      <c r="N522">
        <f>_xlfn.STDEV.S('R1'!O522,'R2'!O522,'R3'!O522)</f>
        <v>1.7353238589264731E-2</v>
      </c>
    </row>
    <row r="523" spans="1:14" x14ac:dyDescent="0.25">
      <c r="A523">
        <f>-'R1'!H523</f>
        <v>-44</v>
      </c>
      <c r="B523">
        <f>DEGREES(ATAN(-SIN(RADIANS(('R1'!I523)))/(COS(RADIANS(Sheet1!A523))*COS(RADIANS('R1'!I523)))))</f>
        <v>-21.733362927744114</v>
      </c>
      <c r="C523">
        <f>AVERAGE('R1'!J523,'R2'!J523,'R3'!J523)</f>
        <v>1.18</v>
      </c>
      <c r="D523">
        <f>AVERAGE('R1'!K523,'R2'!K523,'R3'!K523)</f>
        <v>20.880074750000002</v>
      </c>
      <c r="E523">
        <f>AVERAGE('R1'!L523,'R2'!L523,'R3'!L523)</f>
        <v>-1.2891170412355322</v>
      </c>
      <c r="F523">
        <f>AVERAGE('R1'!M523,'R2'!M523,'R3'!M523)</f>
        <v>3.3716866199648536</v>
      </c>
      <c r="G523">
        <f>AVERAGE('R1'!N523,'R2'!N523,'R3'!N523)</f>
        <v>-2.1754091479789941</v>
      </c>
      <c r="H523">
        <f>AVERAGE('R1'!O523,'R2'!O523,'R3'!O523)</f>
        <v>-1.4180133099900665</v>
      </c>
      <c r="I523">
        <f t="shared" si="12"/>
        <v>4106.4147008333339</v>
      </c>
      <c r="K523">
        <f>_xlfn.STDEV.S('R1'!L523,'R2'!L523,'R3'!L523)</f>
        <v>3.4648436540328192E-3</v>
      </c>
      <c r="L523">
        <f>_xlfn.STDEV.S('R1'!M523,'R2'!M523,'R3'!M523)</f>
        <v>1.6935793330769382E-2</v>
      </c>
      <c r="M523">
        <f>_xlfn.STDEV.S('R1'!N523,'R2'!N523,'R3'!N523)</f>
        <v>1.9261317279478864E-2</v>
      </c>
      <c r="N523">
        <f>_xlfn.STDEV.S('R1'!O523,'R2'!O523,'R3'!O523)</f>
        <v>1.6956991113784854E-2</v>
      </c>
    </row>
    <row r="524" spans="1:14" x14ac:dyDescent="0.25">
      <c r="A524">
        <f>-'R1'!H524</f>
        <v>-44</v>
      </c>
      <c r="B524">
        <f>DEGREES(ATAN(-SIN(RADIANS(('R1'!I524)))/(COS(RADIANS(Sheet1!A524))*COS(RADIANS('R1'!I524)))))</f>
        <v>-26.838414444764965</v>
      </c>
      <c r="C524">
        <f>AVERAGE('R1'!J524,'R2'!J524,'R3'!J524)</f>
        <v>1.1791666666666665</v>
      </c>
      <c r="D524">
        <f>AVERAGE('R1'!K524,'R2'!K524,'R3'!K524)</f>
        <v>20.690846833333335</v>
      </c>
      <c r="E524">
        <f>AVERAGE('R1'!L524,'R2'!L524,'R3'!L524)</f>
        <v>-1.5340005139780013</v>
      </c>
      <c r="F524">
        <f>AVERAGE('R1'!M524,'R2'!M524,'R3'!M524)</f>
        <v>3.1775109235152428</v>
      </c>
      <c r="G524">
        <f>AVERAGE('R1'!N524,'R2'!N524,'R3'!N524)</f>
        <v>-2.1205780550960758</v>
      </c>
      <c r="H524">
        <f>AVERAGE('R1'!O524,'R2'!O524,'R3'!O524)</f>
        <v>-1.4733344853114545</v>
      </c>
      <c r="I524">
        <f t="shared" si="12"/>
        <v>4066.32614849537</v>
      </c>
      <c r="K524">
        <f>_xlfn.STDEV.S('R1'!L524,'R2'!L524,'R3'!L524)</f>
        <v>8.1154213860012443E-3</v>
      </c>
      <c r="L524">
        <f>_xlfn.STDEV.S('R1'!M524,'R2'!M524,'R3'!M524)</f>
        <v>1.3696194362429144E-2</v>
      </c>
      <c r="M524">
        <f>_xlfn.STDEV.S('R1'!N524,'R2'!N524,'R3'!N524)</f>
        <v>1.0504290351028161E-2</v>
      </c>
      <c r="N524">
        <f>_xlfn.STDEV.S('R1'!O524,'R2'!O524,'R3'!O524)</f>
        <v>1.0291420690420924E-2</v>
      </c>
    </row>
    <row r="525" spans="1:14" x14ac:dyDescent="0.25">
      <c r="A525">
        <f>-'R1'!H525</f>
        <v>-44</v>
      </c>
      <c r="B525">
        <f>DEGREES(ATAN(-SIN(RADIANS(('R1'!I525)))/(COS(RADIANS(Sheet1!A525))*COS(RADIANS('R1'!I525)))))</f>
        <v>-31.755051399893443</v>
      </c>
      <c r="C525">
        <f>AVERAGE('R1'!J525,'R2'!J525,'R3'!J525)</f>
        <v>1.18</v>
      </c>
      <c r="D525">
        <f>AVERAGE('R1'!K525,'R2'!K525,'R3'!K525)</f>
        <v>20.562614416666666</v>
      </c>
      <c r="E525">
        <f>AVERAGE('R1'!L525,'R2'!L525,'R3'!L525)</f>
        <v>-1.7456492532901822</v>
      </c>
      <c r="F525">
        <f>AVERAGE('R1'!M525,'R2'!M525,'R3'!M525)</f>
        <v>3.0645816386486682</v>
      </c>
      <c r="G525">
        <f>AVERAGE('R1'!N525,'R2'!N525,'R3'!N525)</f>
        <v>-2.1286119645167969</v>
      </c>
      <c r="H525">
        <f>AVERAGE('R1'!O525,'R2'!O525,'R3'!O525)</f>
        <v>-1.5528549010978521</v>
      </c>
      <c r="I525">
        <f t="shared" si="12"/>
        <v>4043.9808352777768</v>
      </c>
      <c r="K525">
        <f>_xlfn.STDEV.S('R1'!L525,'R2'!L525,'R3'!L525)</f>
        <v>5.056888603932547E-3</v>
      </c>
      <c r="L525">
        <f>_xlfn.STDEV.S('R1'!M525,'R2'!M525,'R3'!M525)</f>
        <v>1.9592730463259874E-2</v>
      </c>
      <c r="M525">
        <f>_xlfn.STDEV.S('R1'!N525,'R2'!N525,'R3'!N525)</f>
        <v>1.4952466297746995E-2</v>
      </c>
      <c r="N525">
        <f>_xlfn.STDEV.S('R1'!O525,'R2'!O525,'R3'!O525)</f>
        <v>1.2161271604408497E-2</v>
      </c>
    </row>
    <row r="526" spans="1:14" x14ac:dyDescent="0.25">
      <c r="A526">
        <f>-'R1'!H526</f>
        <v>-44</v>
      </c>
      <c r="B526">
        <f>DEGREES(ATAN(-SIN(RADIANS(('R1'!I526)))/(COS(RADIANS(Sheet1!A526))*COS(RADIANS('R1'!I526)))))</f>
        <v>-36.470444456761925</v>
      </c>
      <c r="C526">
        <f>AVERAGE('R1'!J526,'R2'!J526,'R3'!J526)</f>
        <v>1.18</v>
      </c>
      <c r="D526">
        <f>AVERAGE('R1'!K526,'R2'!K526,'R3'!K526)</f>
        <v>20.42131225</v>
      </c>
      <c r="E526">
        <f>AVERAGE('R1'!L526,'R2'!L526,'R3'!L526)</f>
        <v>-1.9482091288338779</v>
      </c>
      <c r="F526">
        <f>AVERAGE('R1'!M526,'R2'!M526,'R3'!M526)</f>
        <v>3.0160588781234696</v>
      </c>
      <c r="G526">
        <f>AVERAGE('R1'!N526,'R2'!N526,'R3'!N526)</f>
        <v>-2.1957796498240181</v>
      </c>
      <c r="H526">
        <f>AVERAGE('R1'!O526,'R2'!O526,'R3'!O526)</f>
        <v>-1.6561400871012628</v>
      </c>
      <c r="I526">
        <f t="shared" si="12"/>
        <v>4016.1914091666663</v>
      </c>
      <c r="K526">
        <f>_xlfn.STDEV.S('R1'!L526,'R2'!L526,'R3'!L526)</f>
        <v>9.0445449259273E-3</v>
      </c>
      <c r="L526">
        <f>_xlfn.STDEV.S('R1'!M526,'R2'!M526,'R3'!M526)</f>
        <v>1.1099980333424547E-2</v>
      </c>
      <c r="M526">
        <f>_xlfn.STDEV.S('R1'!N526,'R2'!N526,'R3'!N526)</f>
        <v>6.6517298349511762E-3</v>
      </c>
      <c r="N526">
        <f>_xlfn.STDEV.S('R1'!O526,'R2'!O526,'R3'!O526)</f>
        <v>6.1984854569198536E-3</v>
      </c>
    </row>
    <row r="527" spans="1:14" x14ac:dyDescent="0.25">
      <c r="A527">
        <f>-'R1'!H527</f>
        <v>-44</v>
      </c>
      <c r="B527">
        <f>DEGREES(ATAN(-SIN(RADIANS(('R1'!I527)))/(COS(RADIANS(Sheet1!A527))*COS(RADIANS('R1'!I527)))))</f>
        <v>-40.979886989205063</v>
      </c>
      <c r="C527">
        <f>AVERAGE('R1'!J527,'R2'!J527,'R3'!J527)</f>
        <v>1.18</v>
      </c>
      <c r="D527">
        <f>AVERAGE('R1'!K527,'R2'!K527,'R3'!K527)</f>
        <v>20.783379416666666</v>
      </c>
      <c r="E527">
        <f>AVERAGE('R1'!L527,'R2'!L527,'R3'!L527)</f>
        <v>-2.1450588286655923</v>
      </c>
      <c r="F527">
        <f>AVERAGE('R1'!M527,'R2'!M527,'R3'!M527)</f>
        <v>2.9996601582198039</v>
      </c>
      <c r="G527">
        <f>AVERAGE('R1'!N527,'R2'!N527,'R3'!N527)</f>
        <v>-2.2987735577093868</v>
      </c>
      <c r="H527">
        <f>AVERAGE('R1'!O527,'R2'!O527,'R3'!O527)</f>
        <v>-1.7795156196935535</v>
      </c>
      <c r="I527">
        <f t="shared" si="12"/>
        <v>4087.3979519444442</v>
      </c>
      <c r="K527">
        <f>_xlfn.STDEV.S('R1'!L527,'R2'!L527,'R3'!L527)</f>
        <v>4.490667775430523E-3</v>
      </c>
      <c r="L527">
        <f>_xlfn.STDEV.S('R1'!M527,'R2'!M527,'R3'!M527)</f>
        <v>1.5401621157037875E-2</v>
      </c>
      <c r="M527">
        <f>_xlfn.STDEV.S('R1'!N527,'R2'!N527,'R3'!N527)</f>
        <v>1.1679398773196572E-2</v>
      </c>
      <c r="N527">
        <f>_xlfn.STDEV.S('R1'!O527,'R2'!O527,'R3'!O527)</f>
        <v>1.4595855920249435E-2</v>
      </c>
    </row>
    <row r="528" spans="1:14" x14ac:dyDescent="0.25">
      <c r="A528">
        <f>-'R1'!H528</f>
        <v>-44</v>
      </c>
      <c r="B528">
        <f>DEGREES(ATAN(-SIN(RADIANS(('R1'!I528)))/(COS(RADIANS(Sheet1!A528))*COS(RADIANS('R1'!I528)))))</f>
        <v>-45.285419134418312</v>
      </c>
      <c r="C528">
        <f>AVERAGE('R1'!J528,'R2'!J528,'R3'!J528)</f>
        <v>1.18</v>
      </c>
      <c r="D528">
        <f>AVERAGE('R1'!K528,'R2'!K528,'R3'!K528)</f>
        <v>21.11817375</v>
      </c>
      <c r="E528">
        <f>AVERAGE('R1'!L528,'R2'!L528,'R3'!L528)</f>
        <v>-2.3540218336496999</v>
      </c>
      <c r="F528">
        <f>AVERAGE('R1'!M528,'R2'!M528,'R3'!M528)</f>
        <v>3.0798490717663145</v>
      </c>
      <c r="G528">
        <f>AVERAGE('R1'!N528,'R2'!N528,'R3'!N528)</f>
        <v>-2.4890042055231203</v>
      </c>
      <c r="H528">
        <f>AVERAGE('R1'!O528,'R2'!O528,'R3'!O528)</f>
        <v>-1.9484980886498413</v>
      </c>
      <c r="I528">
        <f t="shared" si="12"/>
        <v>4153.2408374999995</v>
      </c>
      <c r="K528">
        <f>_xlfn.STDEV.S('R1'!L528,'R2'!L528,'R3'!L528)</f>
        <v>1.2526192020465305E-2</v>
      </c>
      <c r="L528">
        <f>_xlfn.STDEV.S('R1'!M528,'R2'!M528,'R3'!M528)</f>
        <v>1.5792019567831342E-2</v>
      </c>
      <c r="M528">
        <f>_xlfn.STDEV.S('R1'!N528,'R2'!N528,'R3'!N528)</f>
        <v>1.0372446714606558E-3</v>
      </c>
      <c r="N528">
        <f>_xlfn.STDEV.S('R1'!O528,'R2'!O528,'R3'!O528)</f>
        <v>9.3907148535395061E-3</v>
      </c>
    </row>
    <row r="529" spans="1:14" x14ac:dyDescent="0.25">
      <c r="A529">
        <f>-'R1'!H529</f>
        <v>-44</v>
      </c>
      <c r="B529">
        <f>DEGREES(ATAN(-SIN(RADIANS(('R1'!I529)))/(COS(RADIANS(Sheet1!A529))*COS(RADIANS('R1'!I529)))))</f>
        <v>-49.394314915379752</v>
      </c>
      <c r="C529">
        <f>AVERAGE('R1'!J529,'R2'!J529,'R3'!J529)</f>
        <v>1.18</v>
      </c>
      <c r="D529">
        <f>AVERAGE('R1'!K529,'R2'!K529,'R3'!K529)</f>
        <v>20.92704091666667</v>
      </c>
      <c r="E529">
        <f>AVERAGE('R1'!L529,'R2'!L529,'R3'!L529)</f>
        <v>-2.5824147410197562</v>
      </c>
      <c r="F529">
        <f>AVERAGE('R1'!M529,'R2'!M529,'R3'!M529)</f>
        <v>3.2228079171266315</v>
      </c>
      <c r="G529">
        <f>AVERAGE('R1'!N529,'R2'!N529,'R3'!N529)</f>
        <v>-2.7556191743483134</v>
      </c>
      <c r="H529">
        <f>AVERAGE('R1'!O529,'R2'!O529,'R3'!O529)</f>
        <v>-2.1599687363277282</v>
      </c>
      <c r="I529">
        <f t="shared" si="12"/>
        <v>4115.6513802777781</v>
      </c>
      <c r="K529">
        <f>_xlfn.STDEV.S('R1'!L529,'R2'!L529,'R3'!L529)</f>
        <v>2.3176494162105238E-2</v>
      </c>
      <c r="L529">
        <f>_xlfn.STDEV.S('R1'!M529,'R2'!M529,'R3'!M529)</f>
        <v>5.7096351043377878E-3</v>
      </c>
      <c r="M529">
        <f>_xlfn.STDEV.S('R1'!N529,'R2'!N529,'R3'!N529)</f>
        <v>1.9652531108253112E-2</v>
      </c>
      <c r="N529">
        <f>_xlfn.STDEV.S('R1'!O529,'R2'!O529,'R3'!O529)</f>
        <v>4.3492257698551163E-3</v>
      </c>
    </row>
    <row r="530" spans="1:14" x14ac:dyDescent="0.25">
      <c r="A530">
        <f>-'R1'!H530</f>
        <v>-44</v>
      </c>
      <c r="B530">
        <f>DEGREES(ATAN(-SIN(RADIANS(('R1'!I530)))/(COS(RADIANS(Sheet1!A530))*COS(RADIANS('R1'!I530)))))</f>
        <v>-53.317641506405714</v>
      </c>
      <c r="C530">
        <f>AVERAGE('R1'!J530,'R2'!J530,'R3'!J530)</f>
        <v>1.18</v>
      </c>
      <c r="D530">
        <f>AVERAGE('R1'!K530,'R2'!K530,'R3'!K530)</f>
        <v>20.768649166666666</v>
      </c>
      <c r="E530">
        <f>AVERAGE('R1'!L530,'R2'!L530,'R3'!L530)</f>
        <v>-2.8717855024294856</v>
      </c>
      <c r="F530">
        <f>AVERAGE('R1'!M530,'R2'!M530,'R3'!M530)</f>
        <v>3.4252379180757537</v>
      </c>
      <c r="G530">
        <f>AVERAGE('R1'!N530,'R2'!N530,'R3'!N530)</f>
        <v>-3.1198484660647594</v>
      </c>
      <c r="H530">
        <f>AVERAGE('R1'!O530,'R2'!O530,'R3'!O530)</f>
        <v>-2.4252196165310269</v>
      </c>
      <c r="I530">
        <f t="shared" si="12"/>
        <v>4084.5010027777776</v>
      </c>
      <c r="K530">
        <f>_xlfn.STDEV.S('R1'!L530,'R2'!L530,'R3'!L530)</f>
        <v>1.7389210112624242E-2</v>
      </c>
      <c r="L530">
        <f>_xlfn.STDEV.S('R1'!M530,'R2'!M530,'R3'!M530)</f>
        <v>7.8674935895780528E-3</v>
      </c>
      <c r="M530">
        <f>_xlfn.STDEV.S('R1'!N530,'R2'!N530,'R3'!N530)</f>
        <v>1.4493043316911565E-2</v>
      </c>
      <c r="N530">
        <f>_xlfn.STDEV.S('R1'!O530,'R2'!O530,'R3'!O530)</f>
        <v>6.362954571193279E-3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530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73.229915500000004</v>
      </c>
      <c r="B2">
        <v>-429.21122750000001</v>
      </c>
      <c r="C2">
        <v>-446.275688</v>
      </c>
      <c r="D2">
        <v>179.59931950000001</v>
      </c>
      <c r="E2">
        <v>-205.61838524999999</v>
      </c>
      <c r="F2">
        <v>7.0162532500000001</v>
      </c>
      <c r="G2">
        <v>307.45265174999997</v>
      </c>
      <c r="H2">
        <v>-44</v>
      </c>
      <c r="I2">
        <v>-44</v>
      </c>
      <c r="J2">
        <v>1.17</v>
      </c>
      <c r="K2">
        <v>22.661999999999999</v>
      </c>
      <c r="L2">
        <v>2.2381096451234468</v>
      </c>
      <c r="M2">
        <v>-2.622839580287895</v>
      </c>
      <c r="N2">
        <v>-2.2104265034444279</v>
      </c>
      <c r="O2">
        <v>-1.9160849675105509</v>
      </c>
    </row>
    <row r="3" spans="1:15" x14ac:dyDescent="0.25">
      <c r="A3">
        <v>73.320196249999995</v>
      </c>
      <c r="B3">
        <v>-391.64044200000001</v>
      </c>
      <c r="C3">
        <v>-411.87119300000001</v>
      </c>
      <c r="D3">
        <v>196.81469749999999</v>
      </c>
      <c r="E3">
        <v>-173.229805</v>
      </c>
      <c r="F3">
        <v>6.9187744999999996</v>
      </c>
      <c r="G3">
        <v>300.08766150000002</v>
      </c>
      <c r="H3">
        <v>-44</v>
      </c>
      <c r="I3">
        <v>-40</v>
      </c>
      <c r="J3">
        <v>1.17</v>
      </c>
      <c r="K3">
        <v>22.386228750000001</v>
      </c>
      <c r="L3">
        <v>2.1232433725879258</v>
      </c>
      <c r="M3">
        <v>-2.575231285231931</v>
      </c>
      <c r="N3">
        <v>-2.0714578106195631</v>
      </c>
      <c r="O3">
        <v>-1.788430789118207</v>
      </c>
    </row>
    <row r="4" spans="1:15" x14ac:dyDescent="0.25">
      <c r="A4">
        <v>72.372160000000008</v>
      </c>
      <c r="B4">
        <v>-358.26890574999999</v>
      </c>
      <c r="C4">
        <v>-378.28325675000002</v>
      </c>
      <c r="D4">
        <v>211.92740275</v>
      </c>
      <c r="E4">
        <v>-144.99018100000001</v>
      </c>
      <c r="F4">
        <v>6.2366235000000003</v>
      </c>
      <c r="G4">
        <v>292.122139</v>
      </c>
      <c r="H4">
        <v>-44</v>
      </c>
      <c r="I4">
        <v>-36</v>
      </c>
      <c r="J4">
        <v>1.17</v>
      </c>
      <c r="K4">
        <v>22.106404999999999</v>
      </c>
      <c r="L4">
        <v>2.0183124011963161</v>
      </c>
      <c r="M4">
        <v>-2.5537008268193722</v>
      </c>
      <c r="N4">
        <v>-1.957685077055648</v>
      </c>
      <c r="O4">
        <v>-1.6772930118938141</v>
      </c>
    </row>
    <row r="5" spans="1:15" x14ac:dyDescent="0.25">
      <c r="A5">
        <v>70.475919750000003</v>
      </c>
      <c r="B5">
        <v>-333.36220574999999</v>
      </c>
      <c r="C5">
        <v>-344.90271000000001</v>
      </c>
      <c r="D5">
        <v>225.375595</v>
      </c>
      <c r="E5">
        <v>-121.21179375</v>
      </c>
      <c r="F5">
        <v>6.4802534999999999</v>
      </c>
      <c r="G5">
        <v>287.31890874999999</v>
      </c>
      <c r="H5">
        <v>-44</v>
      </c>
      <c r="I5">
        <v>-32</v>
      </c>
      <c r="J5">
        <v>1.17</v>
      </c>
      <c r="K5">
        <v>21.910409749999999</v>
      </c>
      <c r="L5">
        <v>1.906224172871074</v>
      </c>
      <c r="M5">
        <v>-2.5641982510564558</v>
      </c>
      <c r="N5">
        <v>-1.8749471368026529</v>
      </c>
      <c r="O5">
        <v>-1.586099265599324</v>
      </c>
    </row>
    <row r="6" spans="1:15" x14ac:dyDescent="0.25">
      <c r="A6">
        <v>61.980081499999997</v>
      </c>
      <c r="B6">
        <v>-302.02252199999998</v>
      </c>
      <c r="C6">
        <v>-298.26611324999999</v>
      </c>
      <c r="D6">
        <v>229.49338549999999</v>
      </c>
      <c r="E6">
        <v>-99.708631499999996</v>
      </c>
      <c r="F6">
        <v>5.9930137500000003</v>
      </c>
      <c r="G6">
        <v>274.06972500000001</v>
      </c>
      <c r="H6">
        <v>-44</v>
      </c>
      <c r="I6">
        <v>-28</v>
      </c>
      <c r="J6">
        <v>1.17</v>
      </c>
      <c r="K6">
        <v>21.406789</v>
      </c>
      <c r="L6">
        <v>1.797318828311069</v>
      </c>
      <c r="M6">
        <v>-2.6518493085945871</v>
      </c>
      <c r="N6">
        <v>-1.864869630792076</v>
      </c>
      <c r="O6">
        <v>-1.5273642184069189</v>
      </c>
    </row>
    <row r="7" spans="1:15" x14ac:dyDescent="0.25">
      <c r="A7">
        <v>51.552253749999998</v>
      </c>
      <c r="B7">
        <v>-284.27333800000002</v>
      </c>
      <c r="C7">
        <v>-257.13218675000002</v>
      </c>
      <c r="D7">
        <v>237.11533725000001</v>
      </c>
      <c r="E7">
        <v>-84.763490750000003</v>
      </c>
      <c r="F7">
        <v>5.9442895</v>
      </c>
      <c r="G7">
        <v>268.866287</v>
      </c>
      <c r="H7">
        <v>-44</v>
      </c>
      <c r="I7">
        <v>-24</v>
      </c>
      <c r="J7">
        <v>1.17</v>
      </c>
      <c r="K7">
        <v>21.199982250000001</v>
      </c>
      <c r="L7">
        <v>1.6601280924578219</v>
      </c>
      <c r="M7">
        <v>-2.804103984804208</v>
      </c>
      <c r="N7">
        <v>-1.901865559968261</v>
      </c>
      <c r="O7">
        <v>-1.4878310102595209</v>
      </c>
    </row>
    <row r="8" spans="1:15" x14ac:dyDescent="0.25">
      <c r="A8">
        <v>39.000222999999998</v>
      </c>
      <c r="B8">
        <v>-272.0657655</v>
      </c>
      <c r="C8">
        <v>-220.28303149999999</v>
      </c>
      <c r="D8">
        <v>245.26310724999999</v>
      </c>
      <c r="E8">
        <v>-74.05652624999999</v>
      </c>
      <c r="F8">
        <v>6.0904817500000004</v>
      </c>
      <c r="G8">
        <v>266.94502249999999</v>
      </c>
      <c r="H8">
        <v>-44</v>
      </c>
      <c r="I8">
        <v>-20</v>
      </c>
      <c r="J8">
        <v>1.17</v>
      </c>
      <c r="K8">
        <v>21.116466500000001</v>
      </c>
      <c r="L8">
        <v>1.5064983017680329</v>
      </c>
      <c r="M8">
        <v>-3.00588093083728</v>
      </c>
      <c r="N8">
        <v>-1.981421172116228</v>
      </c>
      <c r="O8">
        <v>-1.465750229519581</v>
      </c>
    </row>
    <row r="9" spans="1:15" x14ac:dyDescent="0.25">
      <c r="A9">
        <v>24.508973999999998</v>
      </c>
      <c r="B9">
        <v>-256.77687824999998</v>
      </c>
      <c r="C9">
        <v>-177.41342925000001</v>
      </c>
      <c r="D9">
        <v>248.11041650000001</v>
      </c>
      <c r="E9">
        <v>-60.182076250000001</v>
      </c>
      <c r="F9">
        <v>5.7981472500000004</v>
      </c>
      <c r="G9">
        <v>262.06171425000002</v>
      </c>
      <c r="H9">
        <v>-44</v>
      </c>
      <c r="I9">
        <v>-16</v>
      </c>
      <c r="J9">
        <v>1.17</v>
      </c>
      <c r="K9">
        <v>20.929804000000001</v>
      </c>
      <c r="L9">
        <v>1.286915383073534</v>
      </c>
      <c r="M9">
        <v>-3.2177890927424109</v>
      </c>
      <c r="N9">
        <v>-2.0538522676636028</v>
      </c>
      <c r="O9">
        <v>-1.420571448865205</v>
      </c>
    </row>
    <row r="10" spans="1:15" x14ac:dyDescent="0.25">
      <c r="A10">
        <v>5.6875502500000001</v>
      </c>
      <c r="B10">
        <v>-248.77648925</v>
      </c>
      <c r="C10">
        <v>-138.95361299999999</v>
      </c>
      <c r="D10">
        <v>250.38845850000001</v>
      </c>
      <c r="E10">
        <v>-53.222553249999997</v>
      </c>
      <c r="F10">
        <v>5.5058032499999996</v>
      </c>
      <c r="G10">
        <v>258.53934475</v>
      </c>
      <c r="H10">
        <v>-44</v>
      </c>
      <c r="I10">
        <v>-12</v>
      </c>
      <c r="J10">
        <v>1.17</v>
      </c>
      <c r="K10">
        <v>20.797498999999998</v>
      </c>
      <c r="L10">
        <v>1.0284384679804861</v>
      </c>
      <c r="M10">
        <v>-3.5492297687989249</v>
      </c>
      <c r="N10">
        <v>-2.216751132259231</v>
      </c>
      <c r="O10">
        <v>-1.417599162650558</v>
      </c>
    </row>
    <row r="11" spans="1:15" x14ac:dyDescent="0.25">
      <c r="A11">
        <v>-16.26727825</v>
      </c>
      <c r="B11">
        <v>-243.73858275000001</v>
      </c>
      <c r="C11">
        <v>-102.71294975000001</v>
      </c>
      <c r="D11">
        <v>252.22826749999999</v>
      </c>
      <c r="E11">
        <v>-47.289107250000001</v>
      </c>
      <c r="F11">
        <v>5.4083930000000002</v>
      </c>
      <c r="G11">
        <v>257.69883700000003</v>
      </c>
      <c r="H11">
        <v>-44</v>
      </c>
      <c r="I11">
        <v>-8</v>
      </c>
      <c r="J11">
        <v>1.17</v>
      </c>
      <c r="K11">
        <v>20.766937250000002</v>
      </c>
      <c r="L11">
        <v>0.68640988897041622</v>
      </c>
      <c r="M11">
        <v>-3.9383283748157272</v>
      </c>
      <c r="N11">
        <v>-2.4218412363292692</v>
      </c>
      <c r="O11">
        <v>-1.4184752824566651</v>
      </c>
    </row>
    <row r="12" spans="1:15" x14ac:dyDescent="0.25">
      <c r="A12">
        <v>-37.714182749999999</v>
      </c>
      <c r="B12">
        <v>-238.12492750000001</v>
      </c>
      <c r="C12">
        <v>-70.825626249999999</v>
      </c>
      <c r="D12">
        <v>250.34478774999999</v>
      </c>
      <c r="E12">
        <v>-42.024849000000003</v>
      </c>
      <c r="F12">
        <v>5.6520130000000002</v>
      </c>
      <c r="G12">
        <v>254.0922625</v>
      </c>
      <c r="H12">
        <v>-44</v>
      </c>
      <c r="I12">
        <v>-4</v>
      </c>
      <c r="J12">
        <v>1.17</v>
      </c>
      <c r="K12">
        <v>20.607864750000001</v>
      </c>
      <c r="L12">
        <v>0.29441616059846443</v>
      </c>
      <c r="M12">
        <v>-4.3442294349956221</v>
      </c>
      <c r="N12">
        <v>-2.6335766960525731</v>
      </c>
      <c r="O12">
        <v>-1.424056811941838</v>
      </c>
    </row>
    <row r="13" spans="1:15" x14ac:dyDescent="0.25">
      <c r="A13">
        <v>-66.060436250000009</v>
      </c>
      <c r="B13">
        <v>-240.42797100000001</v>
      </c>
      <c r="C13">
        <v>-39.881490999999997</v>
      </c>
      <c r="D13">
        <v>251.83424375000001</v>
      </c>
      <c r="E13">
        <v>-39.794231500000002</v>
      </c>
      <c r="F13">
        <v>5.6032857500000004</v>
      </c>
      <c r="G13">
        <v>255.26763525000001</v>
      </c>
      <c r="H13">
        <v>-44</v>
      </c>
      <c r="I13">
        <v>0</v>
      </c>
      <c r="J13">
        <v>1.17</v>
      </c>
      <c r="K13">
        <v>20.658523500000001</v>
      </c>
      <c r="L13">
        <v>-0.2307509566340667</v>
      </c>
      <c r="M13">
        <v>-4.3394605011144849</v>
      </c>
      <c r="N13">
        <v>-2.6011507026592469</v>
      </c>
      <c r="O13">
        <v>-1.400286938416359</v>
      </c>
    </row>
    <row r="14" spans="1:15" x14ac:dyDescent="0.25">
      <c r="A14">
        <v>-109.98121449999999</v>
      </c>
      <c r="B14">
        <v>-278.4761355</v>
      </c>
      <c r="C14">
        <v>-13.489328</v>
      </c>
      <c r="D14">
        <v>286.61547849999999</v>
      </c>
      <c r="E14">
        <v>-42.560196750000003</v>
      </c>
      <c r="F14">
        <v>6.6264909999999997</v>
      </c>
      <c r="G14">
        <v>291.25476075</v>
      </c>
      <c r="H14">
        <v>-44</v>
      </c>
      <c r="I14">
        <v>4</v>
      </c>
      <c r="J14">
        <v>1.17</v>
      </c>
      <c r="K14">
        <v>22.057673250000001</v>
      </c>
      <c r="L14">
        <v>-0.63617734213553145</v>
      </c>
      <c r="M14">
        <v>-3.726178431446634</v>
      </c>
      <c r="N14">
        <v>-2.201192677529201</v>
      </c>
      <c r="O14">
        <v>-1.324385431627916</v>
      </c>
    </row>
    <row r="15" spans="1:15" x14ac:dyDescent="0.25">
      <c r="A15">
        <v>-156.03839500000001</v>
      </c>
      <c r="B15">
        <v>-300.5469435</v>
      </c>
      <c r="C15">
        <v>15.13256275</v>
      </c>
      <c r="D15">
        <v>301.46524799999997</v>
      </c>
      <c r="E15">
        <v>-46.664535749999999</v>
      </c>
      <c r="F15">
        <v>6.9188275000000008</v>
      </c>
      <c r="G15">
        <v>308.622818</v>
      </c>
      <c r="H15">
        <v>-44</v>
      </c>
      <c r="I15">
        <v>8</v>
      </c>
      <c r="J15">
        <v>1.17</v>
      </c>
      <c r="K15">
        <v>22.709741999999999</v>
      </c>
      <c r="L15">
        <v>-0.94243829602151097</v>
      </c>
      <c r="M15">
        <v>-3.3145898851068472</v>
      </c>
      <c r="N15">
        <v>-1.9561815006314041</v>
      </c>
      <c r="O15">
        <v>-1.29504784213305</v>
      </c>
    </row>
    <row r="16" spans="1:15" x14ac:dyDescent="0.25">
      <c r="A16">
        <v>-187.56730275000001</v>
      </c>
      <c r="B16">
        <v>-293.67166150000003</v>
      </c>
      <c r="C16">
        <v>38.576742250000002</v>
      </c>
      <c r="D16">
        <v>285.34514625000003</v>
      </c>
      <c r="E16">
        <v>-48.136742750000003</v>
      </c>
      <c r="F16">
        <v>6.7239310000000003</v>
      </c>
      <c r="G16">
        <v>296.56645175</v>
      </c>
      <c r="H16">
        <v>-44</v>
      </c>
      <c r="I16">
        <v>12</v>
      </c>
      <c r="J16">
        <v>1.17</v>
      </c>
      <c r="K16">
        <v>22.258870000000002</v>
      </c>
      <c r="L16">
        <v>-1.174929458399826</v>
      </c>
      <c r="M16">
        <v>-3.0082126721356461</v>
      </c>
      <c r="N16">
        <v>-1.790903692999529</v>
      </c>
      <c r="O16">
        <v>-1.2850576991386591</v>
      </c>
    </row>
    <row r="17" spans="1:15" x14ac:dyDescent="0.25">
      <c r="A17">
        <v>-219.60198575000001</v>
      </c>
      <c r="B17">
        <v>-291.10777274999998</v>
      </c>
      <c r="C17">
        <v>57.865102999999998</v>
      </c>
      <c r="D17">
        <v>273.21132675000001</v>
      </c>
      <c r="E17">
        <v>-53.579450999999999</v>
      </c>
      <c r="F17">
        <v>6.1892494999999998</v>
      </c>
      <c r="G17">
        <v>290.18511975000001</v>
      </c>
      <c r="H17">
        <v>-44</v>
      </c>
      <c r="I17">
        <v>16</v>
      </c>
      <c r="J17">
        <v>1.17</v>
      </c>
      <c r="K17">
        <v>22.033221749999999</v>
      </c>
      <c r="L17">
        <v>-1.375164039050236</v>
      </c>
      <c r="M17">
        <v>-2.797037263693992</v>
      </c>
      <c r="N17">
        <v>-1.703917017531577</v>
      </c>
      <c r="O17">
        <v>-1.2963053246296909</v>
      </c>
    </row>
    <row r="18" spans="1:15" x14ac:dyDescent="0.25">
      <c r="A18">
        <v>-249.83441925</v>
      </c>
      <c r="B18">
        <v>-289.54421975000002</v>
      </c>
      <c r="C18">
        <v>71.190786250000002</v>
      </c>
      <c r="D18">
        <v>257.7919235</v>
      </c>
      <c r="E18">
        <v>-62.234246499999998</v>
      </c>
      <c r="F18">
        <v>6.092206</v>
      </c>
      <c r="G18">
        <v>282.34006525000001</v>
      </c>
      <c r="H18">
        <v>-44</v>
      </c>
      <c r="I18">
        <v>20</v>
      </c>
      <c r="J18">
        <v>1.17</v>
      </c>
      <c r="K18">
        <v>21.730587750000002</v>
      </c>
      <c r="L18">
        <v>-1.547456953887556</v>
      </c>
      <c r="M18">
        <v>-2.6383786026618572</v>
      </c>
      <c r="N18">
        <v>-1.661011016251843</v>
      </c>
      <c r="O18">
        <v>-1.329382253133139</v>
      </c>
    </row>
    <row r="19" spans="1:15" x14ac:dyDescent="0.25">
      <c r="A19">
        <v>-279.21081550000002</v>
      </c>
      <c r="B19">
        <v>-298.19593800000001</v>
      </c>
      <c r="C19">
        <v>80.722083999999995</v>
      </c>
      <c r="D19">
        <v>244.73826975</v>
      </c>
      <c r="E19">
        <v>-75.484119249999992</v>
      </c>
      <c r="F19">
        <v>6.1896819999999986</v>
      </c>
      <c r="G19">
        <v>278.31399549999998</v>
      </c>
      <c r="H19">
        <v>-44</v>
      </c>
      <c r="I19">
        <v>24</v>
      </c>
      <c r="J19">
        <v>1.17</v>
      </c>
      <c r="K19">
        <v>21.567793250000001</v>
      </c>
      <c r="L19">
        <v>-1.68809557678455</v>
      </c>
      <c r="M19">
        <v>-2.5463861884819838</v>
      </c>
      <c r="N19">
        <v>-1.65933378942087</v>
      </c>
      <c r="O19">
        <v>-1.3830620491303891</v>
      </c>
    </row>
    <row r="20" spans="1:15" x14ac:dyDescent="0.25">
      <c r="A20">
        <v>-308.27179725000002</v>
      </c>
      <c r="B20">
        <v>-311.77428424999999</v>
      </c>
      <c r="C20">
        <v>87.994777499999998</v>
      </c>
      <c r="D20">
        <v>227.47923299999999</v>
      </c>
      <c r="E20">
        <v>-93.150615500000001</v>
      </c>
      <c r="F20">
        <v>6.092206</v>
      </c>
      <c r="G20">
        <v>274.07102200000003</v>
      </c>
      <c r="H20">
        <v>-44</v>
      </c>
      <c r="I20">
        <v>28</v>
      </c>
      <c r="J20">
        <v>1.17</v>
      </c>
      <c r="K20">
        <v>21.402881499999999</v>
      </c>
      <c r="L20">
        <v>-1.8271924725580351</v>
      </c>
      <c r="M20">
        <v>-2.4865164854140209</v>
      </c>
      <c r="N20">
        <v>-1.6932703076143969</v>
      </c>
      <c r="O20">
        <v>-1.457614705571878</v>
      </c>
    </row>
    <row r="21" spans="1:15" x14ac:dyDescent="0.25">
      <c r="A21">
        <v>-331.43048125000001</v>
      </c>
      <c r="B21">
        <v>-327.31723799999997</v>
      </c>
      <c r="C21">
        <v>90.88580125</v>
      </c>
      <c r="D21">
        <v>210.78963475</v>
      </c>
      <c r="E21">
        <v>-116.12598825000001</v>
      </c>
      <c r="F21">
        <v>5.946002</v>
      </c>
      <c r="G21">
        <v>270.26829500000002</v>
      </c>
      <c r="H21">
        <v>-44</v>
      </c>
      <c r="I21">
        <v>32</v>
      </c>
      <c r="J21">
        <v>1.17</v>
      </c>
      <c r="K21">
        <v>21.256360000000001</v>
      </c>
      <c r="L21">
        <v>-1.980438794795639</v>
      </c>
      <c r="M21">
        <v>-2.5234859323243182</v>
      </c>
      <c r="N21">
        <v>-1.812026679650494</v>
      </c>
      <c r="O21">
        <v>-1.5724781782273749</v>
      </c>
    </row>
    <row r="22" spans="1:15" x14ac:dyDescent="0.25">
      <c r="A22">
        <v>-351.48031600000002</v>
      </c>
      <c r="B22">
        <v>-344.92845175000002</v>
      </c>
      <c r="C22">
        <v>93.370325250000008</v>
      </c>
      <c r="D22">
        <v>193.8808555</v>
      </c>
      <c r="E22">
        <v>-141.95655049999999</v>
      </c>
      <c r="F22">
        <v>5.9947604999999999</v>
      </c>
      <c r="G22">
        <v>268.46727774999999</v>
      </c>
      <c r="H22">
        <v>-44</v>
      </c>
      <c r="I22">
        <v>36</v>
      </c>
      <c r="J22">
        <v>1.17</v>
      </c>
      <c r="K22">
        <v>21.18185325</v>
      </c>
      <c r="L22">
        <v>-2.1569077319988952</v>
      </c>
      <c r="M22">
        <v>-2.6125071105641982</v>
      </c>
      <c r="N22">
        <v>-1.9900322548404901</v>
      </c>
      <c r="O22">
        <v>-1.717379587440655</v>
      </c>
    </row>
    <row r="23" spans="1:15" x14ac:dyDescent="0.25">
      <c r="A23">
        <v>-364.68166350000001</v>
      </c>
      <c r="B23">
        <v>-356.44702925000001</v>
      </c>
      <c r="C23">
        <v>92.647550749999994</v>
      </c>
      <c r="D23">
        <v>174.65056225000001</v>
      </c>
      <c r="E23">
        <v>-170.46384800000001</v>
      </c>
      <c r="F23">
        <v>5.5561279999999993</v>
      </c>
      <c r="G23">
        <v>264.26441175000002</v>
      </c>
      <c r="H23">
        <v>-44</v>
      </c>
      <c r="I23">
        <v>40</v>
      </c>
      <c r="J23">
        <v>1.17</v>
      </c>
      <c r="K23">
        <v>21.029415</v>
      </c>
      <c r="L23">
        <v>-2.405752823035924</v>
      </c>
      <c r="M23">
        <v>-2.7938357975704231</v>
      </c>
      <c r="N23">
        <v>-2.2869003338378562</v>
      </c>
      <c r="O23">
        <v>-1.925944034127083</v>
      </c>
    </row>
    <row r="24" spans="1:15" x14ac:dyDescent="0.25">
      <c r="A24">
        <v>-384.64138800000001</v>
      </c>
      <c r="B24">
        <v>-372.78684225000001</v>
      </c>
      <c r="C24">
        <v>88.762815500000002</v>
      </c>
      <c r="D24">
        <v>153.05473724999999</v>
      </c>
      <c r="E24">
        <v>-201.55865474999999</v>
      </c>
      <c r="F24">
        <v>5.6536039999999996</v>
      </c>
      <c r="G24">
        <v>262.26310749999999</v>
      </c>
      <c r="H24">
        <v>-44</v>
      </c>
      <c r="I24">
        <v>44</v>
      </c>
      <c r="J24">
        <v>1.17</v>
      </c>
      <c r="K24">
        <v>20.943942249999999</v>
      </c>
      <c r="L24">
        <v>-2.6723243767959759</v>
      </c>
      <c r="M24">
        <v>-2.9683404898035448</v>
      </c>
      <c r="N24">
        <v>-2.618256571117537</v>
      </c>
      <c r="O24">
        <v>-2.1697304008082918</v>
      </c>
    </row>
    <row r="25" spans="1:15" x14ac:dyDescent="0.25">
      <c r="A25">
        <v>93.863227749999993</v>
      </c>
      <c r="B25">
        <v>-359.10751349999998</v>
      </c>
      <c r="C25">
        <v>-370.21212000000003</v>
      </c>
      <c r="D25">
        <v>149.50657275</v>
      </c>
      <c r="E25">
        <v>-139.36901875000001</v>
      </c>
      <c r="F25">
        <v>5.5561664999999998</v>
      </c>
      <c r="G25">
        <v>258.82083899999998</v>
      </c>
      <c r="H25">
        <v>-40</v>
      </c>
      <c r="I25">
        <v>-44</v>
      </c>
      <c r="J25">
        <v>1.17</v>
      </c>
      <c r="K25">
        <v>20.80699375</v>
      </c>
      <c r="L25">
        <v>2.0600111913302142</v>
      </c>
      <c r="M25">
        <v>-2.2577374017233489</v>
      </c>
      <c r="N25">
        <v>-1.7676359128436701</v>
      </c>
      <c r="O25">
        <v>-1.6433838413892401</v>
      </c>
    </row>
    <row r="26" spans="1:15" x14ac:dyDescent="0.25">
      <c r="A26">
        <v>96.391529250000005</v>
      </c>
      <c r="B26">
        <v>-325.688492</v>
      </c>
      <c r="C26">
        <v>-341.47399124999998</v>
      </c>
      <c r="D26">
        <v>167.07243725000001</v>
      </c>
      <c r="E26">
        <v>-110.3709925</v>
      </c>
      <c r="F26">
        <v>5.3124760000000002</v>
      </c>
      <c r="G26">
        <v>255.17836775000001</v>
      </c>
      <c r="H26">
        <v>-40</v>
      </c>
      <c r="I26">
        <v>-40</v>
      </c>
      <c r="J26">
        <v>1.17</v>
      </c>
      <c r="K26">
        <v>20.666908750000001</v>
      </c>
      <c r="L26">
        <v>1.961727326745585</v>
      </c>
      <c r="M26">
        <v>-2.2077005265655019</v>
      </c>
      <c r="N26">
        <v>-1.637814190739028</v>
      </c>
      <c r="O26">
        <v>-1.5183171960711279</v>
      </c>
    </row>
    <row r="27" spans="1:15" x14ac:dyDescent="0.25">
      <c r="A27">
        <v>96.978425999999999</v>
      </c>
      <c r="B27">
        <v>-297.95602450000001</v>
      </c>
      <c r="C27">
        <v>-315.39762100000002</v>
      </c>
      <c r="D27">
        <v>184.42253500000001</v>
      </c>
      <c r="E27">
        <v>-85.343454499999993</v>
      </c>
      <c r="F27">
        <v>5.4099519999999997</v>
      </c>
      <c r="G27">
        <v>254.49795524999999</v>
      </c>
      <c r="H27">
        <v>-40</v>
      </c>
      <c r="I27">
        <v>-36</v>
      </c>
      <c r="J27">
        <v>1.17</v>
      </c>
      <c r="K27">
        <v>20.634713999999999</v>
      </c>
      <c r="L27">
        <v>1.8631468267885289</v>
      </c>
      <c r="M27">
        <v>-2.1794456244609188</v>
      </c>
      <c r="N27">
        <v>-1.535464860223535</v>
      </c>
      <c r="O27">
        <v>-1.410042175420366</v>
      </c>
    </row>
    <row r="28" spans="1:15" x14ac:dyDescent="0.25">
      <c r="A28">
        <v>95.669172500000002</v>
      </c>
      <c r="B28">
        <v>-275.64530975000002</v>
      </c>
      <c r="C28">
        <v>-286.02789300000001</v>
      </c>
      <c r="D28">
        <v>197.99292374999999</v>
      </c>
      <c r="E28">
        <v>-62.858823000000001</v>
      </c>
      <c r="F28">
        <v>5.4099199999999996</v>
      </c>
      <c r="G28">
        <v>251.89620975</v>
      </c>
      <c r="H28">
        <v>-40</v>
      </c>
      <c r="I28">
        <v>-32</v>
      </c>
      <c r="J28">
        <v>1.17</v>
      </c>
      <c r="K28">
        <v>20.526664499999999</v>
      </c>
      <c r="L28">
        <v>1.751098101859196</v>
      </c>
      <c r="M28">
        <v>-2.172886006478624</v>
      </c>
      <c r="N28">
        <v>-1.444002267174749</v>
      </c>
      <c r="O28">
        <v>-1.3132010588328591</v>
      </c>
    </row>
    <row r="29" spans="1:15" x14ac:dyDescent="0.25">
      <c r="A29">
        <v>90.341747499999997</v>
      </c>
      <c r="B29">
        <v>-252.08710875</v>
      </c>
      <c r="C29">
        <v>-248.62771225</v>
      </c>
      <c r="D29">
        <v>211.89531725000001</v>
      </c>
      <c r="E29">
        <v>-43.273994500000001</v>
      </c>
      <c r="F29">
        <v>5.2149679999999998</v>
      </c>
      <c r="G29">
        <v>250.09501225</v>
      </c>
      <c r="H29">
        <v>-40</v>
      </c>
      <c r="I29">
        <v>-28</v>
      </c>
      <c r="J29">
        <v>1.17</v>
      </c>
      <c r="K29">
        <v>20.4596765</v>
      </c>
      <c r="L29">
        <v>1.636869309296445</v>
      </c>
      <c r="M29">
        <v>-2.240607902037973</v>
      </c>
      <c r="N29">
        <v>-1.416714095397988</v>
      </c>
      <c r="O29">
        <v>-1.234166668663061</v>
      </c>
    </row>
    <row r="30" spans="1:15" x14ac:dyDescent="0.25">
      <c r="A30">
        <v>82.350504000000001</v>
      </c>
      <c r="B30">
        <v>-235.77390675000001</v>
      </c>
      <c r="C30">
        <v>-213.30281425000001</v>
      </c>
      <c r="D30">
        <v>223.15626549999999</v>
      </c>
      <c r="E30">
        <v>-28.551913750000001</v>
      </c>
      <c r="F30">
        <v>5.2636837500000002</v>
      </c>
      <c r="G30">
        <v>249.5348055</v>
      </c>
      <c r="H30">
        <v>-40</v>
      </c>
      <c r="I30">
        <v>-24</v>
      </c>
      <c r="J30">
        <v>1.17</v>
      </c>
      <c r="K30">
        <v>20.434222500000001</v>
      </c>
      <c r="L30">
        <v>1.5085304532843899</v>
      </c>
      <c r="M30">
        <v>-2.3416579967464921</v>
      </c>
      <c r="N30">
        <v>-1.4189174435199761</v>
      </c>
      <c r="O30">
        <v>-1.172535719192193</v>
      </c>
    </row>
    <row r="31" spans="1:15" x14ac:dyDescent="0.25">
      <c r="A31">
        <v>69.347814499999998</v>
      </c>
      <c r="B31">
        <v>-218.21320725000001</v>
      </c>
      <c r="C31">
        <v>-173.82736224999999</v>
      </c>
      <c r="D31">
        <v>228.98382574999999</v>
      </c>
      <c r="E31">
        <v>-16.64041375</v>
      </c>
      <c r="F31">
        <v>5.2636837500000002</v>
      </c>
      <c r="G31">
        <v>245.8121415</v>
      </c>
      <c r="H31">
        <v>-40</v>
      </c>
      <c r="I31">
        <v>-20</v>
      </c>
      <c r="J31">
        <v>1.17</v>
      </c>
      <c r="K31">
        <v>20.2779165</v>
      </c>
      <c r="L31">
        <v>1.3556098529373379</v>
      </c>
      <c r="M31">
        <v>-2.493121911784133</v>
      </c>
      <c r="N31">
        <v>-1.463195625334816</v>
      </c>
      <c r="O31">
        <v>-1.1221351571004861</v>
      </c>
    </row>
    <row r="32" spans="1:15" x14ac:dyDescent="0.25">
      <c r="A32">
        <v>55.803341750000001</v>
      </c>
      <c r="B32">
        <v>-206.074253</v>
      </c>
      <c r="C32">
        <v>-136.51741425</v>
      </c>
      <c r="D32">
        <v>233.97894299999999</v>
      </c>
      <c r="E32">
        <v>-5.9334462500000003</v>
      </c>
      <c r="F32">
        <v>4.9712650000000007</v>
      </c>
      <c r="G32">
        <v>243.6107825</v>
      </c>
      <c r="H32">
        <v>-40</v>
      </c>
      <c r="I32">
        <v>-16</v>
      </c>
      <c r="J32">
        <v>1.17</v>
      </c>
      <c r="K32">
        <v>20.19729375</v>
      </c>
      <c r="L32">
        <v>1.1630247527845241</v>
      </c>
      <c r="M32">
        <v>-2.6611395331773422</v>
      </c>
      <c r="N32">
        <v>-1.5090699832548511</v>
      </c>
      <c r="O32">
        <v>-1.065936648355466</v>
      </c>
    </row>
    <row r="33" spans="1:15" x14ac:dyDescent="0.25">
      <c r="A33">
        <v>45.735257249999997</v>
      </c>
      <c r="B33">
        <v>-230.88028725000001</v>
      </c>
      <c r="C33">
        <v>-118.60683425000001</v>
      </c>
      <c r="D33">
        <v>273.13357550000001</v>
      </c>
      <c r="E33">
        <v>2.01214475</v>
      </c>
      <c r="F33">
        <v>5.9947857500000001</v>
      </c>
      <c r="G33">
        <v>277.75464599999998</v>
      </c>
      <c r="H33">
        <v>-40</v>
      </c>
      <c r="I33">
        <v>-12</v>
      </c>
      <c r="J33">
        <v>1.17</v>
      </c>
      <c r="K33">
        <v>21.553268750000001</v>
      </c>
      <c r="L33">
        <v>0.92974550397435762</v>
      </c>
      <c r="M33">
        <v>-2.851531893452965</v>
      </c>
      <c r="N33">
        <v>-1.560048680116416</v>
      </c>
      <c r="O33">
        <v>-1.022545364185814</v>
      </c>
    </row>
    <row r="34" spans="1:15" x14ac:dyDescent="0.25">
      <c r="A34">
        <v>25.057294750000001</v>
      </c>
      <c r="B34">
        <v>-253.05149075</v>
      </c>
      <c r="C34">
        <v>-87.883642000000009</v>
      </c>
      <c r="D34">
        <v>307.41999075000001</v>
      </c>
      <c r="E34">
        <v>10.77622075</v>
      </c>
      <c r="F34">
        <v>6.9695687500000014</v>
      </c>
      <c r="G34">
        <v>309.37707525000002</v>
      </c>
      <c r="H34">
        <v>-40</v>
      </c>
      <c r="I34">
        <v>-8</v>
      </c>
      <c r="J34">
        <v>1.17</v>
      </c>
      <c r="K34">
        <v>22.73619175</v>
      </c>
      <c r="L34">
        <v>0.62313888772943016</v>
      </c>
      <c r="M34">
        <v>-3.0924599095853429</v>
      </c>
      <c r="N34">
        <v>-1.647594097506059</v>
      </c>
      <c r="O34">
        <v>-0.97904158571848288</v>
      </c>
    </row>
    <row r="35" spans="1:15" x14ac:dyDescent="0.25">
      <c r="A35">
        <v>-4.7311180000000004</v>
      </c>
      <c r="B35">
        <v>-243.42256549999999</v>
      </c>
      <c r="C35">
        <v>-44.708775500000002</v>
      </c>
      <c r="D35">
        <v>299.05209350000001</v>
      </c>
      <c r="E35">
        <v>14.75581375</v>
      </c>
      <c r="F35">
        <v>6.2385054999999996</v>
      </c>
      <c r="G35">
        <v>299.97048174999998</v>
      </c>
      <c r="H35">
        <v>-40</v>
      </c>
      <c r="I35">
        <v>-4</v>
      </c>
      <c r="J35">
        <v>1.17</v>
      </c>
      <c r="K35">
        <v>22.407706749999999</v>
      </c>
      <c r="L35">
        <v>0.25172536019684472</v>
      </c>
      <c r="M35">
        <v>-3.415667641736237</v>
      </c>
      <c r="N35">
        <v>-1.7958566796978011</v>
      </c>
      <c r="O35">
        <v>-0.94638500964508654</v>
      </c>
    </row>
    <row r="36" spans="1:15" x14ac:dyDescent="0.25">
      <c r="A36">
        <v>-34.837246749999998</v>
      </c>
      <c r="B36">
        <v>-236.59085825</v>
      </c>
      <c r="C36">
        <v>-8.2108954999999995</v>
      </c>
      <c r="D36">
        <v>290.77890000000002</v>
      </c>
      <c r="E36">
        <v>17.617569750000001</v>
      </c>
      <c r="F36">
        <v>6.3847199999999997</v>
      </c>
      <c r="G36">
        <v>290.8042145</v>
      </c>
      <c r="H36">
        <v>-40</v>
      </c>
      <c r="I36">
        <v>0</v>
      </c>
      <c r="J36">
        <v>1.17</v>
      </c>
      <c r="K36">
        <v>22.049644499999999</v>
      </c>
      <c r="L36">
        <v>-0.1736538412526327</v>
      </c>
      <c r="M36">
        <v>-3.4394573806886322</v>
      </c>
      <c r="N36">
        <v>-1.7817209963103171</v>
      </c>
      <c r="O36">
        <v>-0.92675565622768086</v>
      </c>
    </row>
    <row r="37" spans="1:15" x14ac:dyDescent="0.25">
      <c r="A37">
        <v>-69.223820000000003</v>
      </c>
      <c r="B37">
        <v>-233.167427</v>
      </c>
      <c r="C37">
        <v>23.48946625</v>
      </c>
      <c r="D37">
        <v>282.01808949999997</v>
      </c>
      <c r="E37">
        <v>17.170422500000001</v>
      </c>
      <c r="F37">
        <v>5.9460859999999993</v>
      </c>
      <c r="G37">
        <v>282.998741</v>
      </c>
      <c r="H37">
        <v>-40</v>
      </c>
      <c r="I37">
        <v>4</v>
      </c>
      <c r="J37">
        <v>1.17</v>
      </c>
      <c r="K37">
        <v>21.762215749999999</v>
      </c>
      <c r="L37">
        <v>-0.55064679622127499</v>
      </c>
      <c r="M37">
        <v>-3.0599271466870501</v>
      </c>
      <c r="N37">
        <v>-1.578873933098462</v>
      </c>
      <c r="O37">
        <v>-0.93332248845366028</v>
      </c>
    </row>
    <row r="38" spans="1:15" x14ac:dyDescent="0.25">
      <c r="A38">
        <v>-102.1231595</v>
      </c>
      <c r="B38">
        <v>-232.319332</v>
      </c>
      <c r="C38">
        <v>48.334151249999998</v>
      </c>
      <c r="D38">
        <v>275.62245174999998</v>
      </c>
      <c r="E38">
        <v>15.60542575</v>
      </c>
      <c r="F38">
        <v>5.8973382499999998</v>
      </c>
      <c r="G38">
        <v>278.79596700000002</v>
      </c>
      <c r="H38">
        <v>-40</v>
      </c>
      <c r="I38">
        <v>8</v>
      </c>
      <c r="J38">
        <v>1.17</v>
      </c>
      <c r="K38">
        <v>21.598457750000001</v>
      </c>
      <c r="L38">
        <v>-0.82294151570766072</v>
      </c>
      <c r="M38">
        <v>-2.778368355652066</v>
      </c>
      <c r="N38">
        <v>-1.4396806208026831</v>
      </c>
      <c r="O38">
        <v>-0.94692532602423118</v>
      </c>
    </row>
    <row r="39" spans="1:15" x14ac:dyDescent="0.25">
      <c r="A39">
        <v>-137.00547750000001</v>
      </c>
      <c r="B39">
        <v>-233.48720925000001</v>
      </c>
      <c r="C39">
        <v>70.965389250000001</v>
      </c>
      <c r="D39">
        <v>267.95667275</v>
      </c>
      <c r="E39">
        <v>11.6258395</v>
      </c>
      <c r="F39">
        <v>5.7511200000000002</v>
      </c>
      <c r="G39">
        <v>274.11275475000002</v>
      </c>
      <c r="H39">
        <v>-40</v>
      </c>
      <c r="I39">
        <v>12</v>
      </c>
      <c r="J39">
        <v>1.17</v>
      </c>
      <c r="K39">
        <v>21.418162250000002</v>
      </c>
      <c r="L39">
        <v>-1.0563900834775259</v>
      </c>
      <c r="M39">
        <v>-2.5471043291196951</v>
      </c>
      <c r="N39">
        <v>-1.333342891720279</v>
      </c>
      <c r="O39">
        <v>-0.97018611609551497</v>
      </c>
    </row>
    <row r="40" spans="1:15" x14ac:dyDescent="0.25">
      <c r="A40">
        <v>-171.70752325000001</v>
      </c>
      <c r="B40">
        <v>-235.35851299999999</v>
      </c>
      <c r="C40">
        <v>88.356708249999997</v>
      </c>
      <c r="D40">
        <v>258.84533699999997</v>
      </c>
      <c r="E40">
        <v>3.7560322500000001</v>
      </c>
      <c r="F40">
        <v>5.7023785</v>
      </c>
      <c r="G40">
        <v>270.83059674999998</v>
      </c>
      <c r="H40">
        <v>-40</v>
      </c>
      <c r="I40">
        <v>16</v>
      </c>
      <c r="J40">
        <v>1.17</v>
      </c>
      <c r="K40">
        <v>21.288742750000001</v>
      </c>
      <c r="L40">
        <v>-1.254610587823469</v>
      </c>
      <c r="M40">
        <v>-2.3841546276371179</v>
      </c>
      <c r="N40">
        <v>-1.288441854750773</v>
      </c>
      <c r="O40">
        <v>-1.0094024087432889</v>
      </c>
    </row>
    <row r="41" spans="1:15" x14ac:dyDescent="0.25">
      <c r="A41">
        <v>-204.74206175</v>
      </c>
      <c r="B41">
        <v>-239.43910199999999</v>
      </c>
      <c r="C41">
        <v>102.76666825</v>
      </c>
      <c r="D41">
        <v>249.77757249999999</v>
      </c>
      <c r="E41">
        <v>-7.27181575</v>
      </c>
      <c r="F41">
        <v>5.8485849999999999</v>
      </c>
      <c r="G41">
        <v>269.22939300000002</v>
      </c>
      <c r="H41">
        <v>-40</v>
      </c>
      <c r="I41">
        <v>20</v>
      </c>
      <c r="J41">
        <v>1.17</v>
      </c>
      <c r="K41">
        <v>21.218473249999999</v>
      </c>
      <c r="L41">
        <v>-1.431482496369376</v>
      </c>
      <c r="M41">
        <v>-2.277349144422633</v>
      </c>
      <c r="N41">
        <v>-1.2871416897726311</v>
      </c>
      <c r="O41">
        <v>-1.0610801592389629</v>
      </c>
    </row>
    <row r="42" spans="1:15" x14ac:dyDescent="0.25">
      <c r="A42">
        <v>-235.07256699999999</v>
      </c>
      <c r="B42">
        <v>-251.27605025</v>
      </c>
      <c r="C42">
        <v>111.349434</v>
      </c>
      <c r="D42">
        <v>235.36578349999999</v>
      </c>
      <c r="E42">
        <v>-23.287655000000001</v>
      </c>
      <c r="F42">
        <v>5.8485877500000001</v>
      </c>
      <c r="G42">
        <v>264.79583000000002</v>
      </c>
      <c r="H42">
        <v>-40</v>
      </c>
      <c r="I42">
        <v>24</v>
      </c>
      <c r="J42">
        <v>1.17</v>
      </c>
      <c r="K42">
        <v>21.039126249999999</v>
      </c>
      <c r="L42">
        <v>-1.575472592796614</v>
      </c>
      <c r="M42">
        <v>-2.213165287180737</v>
      </c>
      <c r="N42">
        <v>-1.3101688660308921</v>
      </c>
      <c r="O42">
        <v>-1.1325144222409129</v>
      </c>
    </row>
    <row r="43" spans="1:15" x14ac:dyDescent="0.25">
      <c r="A43">
        <v>-266.16922025000002</v>
      </c>
      <c r="B43">
        <v>-269.93568425000001</v>
      </c>
      <c r="C43">
        <v>117.538065</v>
      </c>
      <c r="D43">
        <v>220.9977035</v>
      </c>
      <c r="E43">
        <v>-45.593837000000001</v>
      </c>
      <c r="F43">
        <v>5.7019717500000002</v>
      </c>
      <c r="G43">
        <v>263.14524875000001</v>
      </c>
      <c r="H43">
        <v>-40</v>
      </c>
      <c r="I43">
        <v>28</v>
      </c>
      <c r="J43">
        <v>1.17</v>
      </c>
      <c r="K43">
        <v>20.977939249999999</v>
      </c>
      <c r="L43">
        <v>-1.72485652045799</v>
      </c>
      <c r="M43">
        <v>-2.2069005812976932</v>
      </c>
      <c r="N43">
        <v>-1.3878886134217989</v>
      </c>
      <c r="O43">
        <v>-1.230605033268207</v>
      </c>
    </row>
    <row r="44" spans="1:15" x14ac:dyDescent="0.25">
      <c r="A44">
        <v>-293.48017874999999</v>
      </c>
      <c r="B44">
        <v>-290.71103675000001</v>
      </c>
      <c r="C44">
        <v>121.28730950000001</v>
      </c>
      <c r="D44">
        <v>206.84870549999999</v>
      </c>
      <c r="E44">
        <v>-71.915134499999994</v>
      </c>
      <c r="F44">
        <v>5.7015605000000003</v>
      </c>
      <c r="G44">
        <v>262.11422700000003</v>
      </c>
      <c r="H44">
        <v>-40</v>
      </c>
      <c r="I44">
        <v>32</v>
      </c>
      <c r="J44">
        <v>1.17</v>
      </c>
      <c r="K44">
        <v>20.93590425</v>
      </c>
      <c r="L44">
        <v>-1.883762350090088</v>
      </c>
      <c r="M44">
        <v>-2.259786351874161</v>
      </c>
      <c r="N44">
        <v>-1.5170806312125831</v>
      </c>
      <c r="O44">
        <v>-1.35252053466697</v>
      </c>
    </row>
    <row r="45" spans="1:15" x14ac:dyDescent="0.25">
      <c r="A45">
        <v>-312.40856925000003</v>
      </c>
      <c r="B45">
        <v>-308.6075975</v>
      </c>
      <c r="C45">
        <v>121.603649</v>
      </c>
      <c r="D45">
        <v>187.39928800000001</v>
      </c>
      <c r="E45">
        <v>-102.51921849999999</v>
      </c>
      <c r="F45">
        <v>5.3117227499999986</v>
      </c>
      <c r="G45">
        <v>257.77690100000001</v>
      </c>
      <c r="H45">
        <v>-40</v>
      </c>
      <c r="I45">
        <v>36</v>
      </c>
      <c r="J45">
        <v>1.17</v>
      </c>
      <c r="K45">
        <v>20.774128000000001</v>
      </c>
      <c r="L45">
        <v>-2.0867174598864868</v>
      </c>
      <c r="M45">
        <v>-2.3847781518268878</v>
      </c>
      <c r="N45">
        <v>-1.732297404683099</v>
      </c>
      <c r="O45">
        <v>-1.518451432863712</v>
      </c>
    </row>
    <row r="46" spans="1:15" x14ac:dyDescent="0.25">
      <c r="A46">
        <v>-332.62227625000003</v>
      </c>
      <c r="B46">
        <v>-328.42334749999998</v>
      </c>
      <c r="C46">
        <v>120.02268225</v>
      </c>
      <c r="D46">
        <v>168.60674299999999</v>
      </c>
      <c r="E46">
        <v>-136.46922325</v>
      </c>
      <c r="F46">
        <v>5.4084182500000004</v>
      </c>
      <c r="G46">
        <v>256.61629475000001</v>
      </c>
      <c r="H46">
        <v>-40</v>
      </c>
      <c r="I46">
        <v>40</v>
      </c>
      <c r="J46">
        <v>1.17</v>
      </c>
      <c r="K46">
        <v>20.722334249999999</v>
      </c>
      <c r="L46">
        <v>-2.332627317979425</v>
      </c>
      <c r="M46">
        <v>-2.5613520107142191</v>
      </c>
      <c r="N46">
        <v>-2.0257177015108692</v>
      </c>
      <c r="O46">
        <v>-1.731162766190709</v>
      </c>
    </row>
    <row r="47" spans="1:15" x14ac:dyDescent="0.25">
      <c r="A47">
        <v>-356.46131124999999</v>
      </c>
      <c r="B47">
        <v>-347.75930799999998</v>
      </c>
      <c r="C47">
        <v>115.550667</v>
      </c>
      <c r="D47">
        <v>147.58021925</v>
      </c>
      <c r="E47">
        <v>-171.66838075000001</v>
      </c>
      <c r="F47">
        <v>5.4084372500000004</v>
      </c>
      <c r="G47">
        <v>254.575222</v>
      </c>
      <c r="H47">
        <v>-40</v>
      </c>
      <c r="I47">
        <v>44</v>
      </c>
      <c r="J47">
        <v>1.17</v>
      </c>
      <c r="K47">
        <v>20.637972999999999</v>
      </c>
      <c r="L47">
        <v>-2.6159257815672721</v>
      </c>
      <c r="M47">
        <v>-2.7451856709794669</v>
      </c>
      <c r="N47">
        <v>-2.3622836189466878</v>
      </c>
      <c r="O47">
        <v>-1.981389009867953</v>
      </c>
    </row>
    <row r="48" spans="1:15" x14ac:dyDescent="0.25">
      <c r="A48">
        <v>120.99817075</v>
      </c>
      <c r="B48">
        <v>-339.12289425</v>
      </c>
      <c r="C48">
        <v>-340.48146050000003</v>
      </c>
      <c r="D48">
        <v>142.80554950000001</v>
      </c>
      <c r="E48">
        <v>-102.47460175000001</v>
      </c>
      <c r="F48">
        <v>5.4571715000000003</v>
      </c>
      <c r="G48">
        <v>251.45762250000001</v>
      </c>
      <c r="H48">
        <v>-36</v>
      </c>
      <c r="I48">
        <v>-44</v>
      </c>
      <c r="J48">
        <v>1.17</v>
      </c>
      <c r="K48">
        <v>20.506428</v>
      </c>
      <c r="L48">
        <v>1.944514936408801</v>
      </c>
      <c r="M48">
        <v>-2.0307022905976808</v>
      </c>
      <c r="N48">
        <v>-1.491393001367453</v>
      </c>
      <c r="O48">
        <v>-1.4548077466485101</v>
      </c>
    </row>
    <row r="49" spans="1:15" x14ac:dyDescent="0.25">
      <c r="A49">
        <v>126.41612975</v>
      </c>
      <c r="B49">
        <v>-309.13536075000002</v>
      </c>
      <c r="C49">
        <v>-314.54044349999998</v>
      </c>
      <c r="D49">
        <v>162.25527600000001</v>
      </c>
      <c r="E49">
        <v>-70.710599999999999</v>
      </c>
      <c r="F49">
        <v>5.3597315000000014</v>
      </c>
      <c r="G49">
        <v>250.89737324999999</v>
      </c>
      <c r="H49">
        <v>-36</v>
      </c>
      <c r="I49">
        <v>-40</v>
      </c>
      <c r="J49">
        <v>1.17</v>
      </c>
      <c r="K49">
        <v>20.4871275</v>
      </c>
      <c r="L49">
        <v>1.828736717013977</v>
      </c>
      <c r="M49">
        <v>-1.9549510516313431</v>
      </c>
      <c r="N49">
        <v>-1.333777091831434</v>
      </c>
      <c r="O49">
        <v>-1.315482972331409</v>
      </c>
    </row>
    <row r="50" spans="1:15" x14ac:dyDescent="0.25">
      <c r="A50">
        <v>124.2941115</v>
      </c>
      <c r="B50">
        <v>-276.41298699999999</v>
      </c>
      <c r="C50">
        <v>-287.15576149999998</v>
      </c>
      <c r="D50">
        <v>177.58707050000001</v>
      </c>
      <c r="E50">
        <v>-45.058488750000002</v>
      </c>
      <c r="F50">
        <v>5.1160977499999998</v>
      </c>
      <c r="G50">
        <v>247.33470925</v>
      </c>
      <c r="H50">
        <v>-36</v>
      </c>
      <c r="I50">
        <v>-36</v>
      </c>
      <c r="J50">
        <v>1.17</v>
      </c>
      <c r="K50">
        <v>20.348189999999999</v>
      </c>
      <c r="L50">
        <v>1.738094688842752</v>
      </c>
      <c r="M50">
        <v>-1.917832785627068</v>
      </c>
      <c r="N50">
        <v>-1.235164860403666</v>
      </c>
      <c r="O50">
        <v>-1.2119568990491969</v>
      </c>
    </row>
    <row r="51" spans="1:15" x14ac:dyDescent="0.25">
      <c r="A51">
        <v>124.29427325</v>
      </c>
      <c r="B51">
        <v>-249.20830525</v>
      </c>
      <c r="C51">
        <v>-256.25210950000002</v>
      </c>
      <c r="D51">
        <v>193.83909625000001</v>
      </c>
      <c r="E51">
        <v>-20.43246375</v>
      </c>
      <c r="F51">
        <v>5.1648227499999999</v>
      </c>
      <c r="G51">
        <v>246.374325</v>
      </c>
      <c r="H51">
        <v>-36</v>
      </c>
      <c r="I51">
        <v>-32</v>
      </c>
      <c r="J51">
        <v>1.17</v>
      </c>
      <c r="K51">
        <v>20.30575975</v>
      </c>
      <c r="L51">
        <v>1.638184202120911</v>
      </c>
      <c r="M51">
        <v>-1.907234378628107</v>
      </c>
      <c r="N51">
        <v>-1.1485546530555819</v>
      </c>
      <c r="O51">
        <v>-1.1101878515630561</v>
      </c>
    </row>
    <row r="52" spans="1:15" x14ac:dyDescent="0.25">
      <c r="A52">
        <v>118.37983125</v>
      </c>
      <c r="B52">
        <v>-223.10716224999999</v>
      </c>
      <c r="C52">
        <v>-216.41573700000001</v>
      </c>
      <c r="D52">
        <v>207.63786675</v>
      </c>
      <c r="E52">
        <v>-0.49073674999999989</v>
      </c>
      <c r="F52">
        <v>4.9211987500000003</v>
      </c>
      <c r="G52">
        <v>245.41379925000001</v>
      </c>
      <c r="H52">
        <v>-36</v>
      </c>
      <c r="I52">
        <v>-28</v>
      </c>
      <c r="J52">
        <v>1.17</v>
      </c>
      <c r="K52">
        <v>20.275562000000001</v>
      </c>
      <c r="L52">
        <v>1.526862915855187</v>
      </c>
      <c r="M52">
        <v>-1.9645021491721359</v>
      </c>
      <c r="N52">
        <v>-1.1215215737156221</v>
      </c>
      <c r="O52">
        <v>-1.024689272737354</v>
      </c>
    </row>
    <row r="53" spans="1:15" x14ac:dyDescent="0.25">
      <c r="A53">
        <v>115.85153375</v>
      </c>
      <c r="B53">
        <v>-209.14498524999999</v>
      </c>
      <c r="C53">
        <v>-187.49714274999999</v>
      </c>
      <c r="D53">
        <v>227.35031524999999</v>
      </c>
      <c r="E53">
        <v>17.349381999999999</v>
      </c>
      <c r="F53">
        <v>5.3110027500000001</v>
      </c>
      <c r="G53">
        <v>254.38013824999999</v>
      </c>
      <c r="H53">
        <v>-36</v>
      </c>
      <c r="I53">
        <v>-24</v>
      </c>
      <c r="J53">
        <v>1.17</v>
      </c>
      <c r="K53">
        <v>20.6338875</v>
      </c>
      <c r="L53">
        <v>1.4065302238804409</v>
      </c>
      <c r="M53">
        <v>-2.023882578715738</v>
      </c>
      <c r="N53">
        <v>-1.0990281339756109</v>
      </c>
      <c r="O53">
        <v>-0.94416265595217619</v>
      </c>
    </row>
    <row r="54" spans="1:15" x14ac:dyDescent="0.25">
      <c r="A54">
        <v>117.65746675</v>
      </c>
      <c r="B54">
        <v>-216.38996875000001</v>
      </c>
      <c r="C54">
        <v>-169.72190474999999</v>
      </c>
      <c r="D54">
        <v>267.3009035</v>
      </c>
      <c r="E54">
        <v>36.129652</v>
      </c>
      <c r="F54">
        <v>6.0418934999999996</v>
      </c>
      <c r="G54">
        <v>286.16272750000002</v>
      </c>
      <c r="H54">
        <v>-36</v>
      </c>
      <c r="I54">
        <v>-20</v>
      </c>
      <c r="J54">
        <v>1.17</v>
      </c>
      <c r="K54">
        <v>21.882338000000001</v>
      </c>
      <c r="L54">
        <v>1.2539167864426179</v>
      </c>
      <c r="M54">
        <v>-2.1104918266760202</v>
      </c>
      <c r="N54">
        <v>-1.0909820612264201</v>
      </c>
      <c r="O54">
        <v>-0.86870869295768582</v>
      </c>
    </row>
    <row r="55" spans="1:15" x14ac:dyDescent="0.25">
      <c r="A55">
        <v>110.65952125</v>
      </c>
      <c r="B55">
        <v>-219.71590800000001</v>
      </c>
      <c r="C55">
        <v>-138.36712274999999</v>
      </c>
      <c r="D55">
        <v>297.00116750000001</v>
      </c>
      <c r="E55">
        <v>53.210786749999997</v>
      </c>
      <c r="F55">
        <v>6.6265900000000002</v>
      </c>
      <c r="G55">
        <v>308.21863574999998</v>
      </c>
      <c r="H55">
        <v>-36</v>
      </c>
      <c r="I55">
        <v>-16</v>
      </c>
      <c r="J55">
        <v>1.17</v>
      </c>
      <c r="K55">
        <v>22.705527</v>
      </c>
      <c r="L55">
        <v>1.072222594372761</v>
      </c>
      <c r="M55">
        <v>-2.2248126030815878</v>
      </c>
      <c r="N55">
        <v>-1.0979791028653949</v>
      </c>
      <c r="O55">
        <v>-0.7994174318593984</v>
      </c>
    </row>
    <row r="56" spans="1:15" x14ac:dyDescent="0.25">
      <c r="A56">
        <v>85.647083250000009</v>
      </c>
      <c r="B56">
        <v>-199.01490025000001</v>
      </c>
      <c r="C56">
        <v>-87.071574999999996</v>
      </c>
      <c r="D56">
        <v>287.27634425000002</v>
      </c>
      <c r="E56">
        <v>61.170117249999997</v>
      </c>
      <c r="F56">
        <v>6.4317012499999997</v>
      </c>
      <c r="G56">
        <v>292.12705225000002</v>
      </c>
      <c r="H56">
        <v>-36</v>
      </c>
      <c r="I56">
        <v>-12</v>
      </c>
      <c r="J56">
        <v>1.17</v>
      </c>
      <c r="K56">
        <v>22.099047500000001</v>
      </c>
      <c r="L56">
        <v>0.84579013509528689</v>
      </c>
      <c r="M56">
        <v>-2.381377110016988</v>
      </c>
      <c r="N56">
        <v>-1.131045464784219</v>
      </c>
      <c r="O56">
        <v>-0.73199734647888492</v>
      </c>
    </row>
    <row r="57" spans="1:15" x14ac:dyDescent="0.25">
      <c r="A57">
        <v>60.544520249999998</v>
      </c>
      <c r="B57">
        <v>-189.35567825000001</v>
      </c>
      <c r="C57">
        <v>-44.699975000000002</v>
      </c>
      <c r="D57">
        <v>281.81089800000001</v>
      </c>
      <c r="E57">
        <v>66.625349</v>
      </c>
      <c r="F57">
        <v>6.18801325</v>
      </c>
      <c r="G57">
        <v>283.00083925000001</v>
      </c>
      <c r="H57">
        <v>-36</v>
      </c>
      <c r="I57">
        <v>-8</v>
      </c>
      <c r="J57">
        <v>1.17</v>
      </c>
      <c r="K57">
        <v>21.752799249999999</v>
      </c>
      <c r="L57">
        <v>0.57302213639548349</v>
      </c>
      <c r="M57">
        <v>-2.5655805922022048</v>
      </c>
      <c r="N57">
        <v>-1.178214102202199</v>
      </c>
      <c r="O57">
        <v>-0.67092245550124907</v>
      </c>
    </row>
    <row r="58" spans="1:15" x14ac:dyDescent="0.25">
      <c r="A58">
        <v>32.461999749999997</v>
      </c>
      <c r="B58">
        <v>-181.83442299999999</v>
      </c>
      <c r="C58">
        <v>-7.53264975</v>
      </c>
      <c r="D58">
        <v>274.07334150000003</v>
      </c>
      <c r="E58">
        <v>67.966800500000005</v>
      </c>
      <c r="F58">
        <v>6.0418390000000004</v>
      </c>
      <c r="G58">
        <v>274.35475150000002</v>
      </c>
      <c r="H58">
        <v>-36</v>
      </c>
      <c r="I58">
        <v>-4</v>
      </c>
      <c r="J58">
        <v>1.17</v>
      </c>
      <c r="K58">
        <v>21.41621525</v>
      </c>
      <c r="L58">
        <v>0.24587719290384399</v>
      </c>
      <c r="M58">
        <v>-2.8030306565328331</v>
      </c>
      <c r="N58">
        <v>-1.268923949634305</v>
      </c>
      <c r="O58">
        <v>-0.61927774112676326</v>
      </c>
    </row>
    <row r="59" spans="1:15" x14ac:dyDescent="0.25">
      <c r="A59">
        <v>3.3861937499999999</v>
      </c>
      <c r="B59">
        <v>-177.77838125</v>
      </c>
      <c r="C59">
        <v>26.471077999999999</v>
      </c>
      <c r="D59">
        <v>268.11442549999998</v>
      </c>
      <c r="E59">
        <v>69.040048499999997</v>
      </c>
      <c r="F59">
        <v>5.7007650000000014</v>
      </c>
      <c r="G59">
        <v>268.35060125000001</v>
      </c>
      <c r="H59">
        <v>-36</v>
      </c>
      <c r="I59">
        <v>0</v>
      </c>
      <c r="J59">
        <v>1.17</v>
      </c>
      <c r="K59">
        <v>21.189004499999999</v>
      </c>
      <c r="L59">
        <v>-0.1477482677820241</v>
      </c>
      <c r="M59">
        <v>-2.8539719549577129</v>
      </c>
      <c r="N59">
        <v>-1.2757012066348701</v>
      </c>
      <c r="O59">
        <v>-0.59458978881674973</v>
      </c>
    </row>
    <row r="60" spans="1:15" x14ac:dyDescent="0.25">
      <c r="A60">
        <v>-29.37638475</v>
      </c>
      <c r="B60">
        <v>-176.78305424999999</v>
      </c>
      <c r="C60">
        <v>55.381487</v>
      </c>
      <c r="D60">
        <v>264.08336624999998</v>
      </c>
      <c r="E60">
        <v>68.324611500000003</v>
      </c>
      <c r="F60">
        <v>5.7007855000000003</v>
      </c>
      <c r="G60">
        <v>265.02828225000002</v>
      </c>
      <c r="H60">
        <v>-36</v>
      </c>
      <c r="I60">
        <v>4</v>
      </c>
      <c r="J60">
        <v>1.17</v>
      </c>
      <c r="K60">
        <v>21.054566999999999</v>
      </c>
      <c r="L60">
        <v>-0.49449085820210648</v>
      </c>
      <c r="M60">
        <v>-2.572120246703038</v>
      </c>
      <c r="N60">
        <v>-1.147634696760484</v>
      </c>
      <c r="O60">
        <v>-0.63465278449591001</v>
      </c>
    </row>
    <row r="61" spans="1:15" x14ac:dyDescent="0.25">
      <c r="A61">
        <v>-61.140726999999998</v>
      </c>
      <c r="B61">
        <v>-174.88723400000001</v>
      </c>
      <c r="C61">
        <v>78.193599750000004</v>
      </c>
      <c r="D61">
        <v>256.89748400000002</v>
      </c>
      <c r="E61">
        <v>65.194568500000003</v>
      </c>
      <c r="F61">
        <v>5.5546310000000014</v>
      </c>
      <c r="G61">
        <v>258.22353349999997</v>
      </c>
      <c r="H61">
        <v>-36</v>
      </c>
      <c r="I61">
        <v>8</v>
      </c>
      <c r="J61">
        <v>1.17</v>
      </c>
      <c r="K61">
        <v>20.782507249999998</v>
      </c>
      <c r="L61">
        <v>-0.76050845310177451</v>
      </c>
      <c r="M61">
        <v>-2.3568039638252549</v>
      </c>
      <c r="N61">
        <v>-1.0536072688151441</v>
      </c>
      <c r="O61">
        <v>-0.67446310457689207</v>
      </c>
    </row>
    <row r="62" spans="1:15" x14ac:dyDescent="0.25">
      <c r="A62">
        <v>-94.3919085</v>
      </c>
      <c r="B62">
        <v>-178.5816955</v>
      </c>
      <c r="C62">
        <v>96.533632249999997</v>
      </c>
      <c r="D62">
        <v>250.06220999999999</v>
      </c>
      <c r="E62">
        <v>58.889748500000003</v>
      </c>
      <c r="F62">
        <v>5.3597407500000003</v>
      </c>
      <c r="G62">
        <v>255.34164799999999</v>
      </c>
      <c r="H62">
        <v>-36</v>
      </c>
      <c r="I62">
        <v>12</v>
      </c>
      <c r="J62">
        <v>1.17</v>
      </c>
      <c r="K62">
        <v>20.67170625</v>
      </c>
      <c r="L62">
        <v>-0.97722193547896341</v>
      </c>
      <c r="M62">
        <v>-2.193934854806463</v>
      </c>
      <c r="N62">
        <v>-1.0055070983405789</v>
      </c>
      <c r="O62">
        <v>-0.72601824837830886</v>
      </c>
    </row>
    <row r="63" spans="1:15" x14ac:dyDescent="0.25">
      <c r="A63">
        <v>-124.26390825</v>
      </c>
      <c r="B63">
        <v>-177.67007799999999</v>
      </c>
      <c r="C63">
        <v>110.5823055</v>
      </c>
      <c r="D63">
        <v>241.91240675</v>
      </c>
      <c r="E63">
        <v>50.30446525</v>
      </c>
      <c r="F63">
        <v>5.359731</v>
      </c>
      <c r="G63">
        <v>252.13944225</v>
      </c>
      <c r="H63">
        <v>-36</v>
      </c>
      <c r="I63">
        <v>16</v>
      </c>
      <c r="J63">
        <v>1.17</v>
      </c>
      <c r="K63">
        <v>20.53887825</v>
      </c>
      <c r="L63">
        <v>-1.1668128837747209</v>
      </c>
      <c r="M63">
        <v>-2.084667735845021</v>
      </c>
      <c r="N63">
        <v>-1.0028063052733001</v>
      </c>
      <c r="O63">
        <v>-0.77669886028412394</v>
      </c>
    </row>
    <row r="64" spans="1:15" x14ac:dyDescent="0.25">
      <c r="A64">
        <v>-154.81174824999999</v>
      </c>
      <c r="B64">
        <v>-182.80394325</v>
      </c>
      <c r="C64">
        <v>121.19790475000001</v>
      </c>
      <c r="D64">
        <v>230.300972</v>
      </c>
      <c r="E64">
        <v>36.174515749999998</v>
      </c>
      <c r="F64">
        <v>5.1648602500000003</v>
      </c>
      <c r="G64">
        <v>247.45611174999999</v>
      </c>
      <c r="H64">
        <v>-36</v>
      </c>
      <c r="I64">
        <v>20</v>
      </c>
      <c r="J64">
        <v>1.17</v>
      </c>
      <c r="K64">
        <v>20.35123875</v>
      </c>
      <c r="L64">
        <v>-1.346506213359097</v>
      </c>
      <c r="M64">
        <v>-2.015330621436723</v>
      </c>
      <c r="N64">
        <v>-1.0307402083748931</v>
      </c>
      <c r="O64">
        <v>-0.8487225227004388</v>
      </c>
    </row>
    <row r="65" spans="1:15" x14ac:dyDescent="0.25">
      <c r="A65">
        <v>-211.446888</v>
      </c>
      <c r="B65">
        <v>-228.14509624999999</v>
      </c>
      <c r="C65">
        <v>148.43701525</v>
      </c>
      <c r="D65">
        <v>248.04684449999999</v>
      </c>
      <c r="E65">
        <v>21.4632665</v>
      </c>
      <c r="F65">
        <v>5.9936002500000001</v>
      </c>
      <c r="G65">
        <v>278.67832175000001</v>
      </c>
      <c r="H65">
        <v>-36</v>
      </c>
      <c r="I65">
        <v>24</v>
      </c>
      <c r="J65">
        <v>1.17</v>
      </c>
      <c r="K65">
        <v>21.5899085</v>
      </c>
      <c r="L65">
        <v>-1.4916939966473011</v>
      </c>
      <c r="M65">
        <v>-1.973784008142123</v>
      </c>
      <c r="N65">
        <v>-1.066151546970586</v>
      </c>
      <c r="O65">
        <v>-0.93589659277240334</v>
      </c>
    </row>
    <row r="66" spans="1:15" x14ac:dyDescent="0.25">
      <c r="A66">
        <v>-277.09319299999999</v>
      </c>
      <c r="B66">
        <v>-284.47364825</v>
      </c>
      <c r="C66">
        <v>173.91434475</v>
      </c>
      <c r="D66">
        <v>258.82592</v>
      </c>
      <c r="E66">
        <v>-6.1565082499999999</v>
      </c>
      <c r="F66">
        <v>6.725454</v>
      </c>
      <c r="G66">
        <v>309.18040474999998</v>
      </c>
      <c r="H66">
        <v>-36</v>
      </c>
      <c r="I66">
        <v>28</v>
      </c>
      <c r="J66">
        <v>1.17</v>
      </c>
      <c r="K66">
        <v>22.737973749999998</v>
      </c>
      <c r="L66">
        <v>-1.6422698868328129</v>
      </c>
      <c r="M66">
        <v>-1.978336625182727</v>
      </c>
      <c r="N66">
        <v>-1.148261210563275</v>
      </c>
      <c r="O66">
        <v>-1.046915786594778</v>
      </c>
    </row>
    <row r="67" spans="1:15" x14ac:dyDescent="0.25">
      <c r="A67">
        <v>-298.40458699999999</v>
      </c>
      <c r="B67">
        <v>-298.67575075000002</v>
      </c>
      <c r="C67">
        <v>169.93920875000001</v>
      </c>
      <c r="D67">
        <v>231.48431024999999</v>
      </c>
      <c r="E67">
        <v>-42.29252125</v>
      </c>
      <c r="F67">
        <v>6.3351234999999999</v>
      </c>
      <c r="G67">
        <v>295.89093774999998</v>
      </c>
      <c r="H67">
        <v>-36</v>
      </c>
      <c r="I67">
        <v>32</v>
      </c>
      <c r="J67">
        <v>1.17</v>
      </c>
      <c r="K67">
        <v>22.2478485</v>
      </c>
      <c r="L67">
        <v>-1.8277112010138949</v>
      </c>
      <c r="M67">
        <v>-2.0689839520140021</v>
      </c>
      <c r="N67">
        <v>-1.3198033714159449</v>
      </c>
      <c r="O67">
        <v>-1.189785910431292</v>
      </c>
    </row>
    <row r="68" spans="1:15" x14ac:dyDescent="0.25">
      <c r="A68">
        <v>-318.54453274999997</v>
      </c>
      <c r="B68">
        <v>-316.71623225000002</v>
      </c>
      <c r="C68">
        <v>167.00313174999999</v>
      </c>
      <c r="D68">
        <v>204.75604625</v>
      </c>
      <c r="E68">
        <v>-81.105281750000003</v>
      </c>
      <c r="F68">
        <v>5.9461239999999993</v>
      </c>
      <c r="G68">
        <v>286.56428525000001</v>
      </c>
      <c r="H68">
        <v>-36</v>
      </c>
      <c r="I68">
        <v>36</v>
      </c>
      <c r="J68">
        <v>1.17</v>
      </c>
      <c r="K68">
        <v>21.901805750000001</v>
      </c>
      <c r="L68">
        <v>-2.0528374072725559</v>
      </c>
      <c r="M68">
        <v>-2.2047210123234988</v>
      </c>
      <c r="N68">
        <v>-1.554463663112559</v>
      </c>
      <c r="O68">
        <v>-1.3680429670867851</v>
      </c>
    </row>
    <row r="69" spans="1:15" x14ac:dyDescent="0.25">
      <c r="A69">
        <v>-335.21518700000001</v>
      </c>
      <c r="B69">
        <v>-334.13299549999999</v>
      </c>
      <c r="C69">
        <v>160.54341149999999</v>
      </c>
      <c r="D69">
        <v>178.4434205</v>
      </c>
      <c r="E69">
        <v>-118.35660725</v>
      </c>
      <c r="F69">
        <v>5.7999272499999996</v>
      </c>
      <c r="G69">
        <v>277.8382795</v>
      </c>
      <c r="H69">
        <v>-36</v>
      </c>
      <c r="I69">
        <v>40</v>
      </c>
      <c r="J69">
        <v>1.17</v>
      </c>
      <c r="K69">
        <v>21.564384749999999</v>
      </c>
      <c r="L69">
        <v>-2.291825053121233</v>
      </c>
      <c r="M69">
        <v>-2.3695879061068221</v>
      </c>
      <c r="N69">
        <v>-1.831574916048045</v>
      </c>
      <c r="O69">
        <v>-1.5739740046644679</v>
      </c>
    </row>
    <row r="70" spans="1:15" x14ac:dyDescent="0.25">
      <c r="A70">
        <v>-356.12106325000002</v>
      </c>
      <c r="B70">
        <v>-353.20574925</v>
      </c>
      <c r="C70">
        <v>152.95450600000001</v>
      </c>
      <c r="D70">
        <v>153.10103599999999</v>
      </c>
      <c r="E70">
        <v>-157.30320374999999</v>
      </c>
      <c r="F70">
        <v>5.6049722499999994</v>
      </c>
      <c r="G70">
        <v>271.75399800000002</v>
      </c>
      <c r="H70">
        <v>-36</v>
      </c>
      <c r="I70">
        <v>44</v>
      </c>
      <c r="J70">
        <v>1.17</v>
      </c>
      <c r="K70">
        <v>21.329687249999999</v>
      </c>
      <c r="L70">
        <v>-2.5794659364507608</v>
      </c>
      <c r="M70">
        <v>-2.565440955983838</v>
      </c>
      <c r="N70">
        <v>-2.174036940052023</v>
      </c>
      <c r="O70">
        <v>-1.825467435355316</v>
      </c>
    </row>
    <row r="71" spans="1:15" x14ac:dyDescent="0.25">
      <c r="A71">
        <v>155.98954375</v>
      </c>
      <c r="B71">
        <v>-340.75373875000002</v>
      </c>
      <c r="C71">
        <v>-336.60159275000001</v>
      </c>
      <c r="D71">
        <v>143.858025</v>
      </c>
      <c r="E71">
        <v>-80.703773249999998</v>
      </c>
      <c r="F71">
        <v>5.5075047499999998</v>
      </c>
      <c r="G71">
        <v>265.398796</v>
      </c>
      <c r="H71">
        <v>-32</v>
      </c>
      <c r="I71">
        <v>-44</v>
      </c>
      <c r="J71">
        <v>1.17</v>
      </c>
      <c r="K71">
        <v>21.077437499999998</v>
      </c>
      <c r="L71">
        <v>1.9094631136536759</v>
      </c>
      <c r="M71">
        <v>-1.878528707695023</v>
      </c>
      <c r="N71">
        <v>-1.341623686628034</v>
      </c>
      <c r="O71">
        <v>-1.3341847619203979</v>
      </c>
    </row>
    <row r="72" spans="1:15" x14ac:dyDescent="0.25">
      <c r="A72">
        <v>158.5631295</v>
      </c>
      <c r="B72">
        <v>-305.02479549999998</v>
      </c>
      <c r="C72">
        <v>-304.11892675000001</v>
      </c>
      <c r="D72">
        <v>162.78221500000001</v>
      </c>
      <c r="E72">
        <v>-44.344693249999999</v>
      </c>
      <c r="F72">
        <v>5.2638135000000004</v>
      </c>
      <c r="G72">
        <v>260.90105449999999</v>
      </c>
      <c r="H72">
        <v>-32</v>
      </c>
      <c r="I72">
        <v>-40</v>
      </c>
      <c r="J72">
        <v>1.17</v>
      </c>
      <c r="K72">
        <v>20.904226250000001</v>
      </c>
      <c r="L72">
        <v>1.77799625513376</v>
      </c>
      <c r="M72">
        <v>-1.7976881456481111</v>
      </c>
      <c r="N72">
        <v>-1.1730013102971839</v>
      </c>
      <c r="O72">
        <v>-1.1906372592099399</v>
      </c>
    </row>
    <row r="73" spans="1:15" x14ac:dyDescent="0.25">
      <c r="A73">
        <v>159.33080275</v>
      </c>
      <c r="B73">
        <v>-270.58683000000002</v>
      </c>
      <c r="C73">
        <v>-273.80176525000002</v>
      </c>
      <c r="D73">
        <v>180.83023449999999</v>
      </c>
      <c r="E73">
        <v>-11.5992155</v>
      </c>
      <c r="F73">
        <v>5.16633225</v>
      </c>
      <c r="G73">
        <v>258.11460125000002</v>
      </c>
      <c r="H73">
        <v>-32</v>
      </c>
      <c r="I73">
        <v>-36</v>
      </c>
      <c r="J73">
        <v>1.17</v>
      </c>
      <c r="K73">
        <v>20.79399025</v>
      </c>
      <c r="L73">
        <v>1.6620936178420691</v>
      </c>
      <c r="M73">
        <v>-1.7322612491179259</v>
      </c>
      <c r="N73">
        <v>-1.0349999877421709</v>
      </c>
      <c r="O73">
        <v>-1.064341026850129</v>
      </c>
    </row>
    <row r="74" spans="1:15" x14ac:dyDescent="0.25">
      <c r="A74">
        <v>153.41636274999999</v>
      </c>
      <c r="B74">
        <v>-232.4800645</v>
      </c>
      <c r="C74">
        <v>-232.97287775000001</v>
      </c>
      <c r="D74">
        <v>194.40998049999999</v>
      </c>
      <c r="E74">
        <v>15.739808</v>
      </c>
      <c r="F74">
        <v>5.2638059999999998</v>
      </c>
      <c r="G74">
        <v>251.84160625000001</v>
      </c>
      <c r="H74">
        <v>-32</v>
      </c>
      <c r="I74">
        <v>-32</v>
      </c>
      <c r="J74">
        <v>1.17</v>
      </c>
      <c r="K74">
        <v>20.530475500000001</v>
      </c>
      <c r="L74">
        <v>1.5550991955851241</v>
      </c>
      <c r="M74">
        <v>-1.7181244944870859</v>
      </c>
      <c r="N74">
        <v>-0.95025964086336523</v>
      </c>
      <c r="O74">
        <v>-0.95784133444734088</v>
      </c>
    </row>
    <row r="75" spans="1:15" x14ac:dyDescent="0.25">
      <c r="A75">
        <v>147.72754674999999</v>
      </c>
      <c r="B75">
        <v>-198.90495675</v>
      </c>
      <c r="C75">
        <v>-190.06868374999999</v>
      </c>
      <c r="D75">
        <v>204.87966900000001</v>
      </c>
      <c r="E75">
        <v>37.382019999999997</v>
      </c>
      <c r="F75">
        <v>5.1175862499999996</v>
      </c>
      <c r="G75">
        <v>247.162586</v>
      </c>
      <c r="H75">
        <v>-32</v>
      </c>
      <c r="I75">
        <v>-28</v>
      </c>
      <c r="J75">
        <v>1.17</v>
      </c>
      <c r="K75">
        <v>20.340897250000001</v>
      </c>
      <c r="L75">
        <v>1.4568280942191361</v>
      </c>
      <c r="M75">
        <v>-1.7414460438030319</v>
      </c>
      <c r="N75">
        <v>-0.90474437605882208</v>
      </c>
      <c r="O75">
        <v>-0.86083969368141622</v>
      </c>
    </row>
    <row r="76" spans="1:15" x14ac:dyDescent="0.25">
      <c r="A76">
        <v>138.92357625</v>
      </c>
      <c r="B76">
        <v>-169.80134575</v>
      </c>
      <c r="C76">
        <v>-148.51794075000001</v>
      </c>
      <c r="D76">
        <v>216.44452275</v>
      </c>
      <c r="E76">
        <v>57.235610999999999</v>
      </c>
      <c r="F76">
        <v>4.8738890000000001</v>
      </c>
      <c r="G76">
        <v>244.65522774999999</v>
      </c>
      <c r="H76">
        <v>-32</v>
      </c>
      <c r="I76">
        <v>-24</v>
      </c>
      <c r="J76">
        <v>1.17</v>
      </c>
      <c r="K76">
        <v>20.2455575</v>
      </c>
      <c r="L76">
        <v>1.328317988586434</v>
      </c>
      <c r="M76">
        <v>-1.784928361141678</v>
      </c>
      <c r="N76">
        <v>-0.86611493324769917</v>
      </c>
      <c r="O76">
        <v>-0.75803077842827049</v>
      </c>
    </row>
    <row r="77" spans="1:15" x14ac:dyDescent="0.25">
      <c r="A77">
        <v>132.06088274999999</v>
      </c>
      <c r="B77">
        <v>-152.62450050000001</v>
      </c>
      <c r="C77">
        <v>-112.787018</v>
      </c>
      <c r="D77">
        <v>233.309879</v>
      </c>
      <c r="E77">
        <v>76.105516249999994</v>
      </c>
      <c r="F77">
        <v>5.0201019999999996</v>
      </c>
      <c r="G77">
        <v>251.780472</v>
      </c>
      <c r="H77">
        <v>-32</v>
      </c>
      <c r="I77">
        <v>-20</v>
      </c>
      <c r="J77">
        <v>1.17</v>
      </c>
      <c r="K77">
        <v>20.538010249999999</v>
      </c>
      <c r="L77">
        <v>1.1725848549767759</v>
      </c>
      <c r="M77">
        <v>-1.8482479632952431</v>
      </c>
      <c r="N77">
        <v>-0.8413216063995691</v>
      </c>
      <c r="O77">
        <v>-0.65957513044458227</v>
      </c>
    </row>
    <row r="78" spans="1:15" x14ac:dyDescent="0.25">
      <c r="A78">
        <v>134.63455575</v>
      </c>
      <c r="B78">
        <v>-159.34170549999999</v>
      </c>
      <c r="C78">
        <v>-88.379909499999997</v>
      </c>
      <c r="D78">
        <v>272.55999750000001</v>
      </c>
      <c r="E78">
        <v>100.96722025</v>
      </c>
      <c r="F78">
        <v>6.0923550000000004</v>
      </c>
      <c r="G78">
        <v>284.20378849999997</v>
      </c>
      <c r="H78">
        <v>-32</v>
      </c>
      <c r="I78">
        <v>-16</v>
      </c>
      <c r="J78">
        <v>1.17</v>
      </c>
      <c r="K78">
        <v>21.803694249999999</v>
      </c>
      <c r="L78">
        <v>0.99193586060709993</v>
      </c>
      <c r="M78">
        <v>-1.921011905158613</v>
      </c>
      <c r="N78">
        <v>-0.81499518584596697</v>
      </c>
      <c r="O78">
        <v>-0.57800599867553992</v>
      </c>
    </row>
    <row r="79" spans="1:15" x14ac:dyDescent="0.25">
      <c r="A79">
        <v>128.04282000000001</v>
      </c>
      <c r="B79">
        <v>-163.37202074999999</v>
      </c>
      <c r="C79">
        <v>-51.521111500000004</v>
      </c>
      <c r="D79">
        <v>304.012764</v>
      </c>
      <c r="E79">
        <v>123.9062005</v>
      </c>
      <c r="F79">
        <v>6.7746944999999998</v>
      </c>
      <c r="G79">
        <v>310.42258450000003</v>
      </c>
      <c r="H79">
        <v>-32</v>
      </c>
      <c r="I79">
        <v>-12</v>
      </c>
      <c r="J79">
        <v>1.17</v>
      </c>
      <c r="K79">
        <v>22.782798249999999</v>
      </c>
      <c r="L79">
        <v>0.77609989594549</v>
      </c>
      <c r="M79">
        <v>-2.0202700350696809</v>
      </c>
      <c r="N79">
        <v>-0.80623038053694585</v>
      </c>
      <c r="O79">
        <v>-0.49369405401438671</v>
      </c>
    </row>
    <row r="80" spans="1:15" x14ac:dyDescent="0.25">
      <c r="A80">
        <v>96.664233999999993</v>
      </c>
      <c r="B80">
        <v>-152.81641425000001</v>
      </c>
      <c r="C80">
        <v>-11.8200795</v>
      </c>
      <c r="D80">
        <v>290.87091824999999</v>
      </c>
      <c r="E80">
        <v>121.40219500000001</v>
      </c>
      <c r="F80">
        <v>6.1410819999999999</v>
      </c>
      <c r="G80">
        <v>293.77072900000002</v>
      </c>
      <c r="H80">
        <v>-32</v>
      </c>
      <c r="I80">
        <v>-8</v>
      </c>
      <c r="J80">
        <v>1.17</v>
      </c>
      <c r="K80">
        <v>22.173726250000001</v>
      </c>
      <c r="L80">
        <v>0.53253142321634583</v>
      </c>
      <c r="M80">
        <v>-2.1779330779854629</v>
      </c>
      <c r="N80">
        <v>-0.84612442296829138</v>
      </c>
      <c r="O80">
        <v>-0.43422583043730018</v>
      </c>
    </row>
    <row r="81" spans="1:15" x14ac:dyDescent="0.25">
      <c r="A81">
        <v>69.078077000000008</v>
      </c>
      <c r="B81">
        <v>-142.45273225</v>
      </c>
      <c r="C81">
        <v>26.65194675</v>
      </c>
      <c r="D81">
        <v>282.10983299999998</v>
      </c>
      <c r="E81">
        <v>124.129942</v>
      </c>
      <c r="F81">
        <v>6.092346</v>
      </c>
      <c r="G81">
        <v>284.20407875000001</v>
      </c>
      <c r="H81">
        <v>-32</v>
      </c>
      <c r="I81">
        <v>-4</v>
      </c>
      <c r="J81">
        <v>1.17</v>
      </c>
      <c r="K81">
        <v>21.803773</v>
      </c>
      <c r="L81">
        <v>0.2330724063603849</v>
      </c>
      <c r="M81">
        <v>-2.3323741800248041</v>
      </c>
      <c r="N81">
        <v>-0.87938416915480122</v>
      </c>
      <c r="O81">
        <v>-0.3515506301675182</v>
      </c>
    </row>
    <row r="82" spans="1:15" x14ac:dyDescent="0.25">
      <c r="A82">
        <v>36.661107999999999</v>
      </c>
      <c r="B82">
        <v>-139.62191375</v>
      </c>
      <c r="C82">
        <v>58.860184500000003</v>
      </c>
      <c r="D82">
        <v>275.71432499999997</v>
      </c>
      <c r="E82">
        <v>121.4469855</v>
      </c>
      <c r="F82">
        <v>5.7999297500000004</v>
      </c>
      <c r="G82">
        <v>276.75881199999998</v>
      </c>
      <c r="H82">
        <v>-32</v>
      </c>
      <c r="I82">
        <v>0</v>
      </c>
      <c r="J82">
        <v>1.17</v>
      </c>
      <c r="K82">
        <v>21.521555249999999</v>
      </c>
      <c r="L82">
        <v>-0.12837250779769779</v>
      </c>
      <c r="M82">
        <v>-2.401783815954317</v>
      </c>
      <c r="N82">
        <v>-0.89813187176791076</v>
      </c>
      <c r="O82">
        <v>-0.33123556144327748</v>
      </c>
    </row>
    <row r="83" spans="1:15" x14ac:dyDescent="0.25">
      <c r="A83">
        <v>5.50819875</v>
      </c>
      <c r="B83">
        <v>-137.17493049999999</v>
      </c>
      <c r="C83">
        <v>84.834609999999998</v>
      </c>
      <c r="D83">
        <v>268.22351049999997</v>
      </c>
      <c r="E83">
        <v>118.6747</v>
      </c>
      <c r="F83">
        <v>5.6049832500000001</v>
      </c>
      <c r="G83">
        <v>269.55355850000001</v>
      </c>
      <c r="H83">
        <v>-32</v>
      </c>
      <c r="I83">
        <v>4</v>
      </c>
      <c r="J83">
        <v>1.17</v>
      </c>
      <c r="K83">
        <v>21.241328249999999</v>
      </c>
      <c r="L83">
        <v>-0.42993601929360059</v>
      </c>
      <c r="M83">
        <v>-2.1971912522324359</v>
      </c>
      <c r="N83">
        <v>-0.817742402083935</v>
      </c>
      <c r="O83">
        <v>-0.38718350014131658</v>
      </c>
    </row>
    <row r="84" spans="1:15" x14ac:dyDescent="0.25">
      <c r="A84">
        <v>-27.438982500000002</v>
      </c>
      <c r="B84">
        <v>-137.27089724999999</v>
      </c>
      <c r="C84">
        <v>107.82758724999999</v>
      </c>
      <c r="D84">
        <v>262.23905975000002</v>
      </c>
      <c r="E84">
        <v>114.56090924999999</v>
      </c>
      <c r="F84">
        <v>5.556254</v>
      </c>
      <c r="G84">
        <v>265.75090024999997</v>
      </c>
      <c r="H84">
        <v>-32</v>
      </c>
      <c r="I84">
        <v>8</v>
      </c>
      <c r="J84">
        <v>1.17</v>
      </c>
      <c r="K84">
        <v>21.08973975</v>
      </c>
      <c r="L84">
        <v>-0.68692591830900673</v>
      </c>
      <c r="M84">
        <v>-2.028852725663127</v>
      </c>
      <c r="N84">
        <v>-0.76781236123031671</v>
      </c>
      <c r="O84">
        <v>-0.44644987322259377</v>
      </c>
    </row>
    <row r="85" spans="1:15" x14ac:dyDescent="0.25">
      <c r="A85">
        <v>-59.252200250000001</v>
      </c>
      <c r="B85">
        <v>-139.19009374999999</v>
      </c>
      <c r="C85">
        <v>124.54158025</v>
      </c>
      <c r="D85">
        <v>252.67256574999999</v>
      </c>
      <c r="E85">
        <v>105.57315825000001</v>
      </c>
      <c r="F85">
        <v>5.3125685000000002</v>
      </c>
      <c r="G85">
        <v>259.90694424999998</v>
      </c>
      <c r="H85">
        <v>-32</v>
      </c>
      <c r="I85">
        <v>12</v>
      </c>
      <c r="J85">
        <v>1.17</v>
      </c>
      <c r="K85">
        <v>20.861540000000002</v>
      </c>
      <c r="L85">
        <v>-0.89745038075137629</v>
      </c>
      <c r="M85">
        <v>-1.913449364699185</v>
      </c>
      <c r="N85">
        <v>-0.75360984143129306</v>
      </c>
      <c r="O85">
        <v>-0.51042976958004438</v>
      </c>
    </row>
    <row r="86" spans="1:15" x14ac:dyDescent="0.25">
      <c r="A86">
        <v>-91.778669250000007</v>
      </c>
      <c r="B86">
        <v>-139.66989874999999</v>
      </c>
      <c r="C86">
        <v>138.63551325</v>
      </c>
      <c r="D86">
        <v>243.16943749999999</v>
      </c>
      <c r="E86">
        <v>93.991876750000003</v>
      </c>
      <c r="F86">
        <v>5.1663610000000002</v>
      </c>
      <c r="G86">
        <v>256.30435199999999</v>
      </c>
      <c r="H86">
        <v>-32</v>
      </c>
      <c r="I86">
        <v>16</v>
      </c>
      <c r="J86">
        <v>1.17</v>
      </c>
      <c r="K86">
        <v>20.719451500000002</v>
      </c>
      <c r="L86">
        <v>-1.098693625210055</v>
      </c>
      <c r="M86">
        <v>-1.8255139345130871</v>
      </c>
      <c r="N86">
        <v>-0.77396258737579904</v>
      </c>
      <c r="O86">
        <v>-0.57644885673978563</v>
      </c>
    </row>
    <row r="87" spans="1:15" x14ac:dyDescent="0.25">
      <c r="A87">
        <v>-122.68695074999999</v>
      </c>
      <c r="B87">
        <v>-145.71538150000001</v>
      </c>
      <c r="C87">
        <v>150.87743750000001</v>
      </c>
      <c r="D87">
        <v>233.70559299999999</v>
      </c>
      <c r="E87">
        <v>78.162628250000012</v>
      </c>
      <c r="F87">
        <v>5.0201624999999996</v>
      </c>
      <c r="G87">
        <v>253.902771</v>
      </c>
      <c r="H87">
        <v>-32</v>
      </c>
      <c r="I87">
        <v>20</v>
      </c>
      <c r="J87">
        <v>1.17</v>
      </c>
      <c r="K87">
        <v>20.626203499999999</v>
      </c>
      <c r="L87">
        <v>-1.288184932112113</v>
      </c>
      <c r="M87">
        <v>-1.7866521283116721</v>
      </c>
      <c r="N87">
        <v>-0.82754489241629914</v>
      </c>
      <c r="O87">
        <v>-0.65557007487857555</v>
      </c>
    </row>
    <row r="88" spans="1:15" x14ac:dyDescent="0.25">
      <c r="A88">
        <v>-154.04579175000001</v>
      </c>
      <c r="B88">
        <v>-165.94965375000001</v>
      </c>
      <c r="C88">
        <v>156.38853449999999</v>
      </c>
      <c r="D88">
        <v>217.157814</v>
      </c>
      <c r="E88">
        <v>52.9878365</v>
      </c>
      <c r="F88">
        <v>5.1663635000000001</v>
      </c>
      <c r="G88">
        <v>248.2988015</v>
      </c>
      <c r="H88">
        <v>-32</v>
      </c>
      <c r="I88">
        <v>24</v>
      </c>
      <c r="J88">
        <v>1.17</v>
      </c>
      <c r="K88">
        <v>20.386537000000001</v>
      </c>
      <c r="L88">
        <v>-1.45754132100039</v>
      </c>
      <c r="M88">
        <v>-1.798774049434325</v>
      </c>
      <c r="N88">
        <v>-0.9170309471725635</v>
      </c>
      <c r="O88">
        <v>-0.77547332201714969</v>
      </c>
    </row>
    <row r="89" spans="1:15" x14ac:dyDescent="0.25">
      <c r="A89">
        <v>-201.62472550000001</v>
      </c>
      <c r="B89">
        <v>-208.19540050000001</v>
      </c>
      <c r="C89">
        <v>176.03878775000001</v>
      </c>
      <c r="D89">
        <v>219.87443175000001</v>
      </c>
      <c r="E89">
        <v>27.857756250000001</v>
      </c>
      <c r="F89">
        <v>5.3125974999999999</v>
      </c>
      <c r="G89">
        <v>267.6728895</v>
      </c>
      <c r="H89">
        <v>-32</v>
      </c>
      <c r="I89">
        <v>28</v>
      </c>
      <c r="J89">
        <v>1.17</v>
      </c>
      <c r="K89">
        <v>21.177254000000001</v>
      </c>
      <c r="L89">
        <v>-1.6225338348659779</v>
      </c>
      <c r="M89">
        <v>-1.839090508204785</v>
      </c>
      <c r="N89">
        <v>-1.030318807308698</v>
      </c>
      <c r="O89">
        <v>-0.90316037959499373</v>
      </c>
    </row>
    <row r="90" spans="1:15" x14ac:dyDescent="0.25">
      <c r="A90">
        <v>-265.06330874999998</v>
      </c>
      <c r="B90">
        <v>-269.00303650000001</v>
      </c>
      <c r="C90">
        <v>203.18782049999999</v>
      </c>
      <c r="D90">
        <v>227.4986725</v>
      </c>
      <c r="E90">
        <v>-7.8071652499999997</v>
      </c>
      <c r="F90">
        <v>6.4335487499999999</v>
      </c>
      <c r="G90">
        <v>299.575874</v>
      </c>
      <c r="H90">
        <v>-32</v>
      </c>
      <c r="I90">
        <v>32</v>
      </c>
      <c r="J90">
        <v>1.17</v>
      </c>
      <c r="K90">
        <v>22.38517525</v>
      </c>
      <c r="L90">
        <v>-1.806375697416811</v>
      </c>
      <c r="M90">
        <v>-1.9153670387157291</v>
      </c>
      <c r="N90">
        <v>-1.185815030956255</v>
      </c>
      <c r="O90">
        <v>-1.054960130115548</v>
      </c>
    </row>
    <row r="91" spans="1:15" x14ac:dyDescent="0.25">
      <c r="A91">
        <v>-302.09917474999997</v>
      </c>
      <c r="B91">
        <v>-307.42433149999999</v>
      </c>
      <c r="C91">
        <v>205.49171075000001</v>
      </c>
      <c r="D91">
        <v>209.00788499999999</v>
      </c>
      <c r="E91">
        <v>-52.731814499999999</v>
      </c>
      <c r="F91">
        <v>6.3360542500000001</v>
      </c>
      <c r="G91">
        <v>302.69821174999998</v>
      </c>
      <c r="H91">
        <v>-32</v>
      </c>
      <c r="I91">
        <v>36</v>
      </c>
      <c r="J91">
        <v>1.17</v>
      </c>
      <c r="K91">
        <v>22.5078</v>
      </c>
      <c r="L91">
        <v>-2.0140388150164692</v>
      </c>
      <c r="M91">
        <v>-2.0491150639564299</v>
      </c>
      <c r="N91">
        <v>-1.410310152062811</v>
      </c>
      <c r="O91">
        <v>-1.2344026570237321</v>
      </c>
    </row>
    <row r="92" spans="1:15" x14ac:dyDescent="0.25">
      <c r="A92">
        <v>-321.20283499999999</v>
      </c>
      <c r="B92">
        <v>-328.75714125000002</v>
      </c>
      <c r="C92">
        <v>195.77965175</v>
      </c>
      <c r="D92">
        <v>178.81796650000001</v>
      </c>
      <c r="E92">
        <v>-96.050424500000005</v>
      </c>
      <c r="F92">
        <v>6.1898470000000003</v>
      </c>
      <c r="G92">
        <v>290.68971249999998</v>
      </c>
      <c r="H92">
        <v>-32</v>
      </c>
      <c r="I92">
        <v>40</v>
      </c>
      <c r="J92">
        <v>1.17</v>
      </c>
      <c r="K92">
        <v>22.052761749999998</v>
      </c>
      <c r="L92">
        <v>-2.2583313699625931</v>
      </c>
      <c r="M92">
        <v>-2.2172502520028838</v>
      </c>
      <c r="N92">
        <v>-1.6894291450757239</v>
      </c>
      <c r="O92">
        <v>-1.4466324551843821</v>
      </c>
    </row>
    <row r="93" spans="1:15" x14ac:dyDescent="0.25">
      <c r="A93">
        <v>-338.81967150000003</v>
      </c>
      <c r="B93">
        <v>-347.99922199999997</v>
      </c>
      <c r="C93">
        <v>185.93194575000001</v>
      </c>
      <c r="D93">
        <v>150.24924849999999</v>
      </c>
      <c r="E93">
        <v>-140.39511475</v>
      </c>
      <c r="F93">
        <v>5.9949199999999996</v>
      </c>
      <c r="G93">
        <v>282.08358025000001</v>
      </c>
      <c r="H93">
        <v>-32</v>
      </c>
      <c r="I93">
        <v>44</v>
      </c>
      <c r="J93">
        <v>1.17</v>
      </c>
      <c r="K93">
        <v>21.724320250000002</v>
      </c>
      <c r="L93">
        <v>-2.5849161805830021</v>
      </c>
      <c r="M93">
        <v>-2.4543615293015209</v>
      </c>
      <c r="N93">
        <v>-2.0811776459851599</v>
      </c>
      <c r="O93">
        <v>-1.7211470988949691</v>
      </c>
    </row>
    <row r="94" spans="1:15" x14ac:dyDescent="0.25">
      <c r="A94">
        <v>185.47339625000001</v>
      </c>
      <c r="B94">
        <v>-334.37288675000002</v>
      </c>
      <c r="C94">
        <v>-324.05967700000002</v>
      </c>
      <c r="D94">
        <v>136.53450000000001</v>
      </c>
      <c r="E94">
        <v>-59.334448999999999</v>
      </c>
      <c r="F94">
        <v>5.7024852500000014</v>
      </c>
      <c r="G94">
        <v>272.51675399999999</v>
      </c>
      <c r="H94">
        <v>-28</v>
      </c>
      <c r="I94">
        <v>-44</v>
      </c>
      <c r="J94">
        <v>1.17</v>
      </c>
      <c r="K94">
        <v>21.356326249999999</v>
      </c>
      <c r="L94">
        <v>1.8879962652668409</v>
      </c>
      <c r="M94">
        <v>-1.7448825556640399</v>
      </c>
      <c r="N94">
        <v>-1.229639161857734</v>
      </c>
      <c r="O94">
        <v>-1.240990840153545</v>
      </c>
    </row>
    <row r="95" spans="1:15" x14ac:dyDescent="0.25">
      <c r="A95">
        <v>188.90480024999999</v>
      </c>
      <c r="B95">
        <v>-296.37269600000002</v>
      </c>
      <c r="C95">
        <v>-289.41149899999999</v>
      </c>
      <c r="D95">
        <v>159.36339575</v>
      </c>
      <c r="E95">
        <v>-18.871031250000001</v>
      </c>
      <c r="F95">
        <v>5.5075682500000003</v>
      </c>
      <c r="G95">
        <v>268.95417025</v>
      </c>
      <c r="H95">
        <v>-28</v>
      </c>
      <c r="I95">
        <v>-40</v>
      </c>
      <c r="J95">
        <v>1.17</v>
      </c>
      <c r="K95">
        <v>21.221120500000001</v>
      </c>
      <c r="L95">
        <v>1.745561193635073</v>
      </c>
      <c r="M95">
        <v>-1.6631602316887699</v>
      </c>
      <c r="N95">
        <v>-1.0504034139422971</v>
      </c>
      <c r="O95">
        <v>-1.0889758466362169</v>
      </c>
    </row>
    <row r="96" spans="1:15" x14ac:dyDescent="0.25">
      <c r="A96">
        <v>185.83458350000001</v>
      </c>
      <c r="B96">
        <v>-252.32701875000001</v>
      </c>
      <c r="C96">
        <v>-250.74811149999999</v>
      </c>
      <c r="D96">
        <v>175.70723724999999</v>
      </c>
      <c r="E96">
        <v>15.963452500000001</v>
      </c>
      <c r="F96">
        <v>5.4100697499999999</v>
      </c>
      <c r="G96">
        <v>262.10945900000002</v>
      </c>
      <c r="H96">
        <v>-28</v>
      </c>
      <c r="I96">
        <v>-36</v>
      </c>
      <c r="J96">
        <v>1.17</v>
      </c>
      <c r="K96">
        <v>20.947609</v>
      </c>
      <c r="L96">
        <v>1.6320859179758731</v>
      </c>
      <c r="M96">
        <v>-1.6001251078268299</v>
      </c>
      <c r="N96">
        <v>-0.92018715196265499</v>
      </c>
      <c r="O96">
        <v>-0.9605454578173962</v>
      </c>
    </row>
    <row r="97" spans="1:15" x14ac:dyDescent="0.25">
      <c r="A97">
        <v>182.80963149999999</v>
      </c>
      <c r="B97">
        <v>-212.9833945</v>
      </c>
      <c r="C97">
        <v>-210.23499699999999</v>
      </c>
      <c r="D97">
        <v>191.70058424999999</v>
      </c>
      <c r="E97">
        <v>47.30912575</v>
      </c>
      <c r="F97">
        <v>5.5075682500000003</v>
      </c>
      <c r="G97">
        <v>259.06742100000002</v>
      </c>
      <c r="H97">
        <v>-28</v>
      </c>
      <c r="I97">
        <v>-32</v>
      </c>
      <c r="J97">
        <v>1.17</v>
      </c>
      <c r="K97">
        <v>20.819116749999999</v>
      </c>
      <c r="L97">
        <v>1.518028690431259</v>
      </c>
      <c r="M97">
        <v>-1.562992199015691</v>
      </c>
      <c r="N97">
        <v>-0.81787269584069455</v>
      </c>
      <c r="O97">
        <v>-0.83855528013472946</v>
      </c>
    </row>
    <row r="98" spans="1:15" x14ac:dyDescent="0.25">
      <c r="A98">
        <v>177.25639724999999</v>
      </c>
      <c r="B98">
        <v>-175.22310275000001</v>
      </c>
      <c r="C98">
        <v>-163.85697949999999</v>
      </c>
      <c r="D98">
        <v>204.67054725</v>
      </c>
      <c r="E98">
        <v>73.065328500000007</v>
      </c>
      <c r="F98">
        <v>5.5075612500000002</v>
      </c>
      <c r="G98">
        <v>255.30462274999999</v>
      </c>
      <c r="H98">
        <v>-28</v>
      </c>
      <c r="I98">
        <v>-28</v>
      </c>
      <c r="J98">
        <v>1.17</v>
      </c>
      <c r="K98">
        <v>20.664058000000001</v>
      </c>
      <c r="L98">
        <v>1.4060385166465901</v>
      </c>
      <c r="M98">
        <v>-1.565891578130141</v>
      </c>
      <c r="N98">
        <v>-0.75117923002024933</v>
      </c>
      <c r="O98">
        <v>-0.72152709284890748</v>
      </c>
    </row>
    <row r="99" spans="1:15" x14ac:dyDescent="0.25">
      <c r="A99">
        <v>166.60119225</v>
      </c>
      <c r="B99">
        <v>-139.19009</v>
      </c>
      <c r="C99">
        <v>-116.75711800000001</v>
      </c>
      <c r="D99">
        <v>215.49341175000001</v>
      </c>
      <c r="E99">
        <v>94.036992999999995</v>
      </c>
      <c r="F99">
        <v>5.1663864999999998</v>
      </c>
      <c r="G99">
        <v>250.741558</v>
      </c>
      <c r="H99">
        <v>-28</v>
      </c>
      <c r="I99">
        <v>-24</v>
      </c>
      <c r="J99">
        <v>1.17</v>
      </c>
      <c r="K99">
        <v>20.488694250000002</v>
      </c>
      <c r="L99">
        <v>1.276330776995757</v>
      </c>
      <c r="M99">
        <v>-1.597610449399971</v>
      </c>
      <c r="N99">
        <v>-0.70585781486658994</v>
      </c>
      <c r="O99">
        <v>-0.59970046817457767</v>
      </c>
    </row>
    <row r="100" spans="1:15" x14ac:dyDescent="0.25">
      <c r="A100">
        <v>154.59150700000001</v>
      </c>
      <c r="B100">
        <v>-115.53593075000001</v>
      </c>
      <c r="C100">
        <v>-77.732814499999989</v>
      </c>
      <c r="D100">
        <v>225.2209665</v>
      </c>
      <c r="E100">
        <v>111.163084</v>
      </c>
      <c r="F100">
        <v>5.0689010000000003</v>
      </c>
      <c r="G100">
        <v>248.40551775</v>
      </c>
      <c r="H100">
        <v>-28</v>
      </c>
      <c r="I100">
        <v>-20</v>
      </c>
      <c r="J100">
        <v>1.17</v>
      </c>
      <c r="K100">
        <v>20.395097</v>
      </c>
      <c r="L100">
        <v>1.118040438496072</v>
      </c>
      <c r="M100">
        <v>-1.6398605874202941</v>
      </c>
      <c r="N100">
        <v>-0.66047925208563518</v>
      </c>
      <c r="O100">
        <v>-0.48943894212814348</v>
      </c>
    </row>
    <row r="101" spans="1:15" x14ac:dyDescent="0.25">
      <c r="A101">
        <v>139.10523624999999</v>
      </c>
      <c r="B101">
        <v>-98.742919749999999</v>
      </c>
      <c r="C101">
        <v>-41.370279500000002</v>
      </c>
      <c r="D101">
        <v>229.20834725</v>
      </c>
      <c r="E101">
        <v>123.59411249999999</v>
      </c>
      <c r="F101">
        <v>5.0201617499999998</v>
      </c>
      <c r="G101">
        <v>243.85426325</v>
      </c>
      <c r="H101">
        <v>-28</v>
      </c>
      <c r="I101">
        <v>-16</v>
      </c>
      <c r="J101">
        <v>1.17</v>
      </c>
      <c r="K101">
        <v>20.20552825</v>
      </c>
      <c r="L101">
        <v>0.93195952637206114</v>
      </c>
      <c r="M101">
        <v>-1.6935259170201089</v>
      </c>
      <c r="N101">
        <v>-0.6210167814635883</v>
      </c>
      <c r="O101">
        <v>-0.38768911779127913</v>
      </c>
    </row>
    <row r="102" spans="1:15" x14ac:dyDescent="0.25">
      <c r="A102">
        <v>130.165806</v>
      </c>
      <c r="B102">
        <v>-94.424714999999992</v>
      </c>
      <c r="C102">
        <v>-10.73732425</v>
      </c>
      <c r="D102">
        <v>244.76362599999999</v>
      </c>
      <c r="E102">
        <v>138.97634124999999</v>
      </c>
      <c r="F102">
        <v>5.3605549999999997</v>
      </c>
      <c r="G102">
        <v>254.39478299999999</v>
      </c>
      <c r="H102">
        <v>-28</v>
      </c>
      <c r="I102">
        <v>-12</v>
      </c>
      <c r="J102">
        <v>1.17</v>
      </c>
      <c r="K102">
        <v>20.632423500000002</v>
      </c>
      <c r="L102">
        <v>0.73558307785067267</v>
      </c>
      <c r="M102">
        <v>-1.7706821779732229</v>
      </c>
      <c r="N102">
        <v>-0.60254339263733414</v>
      </c>
      <c r="O102">
        <v>-0.30248275075504072</v>
      </c>
    </row>
    <row r="103" spans="1:15" x14ac:dyDescent="0.25">
      <c r="A103">
        <v>125.10915175</v>
      </c>
      <c r="B103">
        <v>-102.05353925</v>
      </c>
      <c r="C103">
        <v>22.676900750000001</v>
      </c>
      <c r="D103">
        <v>279.68611924999999</v>
      </c>
      <c r="E103">
        <v>164.68785075</v>
      </c>
      <c r="F103">
        <v>6.18810825</v>
      </c>
      <c r="G103">
        <v>286.79782849999998</v>
      </c>
      <c r="H103">
        <v>-28</v>
      </c>
      <c r="I103">
        <v>-8</v>
      </c>
      <c r="J103">
        <v>1.17</v>
      </c>
      <c r="K103">
        <v>21.901430250000001</v>
      </c>
      <c r="L103">
        <v>0.50118168114543382</v>
      </c>
      <c r="M103">
        <v>-1.8678703953054789</v>
      </c>
      <c r="N103">
        <v>-0.59750640418770462</v>
      </c>
      <c r="O103">
        <v>-0.22445381975410059</v>
      </c>
    </row>
    <row r="104" spans="1:15" x14ac:dyDescent="0.25">
      <c r="A104">
        <v>107.09448999999999</v>
      </c>
      <c r="B104">
        <v>-108.626808</v>
      </c>
      <c r="C104">
        <v>61.345119250000003</v>
      </c>
      <c r="D104">
        <v>304.29234300000002</v>
      </c>
      <c r="E104">
        <v>182.61894975000001</v>
      </c>
      <c r="F104">
        <v>6.7245827499999997</v>
      </c>
      <c r="G104">
        <v>310.69126899999998</v>
      </c>
      <c r="H104">
        <v>-28</v>
      </c>
      <c r="I104">
        <v>-4</v>
      </c>
      <c r="J104">
        <v>1.17</v>
      </c>
      <c r="K104">
        <v>22.7947445</v>
      </c>
      <c r="L104">
        <v>0.22178838271247159</v>
      </c>
      <c r="M104">
        <v>-2.0019601689381821</v>
      </c>
      <c r="N104">
        <v>-0.62093929900678047</v>
      </c>
      <c r="O104">
        <v>-0.14722430563754979</v>
      </c>
    </row>
    <row r="105" spans="1:15" x14ac:dyDescent="0.25">
      <c r="A105">
        <v>72.645471749999999</v>
      </c>
      <c r="B105">
        <v>-101.3338395</v>
      </c>
      <c r="C105">
        <v>90.843204499999999</v>
      </c>
      <c r="D105">
        <v>289.61437224999997</v>
      </c>
      <c r="E105">
        <v>175.95643250000001</v>
      </c>
      <c r="F105">
        <v>6.6266379999999998</v>
      </c>
      <c r="G105">
        <v>294.75685874999999</v>
      </c>
      <c r="H105">
        <v>-28</v>
      </c>
      <c r="I105">
        <v>0</v>
      </c>
      <c r="J105">
        <v>1.17</v>
      </c>
      <c r="K105">
        <v>22.193019499999998</v>
      </c>
      <c r="L105">
        <v>-9.5622788736829667E-2</v>
      </c>
      <c r="M105">
        <v>-2.0544008292337632</v>
      </c>
      <c r="N105">
        <v>-0.62431959867432651</v>
      </c>
      <c r="O105">
        <v>-0.11021032993697701</v>
      </c>
    </row>
    <row r="106" spans="1:15" x14ac:dyDescent="0.25">
      <c r="A106">
        <v>40.183020249999998</v>
      </c>
      <c r="B106">
        <v>-98.455036000000007</v>
      </c>
      <c r="C106">
        <v>116.54675875</v>
      </c>
      <c r="D106">
        <v>280.23807525000001</v>
      </c>
      <c r="E106">
        <v>170.09870925000001</v>
      </c>
      <c r="F106">
        <v>6.0906667499999996</v>
      </c>
      <c r="G106">
        <v>286.28786474999998</v>
      </c>
      <c r="H106">
        <v>-28</v>
      </c>
      <c r="I106">
        <v>4</v>
      </c>
      <c r="J106">
        <v>1.17</v>
      </c>
      <c r="K106">
        <v>21.885369000000001</v>
      </c>
      <c r="L106">
        <v>-0.38328728704184511</v>
      </c>
      <c r="M106">
        <v>-1.900730278739946</v>
      </c>
      <c r="N106">
        <v>-0.58317383323656624</v>
      </c>
      <c r="O106">
        <v>-0.17680556192665831</v>
      </c>
    </row>
    <row r="107" spans="1:15" x14ac:dyDescent="0.25">
      <c r="A107">
        <v>7.8108577499999994</v>
      </c>
      <c r="B107">
        <v>-96.679775250000006</v>
      </c>
      <c r="C107">
        <v>136.64881875</v>
      </c>
      <c r="D107">
        <v>268.444794</v>
      </c>
      <c r="E107">
        <v>161.78154749999999</v>
      </c>
      <c r="F107">
        <v>5.9445195000000002</v>
      </c>
      <c r="G107">
        <v>276.32063325000001</v>
      </c>
      <c r="H107">
        <v>-28</v>
      </c>
      <c r="I107">
        <v>8</v>
      </c>
      <c r="J107">
        <v>1.17</v>
      </c>
      <c r="K107">
        <v>21.498400749999998</v>
      </c>
      <c r="L107">
        <v>-0.62477072350673257</v>
      </c>
      <c r="M107">
        <v>-1.770594514137674</v>
      </c>
      <c r="N107">
        <v>-0.55543332730559347</v>
      </c>
      <c r="O107">
        <v>-0.2443019118989572</v>
      </c>
    </row>
    <row r="108" spans="1:15" x14ac:dyDescent="0.25">
      <c r="A108">
        <v>-26.582923999999998</v>
      </c>
      <c r="B108">
        <v>-98.503019249999994</v>
      </c>
      <c r="C108">
        <v>154.08570850000001</v>
      </c>
      <c r="D108">
        <v>258.98262775000001</v>
      </c>
      <c r="E108">
        <v>150.73683550000001</v>
      </c>
      <c r="F108">
        <v>5.7983422500000001</v>
      </c>
      <c r="G108">
        <v>270.87677000000002</v>
      </c>
      <c r="H108">
        <v>-28</v>
      </c>
      <c r="I108">
        <v>12</v>
      </c>
      <c r="J108">
        <v>1.17</v>
      </c>
      <c r="K108">
        <v>21.2867435</v>
      </c>
      <c r="L108">
        <v>-0.84710233961648085</v>
      </c>
      <c r="M108">
        <v>-1.67613738503201</v>
      </c>
      <c r="N108">
        <v>-0.56331359843645634</v>
      </c>
      <c r="O108">
        <v>-0.32042772298774608</v>
      </c>
    </row>
    <row r="109" spans="1:15" x14ac:dyDescent="0.25">
      <c r="A109">
        <v>-58.121985500000001</v>
      </c>
      <c r="B109">
        <v>-99.030797750000005</v>
      </c>
      <c r="C109">
        <v>168.8122175</v>
      </c>
      <c r="D109">
        <v>249.56443024999999</v>
      </c>
      <c r="E109">
        <v>137.14332200000001</v>
      </c>
      <c r="F109">
        <v>5.6034497500000002</v>
      </c>
      <c r="G109">
        <v>267.51447300000001</v>
      </c>
      <c r="H109">
        <v>-28</v>
      </c>
      <c r="I109">
        <v>16</v>
      </c>
      <c r="J109">
        <v>1.17</v>
      </c>
      <c r="K109">
        <v>21.15918375</v>
      </c>
      <c r="L109">
        <v>-1.051983218583362</v>
      </c>
      <c r="M109">
        <v>-1.615964678874408</v>
      </c>
      <c r="N109">
        <v>-0.60435390964693514</v>
      </c>
      <c r="O109">
        <v>-0.39022303424633059</v>
      </c>
    </row>
    <row r="110" spans="1:15" x14ac:dyDescent="0.25">
      <c r="A110">
        <v>-91.643505000000005</v>
      </c>
      <c r="B110">
        <v>-109.778324</v>
      </c>
      <c r="C110">
        <v>180.46701400000001</v>
      </c>
      <c r="D110">
        <v>237.25486724999999</v>
      </c>
      <c r="E110">
        <v>116.48466675</v>
      </c>
      <c r="F110">
        <v>5.6521852499999996</v>
      </c>
      <c r="G110">
        <v>264.552391</v>
      </c>
      <c r="H110">
        <v>-28</v>
      </c>
      <c r="I110">
        <v>20</v>
      </c>
      <c r="J110">
        <v>1.17</v>
      </c>
      <c r="K110">
        <v>21.037215750000001</v>
      </c>
      <c r="L110">
        <v>-1.2528405688044979</v>
      </c>
      <c r="M110">
        <v>-1.5977953935539499</v>
      </c>
      <c r="N110">
        <v>-0.6817311836400799</v>
      </c>
      <c r="O110">
        <v>-0.48971402156711652</v>
      </c>
    </row>
    <row r="111" spans="1:15" x14ac:dyDescent="0.25">
      <c r="A111">
        <v>-124.4891815</v>
      </c>
      <c r="B111">
        <v>-132.66480625</v>
      </c>
      <c r="C111">
        <v>189.45647825</v>
      </c>
      <c r="D111">
        <v>223.49973675000001</v>
      </c>
      <c r="E111">
        <v>90.012929749999998</v>
      </c>
      <c r="F111">
        <v>5.554754</v>
      </c>
      <c r="G111">
        <v>263.43165599999998</v>
      </c>
      <c r="H111">
        <v>-28</v>
      </c>
      <c r="I111">
        <v>24</v>
      </c>
      <c r="J111">
        <v>1.17</v>
      </c>
      <c r="K111">
        <v>20.995599250000001</v>
      </c>
      <c r="L111">
        <v>-1.4362302038447921</v>
      </c>
      <c r="M111">
        <v>-1.6293630140836051</v>
      </c>
      <c r="N111">
        <v>-0.79334580721396097</v>
      </c>
      <c r="O111">
        <v>-0.61360099561846992</v>
      </c>
    </row>
    <row r="112" spans="1:15" x14ac:dyDescent="0.25">
      <c r="A112">
        <v>-157.10958500000001</v>
      </c>
      <c r="B112">
        <v>-163.5159645</v>
      </c>
      <c r="C112">
        <v>193.4318925</v>
      </c>
      <c r="D112">
        <v>206.7221375</v>
      </c>
      <c r="E112">
        <v>57.2809545</v>
      </c>
      <c r="F112">
        <v>5.4085702500000004</v>
      </c>
      <c r="G112">
        <v>260.58952325000001</v>
      </c>
      <c r="H112">
        <v>-28</v>
      </c>
      <c r="I112">
        <v>28</v>
      </c>
      <c r="J112">
        <v>1.17</v>
      </c>
      <c r="K112">
        <v>20.88555925</v>
      </c>
      <c r="L112">
        <v>-1.6109786153938981</v>
      </c>
      <c r="M112">
        <v>-1.701499122272814</v>
      </c>
      <c r="N112">
        <v>-0.93434386550219395</v>
      </c>
      <c r="O112">
        <v>-0.76159533213679875</v>
      </c>
    </row>
    <row r="113" spans="1:15" x14ac:dyDescent="0.25">
      <c r="A113">
        <v>-188.55853275000001</v>
      </c>
      <c r="B113">
        <v>-195.61461249999999</v>
      </c>
      <c r="C113">
        <v>194.561226</v>
      </c>
      <c r="D113">
        <v>188.27962500000001</v>
      </c>
      <c r="E113">
        <v>21.41886375</v>
      </c>
      <c r="F113">
        <v>5.3598480000000004</v>
      </c>
      <c r="G113">
        <v>256.70700049999999</v>
      </c>
      <c r="H113">
        <v>-28</v>
      </c>
      <c r="I113">
        <v>32</v>
      </c>
      <c r="J113">
        <v>1.17</v>
      </c>
      <c r="K113">
        <v>20.728078499999999</v>
      </c>
      <c r="L113">
        <v>-1.7944230834827459</v>
      </c>
      <c r="M113">
        <v>-1.79805140810039</v>
      </c>
      <c r="N113">
        <v>-1.1020211743730211</v>
      </c>
      <c r="O113">
        <v>-0.92478029831036923</v>
      </c>
    </row>
    <row r="114" spans="1:15" x14ac:dyDescent="0.25">
      <c r="A114">
        <v>-220.322891</v>
      </c>
      <c r="B114">
        <v>-228.76882925000001</v>
      </c>
      <c r="C114">
        <v>193.9740295</v>
      </c>
      <c r="D114">
        <v>167.778301</v>
      </c>
      <c r="E114">
        <v>-18.11262125</v>
      </c>
      <c r="F114">
        <v>5.2623862499999996</v>
      </c>
      <c r="G114">
        <v>254.02504725</v>
      </c>
      <c r="H114">
        <v>-28</v>
      </c>
      <c r="I114">
        <v>36</v>
      </c>
      <c r="J114">
        <v>1.17</v>
      </c>
      <c r="K114">
        <v>20.621226</v>
      </c>
      <c r="L114">
        <v>-2.0069278093358949</v>
      </c>
      <c r="M114">
        <v>-1.920946373883482</v>
      </c>
      <c r="N114">
        <v>-1.3182849416433959</v>
      </c>
      <c r="O114">
        <v>-1.1132341580774321</v>
      </c>
    </row>
    <row r="115" spans="1:15" x14ac:dyDescent="0.25">
      <c r="A115">
        <v>-248.00331125</v>
      </c>
      <c r="B115">
        <v>-259.9558485</v>
      </c>
      <c r="C115">
        <v>188.95984625</v>
      </c>
      <c r="D115">
        <v>143.97531125</v>
      </c>
      <c r="E115">
        <v>-62.858820749999992</v>
      </c>
      <c r="F115">
        <v>5.1649349999999998</v>
      </c>
      <c r="G115">
        <v>249.94214249999999</v>
      </c>
      <c r="H115">
        <v>-28</v>
      </c>
      <c r="I115">
        <v>40</v>
      </c>
      <c r="J115">
        <v>1.17</v>
      </c>
      <c r="K115">
        <v>20.455376749999999</v>
      </c>
      <c r="L115">
        <v>-2.286328617556237</v>
      </c>
      <c r="M115">
        <v>-2.1134978470131922</v>
      </c>
      <c r="N115">
        <v>-1.6366770443613681</v>
      </c>
      <c r="O115">
        <v>-1.3559268095610799</v>
      </c>
    </row>
    <row r="116" spans="1:15" x14ac:dyDescent="0.25">
      <c r="A116">
        <v>-298.19882200000001</v>
      </c>
      <c r="B116">
        <v>-315.32481374999998</v>
      </c>
      <c r="C116">
        <v>199.25936150000001</v>
      </c>
      <c r="D116">
        <v>131.78632375000001</v>
      </c>
      <c r="E116">
        <v>-116.661333</v>
      </c>
      <c r="F116">
        <v>5.7013265000000004</v>
      </c>
      <c r="G116">
        <v>270.31706250000002</v>
      </c>
      <c r="H116">
        <v>-28</v>
      </c>
      <c r="I116">
        <v>44</v>
      </c>
      <c r="J116">
        <v>1.17</v>
      </c>
      <c r="K116">
        <v>21.268077250000001</v>
      </c>
      <c r="L116">
        <v>-2.6168054747067262</v>
      </c>
      <c r="M116">
        <v>-2.3519640606757388</v>
      </c>
      <c r="N116">
        <v>-2.0356411016683942</v>
      </c>
      <c r="O116">
        <v>-1.64366370087245</v>
      </c>
    </row>
    <row r="117" spans="1:15" x14ac:dyDescent="0.25">
      <c r="A117">
        <v>238.70611199999999</v>
      </c>
      <c r="B117">
        <v>-357.97906475000002</v>
      </c>
      <c r="C117">
        <v>-345.30874625000001</v>
      </c>
      <c r="D117">
        <v>138.79618049999999</v>
      </c>
      <c r="E117">
        <v>-47.333721250000004</v>
      </c>
      <c r="F117">
        <v>6.6271430000000002</v>
      </c>
      <c r="G117">
        <v>311.42722325</v>
      </c>
      <c r="H117">
        <v>-24</v>
      </c>
      <c r="I117">
        <v>-44</v>
      </c>
      <c r="J117">
        <v>1.17</v>
      </c>
      <c r="K117">
        <v>22.825974250000002</v>
      </c>
      <c r="L117">
        <v>1.919154175044899</v>
      </c>
      <c r="M117">
        <v>-1.6324760876512061</v>
      </c>
      <c r="N117">
        <v>-1.178960432236162</v>
      </c>
      <c r="O117">
        <v>-1.17732159036141</v>
      </c>
    </row>
    <row r="118" spans="1:15" x14ac:dyDescent="0.25">
      <c r="A118">
        <v>234.28150550000001</v>
      </c>
      <c r="B118">
        <v>-295.98884575</v>
      </c>
      <c r="C118">
        <v>-291.53190625000002</v>
      </c>
      <c r="D118">
        <v>160.02172874999999</v>
      </c>
      <c r="E118">
        <v>1.3414649999999999</v>
      </c>
      <c r="F118">
        <v>6.2869215000000001</v>
      </c>
      <c r="G118">
        <v>297.97755425000003</v>
      </c>
      <c r="H118">
        <v>-24</v>
      </c>
      <c r="I118">
        <v>-40</v>
      </c>
      <c r="J118">
        <v>1.17</v>
      </c>
      <c r="K118">
        <v>22.32971525</v>
      </c>
      <c r="L118">
        <v>1.7818270865460411</v>
      </c>
      <c r="M118">
        <v>-1.5452897533525289</v>
      </c>
      <c r="N118">
        <v>-1.0052430885702921</v>
      </c>
      <c r="O118">
        <v>-1.0167664863548009</v>
      </c>
    </row>
    <row r="119" spans="1:15" x14ac:dyDescent="0.25">
      <c r="A119">
        <v>230.75988749999999</v>
      </c>
      <c r="B119">
        <v>-237.16532900000001</v>
      </c>
      <c r="C119">
        <v>-245.37945149999999</v>
      </c>
      <c r="D119">
        <v>181.14190300000001</v>
      </c>
      <c r="E119">
        <v>44.089899250000002</v>
      </c>
      <c r="F119">
        <v>5.9949475000000003</v>
      </c>
      <c r="G119">
        <v>290.41202550000003</v>
      </c>
      <c r="H119">
        <v>-24</v>
      </c>
      <c r="I119">
        <v>-36</v>
      </c>
      <c r="J119">
        <v>1.17</v>
      </c>
      <c r="K119">
        <v>22.049555999999999</v>
      </c>
      <c r="L119">
        <v>1.6685418187265131</v>
      </c>
      <c r="M119">
        <v>-1.465882182008547</v>
      </c>
      <c r="N119">
        <v>-0.86319370577777033</v>
      </c>
      <c r="O119">
        <v>-0.86649413408724774</v>
      </c>
    </row>
    <row r="120" spans="1:15" x14ac:dyDescent="0.25">
      <c r="A120">
        <v>223.58114225</v>
      </c>
      <c r="B120">
        <v>-185.39486324999999</v>
      </c>
      <c r="C120">
        <v>-199.54279324999999</v>
      </c>
      <c r="D120">
        <v>198.31850825000001</v>
      </c>
      <c r="E120">
        <v>80.354494000000003</v>
      </c>
      <c r="F120">
        <v>5.8487695000000004</v>
      </c>
      <c r="G120">
        <v>283.32671349999998</v>
      </c>
      <c r="H120">
        <v>-24</v>
      </c>
      <c r="I120">
        <v>-32</v>
      </c>
      <c r="J120">
        <v>1.17</v>
      </c>
      <c r="K120">
        <v>21.778916250000002</v>
      </c>
      <c r="L120">
        <v>1.5509183025765789</v>
      </c>
      <c r="M120">
        <v>-1.406464842007402</v>
      </c>
      <c r="N120">
        <v>-0.74399131880843861</v>
      </c>
      <c r="O120">
        <v>-0.72690420724454263</v>
      </c>
    </row>
    <row r="121" spans="1:15" x14ac:dyDescent="0.25">
      <c r="A121">
        <v>215.6801605</v>
      </c>
      <c r="B121">
        <v>-145.76335524999999</v>
      </c>
      <c r="C121">
        <v>-146.66823575000001</v>
      </c>
      <c r="D121">
        <v>213.61085524999999</v>
      </c>
      <c r="E121">
        <v>111.745138</v>
      </c>
      <c r="F121">
        <v>5.80002</v>
      </c>
      <c r="G121">
        <v>278.28330949999997</v>
      </c>
      <c r="H121">
        <v>-24</v>
      </c>
      <c r="I121">
        <v>-28</v>
      </c>
      <c r="J121">
        <v>1.17</v>
      </c>
      <c r="K121">
        <v>21.58201425</v>
      </c>
      <c r="L121">
        <v>1.4046485476282029</v>
      </c>
      <c r="M121">
        <v>-1.3931555355009899</v>
      </c>
      <c r="N121">
        <v>-0.64560494493295217</v>
      </c>
      <c r="O121">
        <v>-0.58929027565149916</v>
      </c>
    </row>
    <row r="122" spans="1:15" x14ac:dyDescent="0.25">
      <c r="A122">
        <v>206.24391175</v>
      </c>
      <c r="B122">
        <v>-111.02580075</v>
      </c>
      <c r="C122">
        <v>-90.139385000000004</v>
      </c>
      <c r="D122">
        <v>227.41339099999999</v>
      </c>
      <c r="E122">
        <v>137.76989349999999</v>
      </c>
      <c r="F122">
        <v>5.7025404999999996</v>
      </c>
      <c r="G122">
        <v>275.56149299999998</v>
      </c>
      <c r="H122">
        <v>-24</v>
      </c>
      <c r="I122">
        <v>-24</v>
      </c>
      <c r="J122">
        <v>1.17</v>
      </c>
      <c r="K122">
        <v>21.477833749999999</v>
      </c>
      <c r="L122">
        <v>1.243468644731814</v>
      </c>
      <c r="M122">
        <v>-1.419912896011847</v>
      </c>
      <c r="N122">
        <v>-0.57810793694299045</v>
      </c>
      <c r="O122">
        <v>-0.44590818102399438</v>
      </c>
    </row>
    <row r="123" spans="1:15" x14ac:dyDescent="0.25">
      <c r="A123">
        <v>191.43463499999999</v>
      </c>
      <c r="B123">
        <v>-85.980228249999996</v>
      </c>
      <c r="C123">
        <v>-45.114807999999996</v>
      </c>
      <c r="D123">
        <v>235.87030025000001</v>
      </c>
      <c r="E123">
        <v>156.05876549999999</v>
      </c>
      <c r="F123">
        <v>5.6050684999999998</v>
      </c>
      <c r="G123">
        <v>270.15758499999998</v>
      </c>
      <c r="H123">
        <v>-24</v>
      </c>
      <c r="I123">
        <v>-20</v>
      </c>
      <c r="J123">
        <v>1.17</v>
      </c>
      <c r="K123">
        <v>21.265618</v>
      </c>
      <c r="L123">
        <v>1.067424713873147</v>
      </c>
      <c r="M123">
        <v>-1.4523595840145489</v>
      </c>
      <c r="N123">
        <v>-0.51487612695937157</v>
      </c>
      <c r="O123">
        <v>-0.32106867914263448</v>
      </c>
    </row>
    <row r="124" spans="1:15" x14ac:dyDescent="0.25">
      <c r="A124">
        <v>175.81306075000001</v>
      </c>
      <c r="B124">
        <v>-67.411952749999998</v>
      </c>
      <c r="C124">
        <v>-9.3387650000000004</v>
      </c>
      <c r="D124">
        <v>244.06426625</v>
      </c>
      <c r="E124">
        <v>171.3068695</v>
      </c>
      <c r="F124">
        <v>5.5563205</v>
      </c>
      <c r="G124">
        <v>267.67577375000002</v>
      </c>
      <c r="H124">
        <v>-24</v>
      </c>
      <c r="I124">
        <v>-16</v>
      </c>
      <c r="J124">
        <v>1.17</v>
      </c>
      <c r="K124">
        <v>21.167602250000002</v>
      </c>
      <c r="L124">
        <v>0.88302338012636028</v>
      </c>
      <c r="M124">
        <v>-1.4854743350921571</v>
      </c>
      <c r="N124">
        <v>-0.4596076296335378</v>
      </c>
      <c r="O124">
        <v>-0.20951811187252589</v>
      </c>
    </row>
    <row r="125" spans="1:15" x14ac:dyDescent="0.25">
      <c r="A125">
        <v>159.46874975</v>
      </c>
      <c r="B125">
        <v>-55.848767250000002</v>
      </c>
      <c r="C125">
        <v>21.7736105</v>
      </c>
      <c r="D125">
        <v>248.66518400000001</v>
      </c>
      <c r="E125">
        <v>181.45749649999999</v>
      </c>
      <c r="F125">
        <v>5.4101042499999998</v>
      </c>
      <c r="G125">
        <v>265.59433000000001</v>
      </c>
      <c r="H125">
        <v>-24</v>
      </c>
      <c r="I125">
        <v>-12</v>
      </c>
      <c r="J125">
        <v>1.17</v>
      </c>
      <c r="K125">
        <v>21.089305499999998</v>
      </c>
      <c r="L125">
        <v>0.69369113288854067</v>
      </c>
      <c r="M125">
        <v>-1.5341121386741321</v>
      </c>
      <c r="N125">
        <v>-0.42387206738232652</v>
      </c>
      <c r="O125">
        <v>-0.1130862581776603</v>
      </c>
    </row>
    <row r="126" spans="1:15" x14ac:dyDescent="0.25">
      <c r="A126">
        <v>136.08124900000001</v>
      </c>
      <c r="B126">
        <v>-52.442181750000003</v>
      </c>
      <c r="C126">
        <v>51.045986999999997</v>
      </c>
      <c r="D126">
        <v>249.62923799999999</v>
      </c>
      <c r="E126">
        <v>185.25841174999999</v>
      </c>
      <c r="F126">
        <v>5.4588412499999999</v>
      </c>
      <c r="G126">
        <v>261.99185949999998</v>
      </c>
      <c r="H126">
        <v>-24</v>
      </c>
      <c r="I126">
        <v>-8</v>
      </c>
      <c r="J126">
        <v>1.17</v>
      </c>
      <c r="K126">
        <v>20.940819000000001</v>
      </c>
      <c r="L126">
        <v>0.45727255208958179</v>
      </c>
      <c r="M126">
        <v>-1.624422957873386</v>
      </c>
      <c r="N126">
        <v>-0.41264353781996721</v>
      </c>
      <c r="O126">
        <v>-3.3104721779577378E-2</v>
      </c>
    </row>
    <row r="127" spans="1:15" x14ac:dyDescent="0.25">
      <c r="A127">
        <v>113.10014750000001</v>
      </c>
      <c r="B127">
        <v>-51.194699999999997</v>
      </c>
      <c r="C127">
        <v>76.433467750000005</v>
      </c>
      <c r="D127">
        <v>249.54166050000001</v>
      </c>
      <c r="E127">
        <v>187.0471</v>
      </c>
      <c r="F127">
        <v>5.1663922500000004</v>
      </c>
      <c r="G127">
        <v>260.39060949999998</v>
      </c>
      <c r="H127">
        <v>-24</v>
      </c>
      <c r="I127">
        <v>-4</v>
      </c>
      <c r="J127">
        <v>1.17</v>
      </c>
      <c r="K127">
        <v>20.8873335</v>
      </c>
      <c r="L127">
        <v>0.21020344864546539</v>
      </c>
      <c r="M127">
        <v>-1.724138602846035</v>
      </c>
      <c r="N127">
        <v>-0.4204847404608949</v>
      </c>
      <c r="O127">
        <v>4.2731219935491713E-2</v>
      </c>
    </row>
    <row r="128" spans="1:15" x14ac:dyDescent="0.25">
      <c r="A128">
        <v>87.680837499999996</v>
      </c>
      <c r="B128">
        <v>-50.283077249999998</v>
      </c>
      <c r="C128">
        <v>100.736786</v>
      </c>
      <c r="D128">
        <v>247.6138345</v>
      </c>
      <c r="E128">
        <v>186.15272150000001</v>
      </c>
      <c r="F128">
        <v>5.1663890000000006</v>
      </c>
      <c r="G128">
        <v>257.66870125000003</v>
      </c>
      <c r="H128">
        <v>-24</v>
      </c>
      <c r="I128">
        <v>0</v>
      </c>
      <c r="J128">
        <v>1.17</v>
      </c>
      <c r="K128">
        <v>20.77565525</v>
      </c>
      <c r="L128">
        <v>-7.795525384670772E-2</v>
      </c>
      <c r="M128">
        <v>-1.7790170204919891</v>
      </c>
      <c r="N128">
        <v>-0.42710477682197079</v>
      </c>
      <c r="O128">
        <v>8.0820622701891331E-2</v>
      </c>
    </row>
    <row r="129" spans="1:15" x14ac:dyDescent="0.25">
      <c r="A129">
        <v>62.758254999999998</v>
      </c>
      <c r="B129">
        <v>-48.843680249999998</v>
      </c>
      <c r="C129">
        <v>123.459059</v>
      </c>
      <c r="D129">
        <v>244.32743074999999</v>
      </c>
      <c r="E129">
        <v>184.2748795</v>
      </c>
      <c r="F129">
        <v>5.1663992500000004</v>
      </c>
      <c r="G129">
        <v>255.34722525000001</v>
      </c>
      <c r="H129">
        <v>-24</v>
      </c>
      <c r="I129">
        <v>4</v>
      </c>
      <c r="J129">
        <v>1.17</v>
      </c>
      <c r="K129">
        <v>20.6799295</v>
      </c>
      <c r="L129">
        <v>-0.34232046810358041</v>
      </c>
      <c r="M129">
        <v>-1.653380295306859</v>
      </c>
      <c r="N129">
        <v>-0.40083012615248442</v>
      </c>
      <c r="O129">
        <v>1.010265607033608E-2</v>
      </c>
    </row>
    <row r="130" spans="1:15" x14ac:dyDescent="0.25">
      <c r="A130">
        <v>35.171720499999999</v>
      </c>
      <c r="B130">
        <v>-48.363876249999997</v>
      </c>
      <c r="C130">
        <v>144.6003455</v>
      </c>
      <c r="D130">
        <v>241.30408075</v>
      </c>
      <c r="E130">
        <v>180.78703325000001</v>
      </c>
      <c r="F130">
        <v>5.2151317500000003</v>
      </c>
      <c r="G130">
        <v>254.54670725</v>
      </c>
      <c r="H130">
        <v>-24</v>
      </c>
      <c r="I130">
        <v>8</v>
      </c>
      <c r="J130">
        <v>1.17</v>
      </c>
      <c r="K130">
        <v>20.644801000000001</v>
      </c>
      <c r="L130">
        <v>-0.58395810178234608</v>
      </c>
      <c r="M130">
        <v>-1.5458573890330449</v>
      </c>
      <c r="N130">
        <v>-0.39362773481641999</v>
      </c>
      <c r="O130">
        <v>-6.3015604177097756E-2</v>
      </c>
    </row>
    <row r="131" spans="1:15" x14ac:dyDescent="0.25">
      <c r="A131">
        <v>9.1654187500000006</v>
      </c>
      <c r="B131">
        <v>-45.868913749999997</v>
      </c>
      <c r="C131">
        <v>160.77249900000001</v>
      </c>
      <c r="D131">
        <v>233.50453175000001</v>
      </c>
      <c r="E131">
        <v>171.84396375</v>
      </c>
      <c r="F131">
        <v>4.7764712500000002</v>
      </c>
      <c r="G131">
        <v>251.26442700000001</v>
      </c>
      <c r="H131">
        <v>-24</v>
      </c>
      <c r="I131">
        <v>12</v>
      </c>
      <c r="J131">
        <v>1.17</v>
      </c>
      <c r="K131">
        <v>20.526733499999999</v>
      </c>
      <c r="L131">
        <v>-0.79710158909792339</v>
      </c>
      <c r="M131">
        <v>-1.468874262385363</v>
      </c>
      <c r="N131">
        <v>-0.41757516941180323</v>
      </c>
      <c r="O131">
        <v>-0.1215903452709176</v>
      </c>
    </row>
    <row r="132" spans="1:15" x14ac:dyDescent="0.25">
      <c r="A132">
        <v>-19.41905225</v>
      </c>
      <c r="B132">
        <v>-45.101234499999997</v>
      </c>
      <c r="C132">
        <v>175.31832499999999</v>
      </c>
      <c r="D132">
        <v>224.47826000000001</v>
      </c>
      <c r="E132">
        <v>156.77460875</v>
      </c>
      <c r="F132">
        <v>5.0689392499999997</v>
      </c>
      <c r="G132">
        <v>249.222916</v>
      </c>
      <c r="H132">
        <v>-24</v>
      </c>
      <c r="I132">
        <v>16</v>
      </c>
      <c r="J132">
        <v>1.17</v>
      </c>
      <c r="K132">
        <v>20.429321999999999</v>
      </c>
      <c r="L132">
        <v>-1.0301647221527459</v>
      </c>
      <c r="M132">
        <v>-1.426085258135436</v>
      </c>
      <c r="N132">
        <v>-0.48905504466827449</v>
      </c>
      <c r="O132">
        <v>-0.1974689990113053</v>
      </c>
    </row>
    <row r="133" spans="1:15" x14ac:dyDescent="0.25">
      <c r="A133">
        <v>-48.254769250000003</v>
      </c>
      <c r="B133">
        <v>-56.616449250000002</v>
      </c>
      <c r="C133">
        <v>186.02449050000001</v>
      </c>
      <c r="D133">
        <v>213.69916549999999</v>
      </c>
      <c r="E133">
        <v>137.18896475</v>
      </c>
      <c r="F133">
        <v>4.9714695000000004</v>
      </c>
      <c r="G133">
        <v>247.78186400000001</v>
      </c>
      <c r="H133">
        <v>-24</v>
      </c>
      <c r="I133">
        <v>20</v>
      </c>
      <c r="J133">
        <v>1.17</v>
      </c>
      <c r="K133">
        <v>20.373033</v>
      </c>
      <c r="L133">
        <v>-1.2354930598902081</v>
      </c>
      <c r="M133">
        <v>-1.425544971405089</v>
      </c>
      <c r="N133">
        <v>-0.58323248359878632</v>
      </c>
      <c r="O133">
        <v>-0.30273278560470201</v>
      </c>
    </row>
    <row r="134" spans="1:15" x14ac:dyDescent="0.25">
      <c r="A134">
        <v>-79.388324749999995</v>
      </c>
      <c r="B134">
        <v>-83.821128999999999</v>
      </c>
      <c r="C134">
        <v>192.25850700000001</v>
      </c>
      <c r="D134">
        <v>199.2393075</v>
      </c>
      <c r="E134">
        <v>108.79427149999999</v>
      </c>
      <c r="F134">
        <v>4.9714695000000004</v>
      </c>
      <c r="G134">
        <v>244.57708725000001</v>
      </c>
      <c r="H134">
        <v>-24</v>
      </c>
      <c r="I134">
        <v>24</v>
      </c>
      <c r="J134">
        <v>1.17</v>
      </c>
      <c r="K134">
        <v>20.238137250000001</v>
      </c>
      <c r="L134">
        <v>-1.426729104708671</v>
      </c>
      <c r="M134">
        <v>-1.4866733160446699</v>
      </c>
      <c r="N134">
        <v>-0.71315020088993508</v>
      </c>
      <c r="O134">
        <v>-0.4547072161814199</v>
      </c>
    </row>
    <row r="135" spans="1:15" x14ac:dyDescent="0.25">
      <c r="A135">
        <v>-112.77467725</v>
      </c>
      <c r="B135">
        <v>-116.6874505</v>
      </c>
      <c r="C135">
        <v>198.94438550000001</v>
      </c>
      <c r="D135">
        <v>184.07842249999999</v>
      </c>
      <c r="E135">
        <v>76.822357249999996</v>
      </c>
      <c r="F135">
        <v>4.6790307499999999</v>
      </c>
      <c r="G135">
        <v>244.002678</v>
      </c>
      <c r="H135">
        <v>-24</v>
      </c>
      <c r="I135">
        <v>28</v>
      </c>
      <c r="J135">
        <v>1.17</v>
      </c>
      <c r="K135">
        <v>20.226225249999999</v>
      </c>
      <c r="L135">
        <v>-1.6273128534412979</v>
      </c>
      <c r="M135">
        <v>-1.5701480080863861</v>
      </c>
      <c r="N135">
        <v>-0.87276252477119587</v>
      </c>
      <c r="O135">
        <v>-0.62336861468103555</v>
      </c>
    </row>
    <row r="136" spans="1:15" x14ac:dyDescent="0.25">
      <c r="A136">
        <v>-146.52147299999999</v>
      </c>
      <c r="B136">
        <v>-150.84923549999999</v>
      </c>
      <c r="C136">
        <v>201.42885974999999</v>
      </c>
      <c r="D136">
        <v>167.121071</v>
      </c>
      <c r="E136">
        <v>41.138859750000002</v>
      </c>
      <c r="F136">
        <v>4.7765072499999999</v>
      </c>
      <c r="G136">
        <v>242.88209549999999</v>
      </c>
      <c r="H136">
        <v>-24</v>
      </c>
      <c r="I136">
        <v>32</v>
      </c>
      <c r="J136">
        <v>1.17</v>
      </c>
      <c r="K136">
        <v>20.174688750000001</v>
      </c>
      <c r="L136">
        <v>-1.8330133891614779</v>
      </c>
      <c r="M136">
        <v>-1.6750885705539811</v>
      </c>
      <c r="N136">
        <v>-1.0628044460491159</v>
      </c>
      <c r="O136">
        <v>-0.80843633759704359</v>
      </c>
    </row>
    <row r="137" spans="1:15" x14ac:dyDescent="0.25">
      <c r="A137">
        <v>-202.30054849999999</v>
      </c>
      <c r="B137">
        <v>-210.44043725</v>
      </c>
      <c r="C137">
        <v>228.62342075000001</v>
      </c>
      <c r="D137">
        <v>167.29630649999999</v>
      </c>
      <c r="E137">
        <v>2.2805447499999998</v>
      </c>
      <c r="F137">
        <v>5.5563384999999998</v>
      </c>
      <c r="G137">
        <v>273.69759375000001</v>
      </c>
      <c r="H137">
        <v>-24</v>
      </c>
      <c r="I137">
        <v>36</v>
      </c>
      <c r="J137">
        <v>1.17</v>
      </c>
      <c r="K137">
        <v>21.40932025</v>
      </c>
      <c r="L137">
        <v>-2.065278560832152</v>
      </c>
      <c r="M137">
        <v>-1.810357599663303</v>
      </c>
      <c r="N137">
        <v>-1.3008241179583031</v>
      </c>
      <c r="O137">
        <v>-1.015701609353806</v>
      </c>
    </row>
    <row r="138" spans="1:15" x14ac:dyDescent="0.25">
      <c r="A138">
        <v>-269.29853050000003</v>
      </c>
      <c r="B138">
        <v>-282.41049974999999</v>
      </c>
      <c r="C138">
        <v>254.55311574999999</v>
      </c>
      <c r="D138">
        <v>159.75968925000001</v>
      </c>
      <c r="E138">
        <v>-53.757900249999999</v>
      </c>
      <c r="F138">
        <v>6.3849157499999993</v>
      </c>
      <c r="G138">
        <v>306.38975525000001</v>
      </c>
      <c r="H138">
        <v>-24</v>
      </c>
      <c r="I138">
        <v>40</v>
      </c>
      <c r="J138">
        <v>1.17</v>
      </c>
      <c r="K138">
        <v>22.645682499999999</v>
      </c>
      <c r="L138">
        <v>-2.3587011767836219</v>
      </c>
      <c r="M138">
        <v>-1.9909110235951211</v>
      </c>
      <c r="N138">
        <v>-1.621629025263672</v>
      </c>
      <c r="O138">
        <v>-1.270817342010091</v>
      </c>
    </row>
    <row r="139" spans="1:15" x14ac:dyDescent="0.25">
      <c r="A139">
        <v>-303.94644199999999</v>
      </c>
      <c r="B139">
        <v>-319.40313700000002</v>
      </c>
      <c r="C139">
        <v>245.1118965</v>
      </c>
      <c r="D139">
        <v>128.999653</v>
      </c>
      <c r="E139">
        <v>-110.2371595</v>
      </c>
      <c r="F139">
        <v>6.4336529999999996</v>
      </c>
      <c r="G139">
        <v>302.10243974999997</v>
      </c>
      <c r="H139">
        <v>-24</v>
      </c>
      <c r="I139">
        <v>44</v>
      </c>
      <c r="J139">
        <v>1.17</v>
      </c>
      <c r="K139">
        <v>22.481457750000001</v>
      </c>
      <c r="L139">
        <v>-2.7257466548181459</v>
      </c>
      <c r="M139">
        <v>-2.2260783955184271</v>
      </c>
      <c r="N139">
        <v>-2.04703762233444</v>
      </c>
      <c r="O139">
        <v>-1.5792120053554819</v>
      </c>
    </row>
    <row r="140" spans="1:15" x14ac:dyDescent="0.25">
      <c r="A140">
        <v>240.96526324999999</v>
      </c>
      <c r="B140">
        <v>-293.92572799999999</v>
      </c>
      <c r="C140">
        <v>-295.32153325000002</v>
      </c>
      <c r="D140">
        <v>109.237854</v>
      </c>
      <c r="E140">
        <v>-31.228658750000001</v>
      </c>
      <c r="F140">
        <v>5.9950127499999999</v>
      </c>
      <c r="G140">
        <v>289.41308600000002</v>
      </c>
      <c r="H140">
        <v>-20</v>
      </c>
      <c r="I140">
        <v>-44</v>
      </c>
      <c r="J140">
        <v>1.17</v>
      </c>
      <c r="K140">
        <v>22.010797</v>
      </c>
      <c r="L140">
        <v>2.0360901616237741</v>
      </c>
      <c r="M140">
        <v>-1.530641287182761</v>
      </c>
      <c r="N140">
        <v>-1.2173690169338161</v>
      </c>
      <c r="O140">
        <v>-1.1413271956462001</v>
      </c>
    </row>
    <row r="141" spans="1:15" x14ac:dyDescent="0.25">
      <c r="A141">
        <v>243.58363349999999</v>
      </c>
      <c r="B141">
        <v>-244.21841425</v>
      </c>
      <c r="C141">
        <v>-252.14667524999999</v>
      </c>
      <c r="D141">
        <v>135.22188575000001</v>
      </c>
      <c r="E141">
        <v>17.081623</v>
      </c>
      <c r="F141">
        <v>5.9462914999999992</v>
      </c>
      <c r="G141">
        <v>284.24929049999997</v>
      </c>
      <c r="H141">
        <v>-20</v>
      </c>
      <c r="I141">
        <v>-40</v>
      </c>
      <c r="J141">
        <v>1.17</v>
      </c>
      <c r="K141">
        <v>21.811271999999999</v>
      </c>
      <c r="L141">
        <v>1.868838314719788</v>
      </c>
      <c r="M141">
        <v>-1.4304501661033751</v>
      </c>
      <c r="N141">
        <v>-1.007215151682207</v>
      </c>
      <c r="O141">
        <v>-0.95803891901355298</v>
      </c>
    </row>
    <row r="142" spans="1:15" x14ac:dyDescent="0.25">
      <c r="A142">
        <v>238.9785995</v>
      </c>
      <c r="B142">
        <v>-186.88226324999999</v>
      </c>
      <c r="C142">
        <v>-203.51289775000001</v>
      </c>
      <c r="D142">
        <v>157.17462900000001</v>
      </c>
      <c r="E142">
        <v>59.651461500000003</v>
      </c>
      <c r="F142">
        <v>5.8488089999999993</v>
      </c>
      <c r="G142">
        <v>277.44448849999998</v>
      </c>
      <c r="H142">
        <v>-20</v>
      </c>
      <c r="I142">
        <v>-36</v>
      </c>
      <c r="J142">
        <v>1.17</v>
      </c>
      <c r="K142">
        <v>21.54683425</v>
      </c>
      <c r="L142">
        <v>1.736311614959507</v>
      </c>
      <c r="M142">
        <v>-1.3500488094946821</v>
      </c>
      <c r="N142">
        <v>-0.85462347656845861</v>
      </c>
      <c r="O142">
        <v>-0.78888812740571645</v>
      </c>
    </row>
    <row r="143" spans="1:15" x14ac:dyDescent="0.25">
      <c r="A143">
        <v>234.05738450000001</v>
      </c>
      <c r="B143">
        <v>-134.96785725000001</v>
      </c>
      <c r="C143">
        <v>-161.24032224999999</v>
      </c>
      <c r="D143">
        <v>177.81289275</v>
      </c>
      <c r="E143">
        <v>97.481393749999995</v>
      </c>
      <c r="F143">
        <v>5.6051062500000004</v>
      </c>
      <c r="G143">
        <v>273.72167949999999</v>
      </c>
      <c r="H143">
        <v>-20</v>
      </c>
      <c r="I143">
        <v>-32</v>
      </c>
      <c r="J143">
        <v>1.17</v>
      </c>
      <c r="K143">
        <v>21.408383749999999</v>
      </c>
      <c r="L143">
        <v>1.6096201463022179</v>
      </c>
      <c r="M143">
        <v>-1.273607321750611</v>
      </c>
      <c r="N143">
        <v>-0.71763258472061553</v>
      </c>
      <c r="O143">
        <v>-0.62588083788205962</v>
      </c>
    </row>
    <row r="144" spans="1:15" x14ac:dyDescent="0.25">
      <c r="A144">
        <v>227.96226100000001</v>
      </c>
      <c r="B144">
        <v>-96.391908749999999</v>
      </c>
      <c r="C144">
        <v>-115.042759</v>
      </c>
      <c r="D144">
        <v>194.28836425</v>
      </c>
      <c r="E144">
        <v>130.07957825</v>
      </c>
      <c r="F144">
        <v>5.5563719999999996</v>
      </c>
      <c r="G144">
        <v>270.07913200000002</v>
      </c>
      <c r="H144">
        <v>-20</v>
      </c>
      <c r="I144">
        <v>-28</v>
      </c>
      <c r="J144">
        <v>1.17</v>
      </c>
      <c r="K144">
        <v>21.264420749999999</v>
      </c>
      <c r="L144">
        <v>1.454664162687326</v>
      </c>
      <c r="M144">
        <v>-1.2327594162506039</v>
      </c>
      <c r="N144">
        <v>-0.5937329267505943</v>
      </c>
      <c r="O144">
        <v>-0.47190624128463482</v>
      </c>
    </row>
    <row r="145" spans="1:15" x14ac:dyDescent="0.25">
      <c r="A145">
        <v>217.75825125</v>
      </c>
      <c r="B145">
        <v>-61.318486249999999</v>
      </c>
      <c r="C145">
        <v>-62.935157500000003</v>
      </c>
      <c r="D145">
        <v>207.609173</v>
      </c>
      <c r="E145">
        <v>156.2832985</v>
      </c>
      <c r="F145">
        <v>5.5076234999999993</v>
      </c>
      <c r="G145">
        <v>266.4765625</v>
      </c>
      <c r="H145">
        <v>-20</v>
      </c>
      <c r="I145">
        <v>-24</v>
      </c>
      <c r="J145">
        <v>1.17</v>
      </c>
      <c r="K145">
        <v>21.121097249999998</v>
      </c>
      <c r="L145">
        <v>1.285194441335894</v>
      </c>
      <c r="M145">
        <v>-1.2312874692276099</v>
      </c>
      <c r="N145">
        <v>-0.50454329421110344</v>
      </c>
      <c r="O145">
        <v>-0.30964934317023468</v>
      </c>
    </row>
    <row r="146" spans="1:15" x14ac:dyDescent="0.25">
      <c r="A146">
        <v>205.3421975</v>
      </c>
      <c r="B146">
        <v>-43.517893000000001</v>
      </c>
      <c r="C146">
        <v>-11.95542425</v>
      </c>
      <c r="D146">
        <v>220.52152649999999</v>
      </c>
      <c r="E146">
        <v>178.37323000000001</v>
      </c>
      <c r="F146">
        <v>5.1177012499999996</v>
      </c>
      <c r="G146">
        <v>264.75535574999998</v>
      </c>
      <c r="H146">
        <v>-20</v>
      </c>
      <c r="I146">
        <v>-20</v>
      </c>
      <c r="J146">
        <v>1.17</v>
      </c>
      <c r="K146">
        <v>21.06715475</v>
      </c>
      <c r="L146">
        <v>1.0542683592809881</v>
      </c>
      <c r="M146">
        <v>-1.281067633626906</v>
      </c>
      <c r="N146">
        <v>-0.41910535533232068</v>
      </c>
      <c r="O146">
        <v>-0.15938718485125669</v>
      </c>
    </row>
    <row r="147" spans="1:15" x14ac:dyDescent="0.25">
      <c r="A147">
        <v>189.40431624999999</v>
      </c>
      <c r="B147">
        <v>-26.628920999999998</v>
      </c>
      <c r="C147">
        <v>22.089956999999998</v>
      </c>
      <c r="D147">
        <v>227.25462350000001</v>
      </c>
      <c r="E147">
        <v>192.05641550000001</v>
      </c>
      <c r="F147">
        <v>5.3126575000000003</v>
      </c>
      <c r="G147">
        <v>260.91259774999997</v>
      </c>
      <c r="H147">
        <v>-20</v>
      </c>
      <c r="I147">
        <v>-16</v>
      </c>
      <c r="J147">
        <v>1.17</v>
      </c>
      <c r="K147">
        <v>20.902700750000001</v>
      </c>
      <c r="L147">
        <v>0.86099810885565808</v>
      </c>
      <c r="M147">
        <v>-1.306479804722031</v>
      </c>
      <c r="N147">
        <v>-0.35433527068763371</v>
      </c>
      <c r="O147">
        <v>-3.9013262262378848E-2</v>
      </c>
    </row>
    <row r="148" spans="1:15" x14ac:dyDescent="0.25">
      <c r="A148">
        <v>171.20899600000001</v>
      </c>
      <c r="B148">
        <v>-15.881392249999999</v>
      </c>
      <c r="C148">
        <v>47.432433250000003</v>
      </c>
      <c r="D148">
        <v>232.40976325</v>
      </c>
      <c r="E148">
        <v>202.162407</v>
      </c>
      <c r="F148">
        <v>5.2639112499999996</v>
      </c>
      <c r="G148">
        <v>258.63097375000001</v>
      </c>
      <c r="H148">
        <v>-20</v>
      </c>
      <c r="I148">
        <v>-12</v>
      </c>
      <c r="J148">
        <v>1.17</v>
      </c>
      <c r="K148">
        <v>20.811199999999999</v>
      </c>
      <c r="L148">
        <v>0.66408600749761737</v>
      </c>
      <c r="M148">
        <v>-1.332131112134036</v>
      </c>
      <c r="N148">
        <v>-0.30296849919574459</v>
      </c>
      <c r="O148">
        <v>5.6397443124719643E-2</v>
      </c>
    </row>
    <row r="149" spans="1:15" x14ac:dyDescent="0.25">
      <c r="A149">
        <v>150.48511149999999</v>
      </c>
      <c r="B149">
        <v>-12.666730250000001</v>
      </c>
      <c r="C149">
        <v>73.045932749999992</v>
      </c>
      <c r="D149">
        <v>234.89205175000001</v>
      </c>
      <c r="E149">
        <v>207.48352825000001</v>
      </c>
      <c r="F149">
        <v>5.2151682499999996</v>
      </c>
      <c r="G149">
        <v>256.58946200000003</v>
      </c>
      <c r="H149">
        <v>-20</v>
      </c>
      <c r="I149">
        <v>-8</v>
      </c>
      <c r="J149">
        <v>1.17</v>
      </c>
      <c r="K149">
        <v>20.729197249999999</v>
      </c>
      <c r="L149">
        <v>0.43679636251925102</v>
      </c>
      <c r="M149">
        <v>-1.396332098128638</v>
      </c>
      <c r="N149">
        <v>-0.27699512419381511</v>
      </c>
      <c r="O149">
        <v>0.14088361655990389</v>
      </c>
    </row>
    <row r="150" spans="1:15" x14ac:dyDescent="0.25">
      <c r="A150">
        <v>127.774603</v>
      </c>
      <c r="B150">
        <v>-13.050569749999999</v>
      </c>
      <c r="C150">
        <v>94.819688749999997</v>
      </c>
      <c r="D150">
        <v>233.87044549999999</v>
      </c>
      <c r="E150">
        <v>207.260006</v>
      </c>
      <c r="F150">
        <v>4.9714687499999997</v>
      </c>
      <c r="G150">
        <v>252.5465505</v>
      </c>
      <c r="H150">
        <v>-20</v>
      </c>
      <c r="I150">
        <v>-4</v>
      </c>
      <c r="J150">
        <v>1.17</v>
      </c>
      <c r="K150">
        <v>20.571952750000001</v>
      </c>
      <c r="L150">
        <v>0.19807728203106639</v>
      </c>
      <c r="M150">
        <v>-1.4841130596290959</v>
      </c>
      <c r="N150">
        <v>-0.2721977077764165</v>
      </c>
      <c r="O150">
        <v>0.215873617559245</v>
      </c>
    </row>
    <row r="151" spans="1:15" x14ac:dyDescent="0.25">
      <c r="A151">
        <v>105.51572225</v>
      </c>
      <c r="B151">
        <v>-12.2828895</v>
      </c>
      <c r="C151">
        <v>116.41279025</v>
      </c>
      <c r="D151">
        <v>232.83312975000001</v>
      </c>
      <c r="E151">
        <v>207.30483624999999</v>
      </c>
      <c r="F151">
        <v>5.0202087500000001</v>
      </c>
      <c r="G151">
        <v>251.26581175000001</v>
      </c>
      <c r="H151">
        <v>-20</v>
      </c>
      <c r="I151">
        <v>0</v>
      </c>
      <c r="J151">
        <v>1.17</v>
      </c>
      <c r="K151">
        <v>20.516642999999998</v>
      </c>
      <c r="L151">
        <v>-6.780589137264427E-2</v>
      </c>
      <c r="M151">
        <v>-1.5254271831045061</v>
      </c>
      <c r="N151">
        <v>-0.27359940185779003</v>
      </c>
      <c r="O151">
        <v>0.25886630133441518</v>
      </c>
    </row>
    <row r="152" spans="1:15" x14ac:dyDescent="0.25">
      <c r="A152">
        <v>82.534349249999991</v>
      </c>
      <c r="B152">
        <v>-9.9318677500000003</v>
      </c>
      <c r="C152">
        <v>136.65060424999999</v>
      </c>
      <c r="D152">
        <v>229.35774599999999</v>
      </c>
      <c r="E152">
        <v>205.5162315</v>
      </c>
      <c r="F152">
        <v>5.06896725</v>
      </c>
      <c r="G152">
        <v>248.66382200000001</v>
      </c>
      <c r="H152">
        <v>-20</v>
      </c>
      <c r="I152">
        <v>4</v>
      </c>
      <c r="J152">
        <v>1.17</v>
      </c>
      <c r="K152">
        <v>20.4059135</v>
      </c>
      <c r="L152">
        <v>-0.31980003511181587</v>
      </c>
      <c r="M152">
        <v>-1.414110080241656</v>
      </c>
      <c r="N152">
        <v>-0.25498559351683109</v>
      </c>
      <c r="O152">
        <v>0.18458179829008359</v>
      </c>
    </row>
    <row r="153" spans="1:15" x14ac:dyDescent="0.25">
      <c r="A153">
        <v>57.566381249999999</v>
      </c>
      <c r="B153">
        <v>-6.6212452500000003</v>
      </c>
      <c r="C153">
        <v>154.31357575000001</v>
      </c>
      <c r="D153">
        <v>222.90190125000001</v>
      </c>
      <c r="E153">
        <v>198.54053099999999</v>
      </c>
      <c r="F153">
        <v>4.87401675</v>
      </c>
      <c r="G153">
        <v>244.94113924999999</v>
      </c>
      <c r="H153">
        <v>-20</v>
      </c>
      <c r="I153">
        <v>8</v>
      </c>
      <c r="J153">
        <v>1.17</v>
      </c>
      <c r="K153">
        <v>20.257618749999999</v>
      </c>
      <c r="L153">
        <v>-0.5589980925441862</v>
      </c>
      <c r="M153">
        <v>-1.3262117449916799</v>
      </c>
      <c r="N153">
        <v>-0.26812820630465739</v>
      </c>
      <c r="O153">
        <v>0.1190427372753826</v>
      </c>
    </row>
    <row r="154" spans="1:15" x14ac:dyDescent="0.25">
      <c r="A154">
        <v>39.325775</v>
      </c>
      <c r="B154">
        <v>-2.2550620000000001</v>
      </c>
      <c r="C154">
        <v>195.01517475</v>
      </c>
      <c r="D154">
        <v>247.35231400000001</v>
      </c>
      <c r="E154">
        <v>217.94748675</v>
      </c>
      <c r="F154">
        <v>5.8488272500000003</v>
      </c>
      <c r="G154">
        <v>277.44525924999999</v>
      </c>
      <c r="H154">
        <v>-20</v>
      </c>
      <c r="I154">
        <v>12</v>
      </c>
      <c r="J154">
        <v>1.17</v>
      </c>
      <c r="K154">
        <v>21.546793000000001</v>
      </c>
      <c r="L154">
        <v>-0.78073395930835698</v>
      </c>
      <c r="M154">
        <v>-1.251724848439874</v>
      </c>
      <c r="N154">
        <v>-0.2983661406637767</v>
      </c>
      <c r="O154">
        <v>6.3620558104061475E-2</v>
      </c>
    </row>
    <row r="155" spans="1:15" x14ac:dyDescent="0.25">
      <c r="A155">
        <v>11.829330000000001</v>
      </c>
      <c r="B155">
        <v>-3.8863824999999999</v>
      </c>
      <c r="C155">
        <v>235.67164600000001</v>
      </c>
      <c r="D155">
        <v>265.53675850000002</v>
      </c>
      <c r="E155">
        <v>225.77292625000001</v>
      </c>
      <c r="F155">
        <v>6.8723687500000006</v>
      </c>
      <c r="G155">
        <v>309.86924749999997</v>
      </c>
      <c r="H155">
        <v>-20</v>
      </c>
      <c r="I155">
        <v>16</v>
      </c>
      <c r="J155">
        <v>1.17</v>
      </c>
      <c r="K155">
        <v>22.758328250000002</v>
      </c>
      <c r="L155">
        <v>-1.0091997183815531</v>
      </c>
      <c r="M155">
        <v>-1.214688608395972</v>
      </c>
      <c r="N155">
        <v>-0.37915108383666252</v>
      </c>
      <c r="O155">
        <v>-1.306875392298412E-2</v>
      </c>
    </row>
    <row r="156" spans="1:15" x14ac:dyDescent="0.25">
      <c r="A156">
        <v>-21.897123000000001</v>
      </c>
      <c r="B156">
        <v>-21.207176749999999</v>
      </c>
      <c r="C156">
        <v>243.80291750000001</v>
      </c>
      <c r="D156">
        <v>244.67942049999999</v>
      </c>
      <c r="E156">
        <v>194.24786775000001</v>
      </c>
      <c r="F156">
        <v>6.5799207499999994</v>
      </c>
      <c r="G156">
        <v>300.06205749999998</v>
      </c>
      <c r="H156">
        <v>-20</v>
      </c>
      <c r="I156">
        <v>20</v>
      </c>
      <c r="J156">
        <v>1.17</v>
      </c>
      <c r="K156">
        <v>22.3981855</v>
      </c>
      <c r="L156">
        <v>-1.231233142184667</v>
      </c>
      <c r="M156">
        <v>-1.232104878348093</v>
      </c>
      <c r="N156">
        <v>-0.49034187312641841</v>
      </c>
      <c r="O156">
        <v>-0.1303561181797844</v>
      </c>
    </row>
    <row r="157" spans="1:15" x14ac:dyDescent="0.25">
      <c r="A157">
        <v>-58.617602249999997</v>
      </c>
      <c r="B157">
        <v>-55.273004499999999</v>
      </c>
      <c r="C157">
        <v>247.77835099999999</v>
      </c>
      <c r="D157">
        <v>221.98172750000001</v>
      </c>
      <c r="E157">
        <v>156.55202850000001</v>
      </c>
      <c r="F157">
        <v>5.99504225</v>
      </c>
      <c r="G157">
        <v>291.65593699999999</v>
      </c>
      <c r="H157">
        <v>-20</v>
      </c>
      <c r="I157">
        <v>24</v>
      </c>
      <c r="J157">
        <v>1.17</v>
      </c>
      <c r="K157">
        <v>22.0977155</v>
      </c>
      <c r="L157">
        <v>-1.4351309892562349</v>
      </c>
      <c r="M157">
        <v>-1.2986353400042181</v>
      </c>
      <c r="N157">
        <v>-0.63281405526414036</v>
      </c>
      <c r="O157">
        <v>-0.29480636880426819</v>
      </c>
    </row>
    <row r="158" spans="1:15" x14ac:dyDescent="0.25">
      <c r="A158">
        <v>-96.960098250000001</v>
      </c>
      <c r="B158">
        <v>-94.616636249999999</v>
      </c>
      <c r="C158">
        <v>248.3205145</v>
      </c>
      <c r="D158">
        <v>199.76602550000001</v>
      </c>
      <c r="E158">
        <v>114.78700275</v>
      </c>
      <c r="F158">
        <v>5.94629925</v>
      </c>
      <c r="G158">
        <v>284.17046375000001</v>
      </c>
      <c r="H158">
        <v>-20</v>
      </c>
      <c r="I158">
        <v>28</v>
      </c>
      <c r="J158">
        <v>1.17</v>
      </c>
      <c r="K158">
        <v>21.808180749999998</v>
      </c>
      <c r="L158">
        <v>-1.6397110927449969</v>
      </c>
      <c r="M158">
        <v>-1.397991983217308</v>
      </c>
      <c r="N158">
        <v>-0.80438810596531574</v>
      </c>
      <c r="O158">
        <v>-0.48312996636068489</v>
      </c>
    </row>
    <row r="159" spans="1:15" x14ac:dyDescent="0.25">
      <c r="A159">
        <v>-134.89707575</v>
      </c>
      <c r="B159">
        <v>-134.96784600000001</v>
      </c>
      <c r="C159">
        <v>248.00436400000001</v>
      </c>
      <c r="D159">
        <v>176.23578275</v>
      </c>
      <c r="E159">
        <v>70.07065399999999</v>
      </c>
      <c r="F159">
        <v>5.7513387500000004</v>
      </c>
      <c r="G159">
        <v>279.00680549999998</v>
      </c>
      <c r="H159">
        <v>-20</v>
      </c>
      <c r="I159">
        <v>32</v>
      </c>
      <c r="J159">
        <v>1.17</v>
      </c>
      <c r="K159">
        <v>21.612572499999999</v>
      </c>
      <c r="L159">
        <v>-1.867796092910325</v>
      </c>
      <c r="M159">
        <v>-1.5180567065988431</v>
      </c>
      <c r="N159">
        <v>-1.01919716275428</v>
      </c>
      <c r="O159">
        <v>-0.68625562096447745</v>
      </c>
    </row>
    <row r="160" spans="1:15" x14ac:dyDescent="0.25">
      <c r="A160">
        <v>-171.48239525</v>
      </c>
      <c r="B160">
        <v>-173.4958345</v>
      </c>
      <c r="C160">
        <v>245.38434599999999</v>
      </c>
      <c r="D160">
        <v>150.73375325000001</v>
      </c>
      <c r="E160">
        <v>22.089926250000001</v>
      </c>
      <c r="F160">
        <v>5.6538560000000002</v>
      </c>
      <c r="G160">
        <v>274.16321549999998</v>
      </c>
      <c r="H160">
        <v>-20</v>
      </c>
      <c r="I160">
        <v>36</v>
      </c>
      <c r="J160">
        <v>1.17</v>
      </c>
      <c r="K160">
        <v>21.424059750000001</v>
      </c>
      <c r="L160">
        <v>-2.1424347161119859</v>
      </c>
      <c r="M160">
        <v>-1.666343920902333</v>
      </c>
      <c r="N160">
        <v>-1.295528620741744</v>
      </c>
      <c r="O160">
        <v>-0.91551927677820732</v>
      </c>
    </row>
    <row r="161" spans="1:15" x14ac:dyDescent="0.25">
      <c r="A161">
        <v>-212.61832824999999</v>
      </c>
      <c r="B161">
        <v>-212.64756</v>
      </c>
      <c r="C161">
        <v>240.41522225</v>
      </c>
      <c r="D161">
        <v>124.39916825</v>
      </c>
      <c r="E161">
        <v>-28.774977499999999</v>
      </c>
      <c r="F161">
        <v>5.4101452500000002</v>
      </c>
      <c r="G161">
        <v>270.12029250000001</v>
      </c>
      <c r="H161">
        <v>-20</v>
      </c>
      <c r="I161">
        <v>40</v>
      </c>
      <c r="J161">
        <v>1.17</v>
      </c>
      <c r="K161">
        <v>21.271952500000001</v>
      </c>
      <c r="L161">
        <v>-2.4641373356066052</v>
      </c>
      <c r="M161">
        <v>-1.8332239489755049</v>
      </c>
      <c r="N161">
        <v>-1.6257610728317879</v>
      </c>
      <c r="O161">
        <v>-1.185958895110061</v>
      </c>
    </row>
    <row r="162" spans="1:15" x14ac:dyDescent="0.25">
      <c r="A162">
        <v>-249.02342250000001</v>
      </c>
      <c r="B162">
        <v>-247.91287625000001</v>
      </c>
      <c r="C162">
        <v>233.45845424999999</v>
      </c>
      <c r="D162">
        <v>94.909684999999996</v>
      </c>
      <c r="E162">
        <v>-84.138923750000004</v>
      </c>
      <c r="F162">
        <v>5.5563660000000006</v>
      </c>
      <c r="G162">
        <v>267.47841625000001</v>
      </c>
      <c r="H162">
        <v>-20</v>
      </c>
      <c r="I162">
        <v>44</v>
      </c>
      <c r="J162">
        <v>1.17</v>
      </c>
      <c r="K162">
        <v>21.159626750000001</v>
      </c>
      <c r="L162">
        <v>-2.9360811717140991</v>
      </c>
      <c r="M162">
        <v>-2.0861942675699812</v>
      </c>
      <c r="N162">
        <v>-2.139744535842357</v>
      </c>
      <c r="O162">
        <v>-1.5458402577706161</v>
      </c>
    </row>
    <row r="163" spans="1:15" x14ac:dyDescent="0.25">
      <c r="A163">
        <v>232.88487225</v>
      </c>
      <c r="B163">
        <v>-228.8647995</v>
      </c>
      <c r="C163">
        <v>-253.22942724999999</v>
      </c>
      <c r="D163">
        <v>76.812870250000003</v>
      </c>
      <c r="E163">
        <v>-20.61091425</v>
      </c>
      <c r="F163">
        <v>5.0689609999999998</v>
      </c>
      <c r="G163">
        <v>261.87432849999999</v>
      </c>
      <c r="H163">
        <v>-16</v>
      </c>
      <c r="I163">
        <v>-44</v>
      </c>
      <c r="J163">
        <v>1.17</v>
      </c>
      <c r="K163">
        <v>20.951931999999999</v>
      </c>
      <c r="L163">
        <v>2.2052553448878092</v>
      </c>
      <c r="M163">
        <v>-1.386689315532001</v>
      </c>
      <c r="N163">
        <v>-1.281495419457839</v>
      </c>
      <c r="O163">
        <v>-1.116500898997961</v>
      </c>
    </row>
    <row r="164" spans="1:15" x14ac:dyDescent="0.25">
      <c r="A164">
        <v>236.67742150000001</v>
      </c>
      <c r="B164">
        <v>-184.00345999999999</v>
      </c>
      <c r="C164">
        <v>-213.28892525000001</v>
      </c>
      <c r="D164">
        <v>103.27891175000001</v>
      </c>
      <c r="E164">
        <v>25.980276499999999</v>
      </c>
      <c r="F164">
        <v>5.3126612499999997</v>
      </c>
      <c r="G164">
        <v>260.11323549999997</v>
      </c>
      <c r="H164">
        <v>-16</v>
      </c>
      <c r="I164">
        <v>-40</v>
      </c>
      <c r="J164">
        <v>1.17</v>
      </c>
      <c r="K164">
        <v>20.869991500000001</v>
      </c>
      <c r="L164">
        <v>2.003175856819805</v>
      </c>
      <c r="M164">
        <v>-1.2789335273566651</v>
      </c>
      <c r="N164">
        <v>-1.0423212171340901</v>
      </c>
      <c r="O164">
        <v>-0.90798973853064058</v>
      </c>
    </row>
    <row r="165" spans="1:15" x14ac:dyDescent="0.25">
      <c r="A165">
        <v>236.27106850000001</v>
      </c>
      <c r="B165">
        <v>-139.04616150000001</v>
      </c>
      <c r="C165">
        <v>-171.12046824999999</v>
      </c>
      <c r="D165">
        <v>128.56186099999999</v>
      </c>
      <c r="E165">
        <v>68.192640250000011</v>
      </c>
      <c r="F165">
        <v>5.2639412500000002</v>
      </c>
      <c r="G165">
        <v>257.55126200000001</v>
      </c>
      <c r="H165">
        <v>-16</v>
      </c>
      <c r="I165">
        <v>-36</v>
      </c>
      <c r="J165">
        <v>1.17</v>
      </c>
      <c r="K165">
        <v>20.766806500000001</v>
      </c>
      <c r="L165">
        <v>1.8246267062679391</v>
      </c>
      <c r="M165">
        <v>-1.198540721372702</v>
      </c>
      <c r="N165">
        <v>-0.84810579361594329</v>
      </c>
      <c r="O165">
        <v>-0.71815897475075341</v>
      </c>
    </row>
    <row r="166" spans="1:15" x14ac:dyDescent="0.25">
      <c r="A166">
        <v>232.29758799999999</v>
      </c>
      <c r="B166">
        <v>-92.889362500000004</v>
      </c>
      <c r="C166">
        <v>-127.10859675</v>
      </c>
      <c r="D166">
        <v>148.84957499999999</v>
      </c>
      <c r="E166">
        <v>106.06752575</v>
      </c>
      <c r="F166">
        <v>5.3126712500000002</v>
      </c>
      <c r="G166">
        <v>254.869339</v>
      </c>
      <c r="H166">
        <v>-16</v>
      </c>
      <c r="I166">
        <v>-32</v>
      </c>
      <c r="J166">
        <v>1.17</v>
      </c>
      <c r="K166">
        <v>20.654116999999999</v>
      </c>
      <c r="L166">
        <v>1.663403908132058</v>
      </c>
      <c r="M166">
        <v>-1.1188066117621269</v>
      </c>
      <c r="N166">
        <v>-0.6886859899416109</v>
      </c>
      <c r="O166">
        <v>-0.5336674100637302</v>
      </c>
    </row>
    <row r="167" spans="1:15" x14ac:dyDescent="0.25">
      <c r="A167">
        <v>227.66287600000001</v>
      </c>
      <c r="B167">
        <v>-57.432107250000001</v>
      </c>
      <c r="C167">
        <v>-85.656246249999995</v>
      </c>
      <c r="D167">
        <v>167.34074774999999</v>
      </c>
      <c r="E167">
        <v>137.59263250000001</v>
      </c>
      <c r="F167">
        <v>5.1664804999999996</v>
      </c>
      <c r="G167">
        <v>253.62862799999999</v>
      </c>
      <c r="H167">
        <v>-16</v>
      </c>
      <c r="I167">
        <v>-28</v>
      </c>
      <c r="J167">
        <v>1.17</v>
      </c>
      <c r="K167">
        <v>20.608775000000001</v>
      </c>
      <c r="L167">
        <v>1.4981646272814311</v>
      </c>
      <c r="M167">
        <v>-1.074765299279026</v>
      </c>
      <c r="N167">
        <v>-0.55484683810950752</v>
      </c>
      <c r="O167">
        <v>-0.3667950710799508</v>
      </c>
    </row>
    <row r="168" spans="1:15" x14ac:dyDescent="0.25">
      <c r="A168">
        <v>220.24480474999999</v>
      </c>
      <c r="B168">
        <v>-24.373861000000002</v>
      </c>
      <c r="C168">
        <v>-42.038722999999997</v>
      </c>
      <c r="D168">
        <v>183.37811675</v>
      </c>
      <c r="E168">
        <v>166.03235624999999</v>
      </c>
      <c r="F168">
        <v>4.9715194999999994</v>
      </c>
      <c r="G168">
        <v>253.10816575000001</v>
      </c>
      <c r="H168">
        <v>-16</v>
      </c>
      <c r="I168">
        <v>-24</v>
      </c>
      <c r="J168">
        <v>1.17</v>
      </c>
      <c r="K168">
        <v>20.595269500000001</v>
      </c>
      <c r="L168">
        <v>1.31646839621843</v>
      </c>
      <c r="M168">
        <v>-1.042747755443328</v>
      </c>
      <c r="N168">
        <v>-0.43709106103737227</v>
      </c>
      <c r="O168">
        <v>-0.19160778216651619</v>
      </c>
    </row>
    <row r="169" spans="1:15" x14ac:dyDescent="0.25">
      <c r="A169">
        <v>207.34784325000001</v>
      </c>
      <c r="B169">
        <v>-1.6313212500000001</v>
      </c>
      <c r="C169">
        <v>9.0617000000000003E-2</v>
      </c>
      <c r="D169">
        <v>193.67532725000001</v>
      </c>
      <c r="E169">
        <v>185.75243750000001</v>
      </c>
      <c r="F169">
        <v>5.1177337500000002</v>
      </c>
      <c r="G169">
        <v>249.26530825</v>
      </c>
      <c r="H169">
        <v>-16</v>
      </c>
      <c r="I169">
        <v>-20</v>
      </c>
      <c r="J169">
        <v>1.17</v>
      </c>
      <c r="K169">
        <v>20.42905275</v>
      </c>
      <c r="L169">
        <v>1.1111727569756691</v>
      </c>
      <c r="M169">
        <v>-1.04709034283062</v>
      </c>
      <c r="N169">
        <v>-0.34051703423811158</v>
      </c>
      <c r="O169">
        <v>-3.1568622631640127E-2</v>
      </c>
    </row>
    <row r="170" spans="1:15" x14ac:dyDescent="0.25">
      <c r="A170">
        <v>216.37673574999999</v>
      </c>
      <c r="B170">
        <v>12.220962</v>
      </c>
      <c r="C170">
        <v>38.714081749999998</v>
      </c>
      <c r="D170">
        <v>225.70624524999999</v>
      </c>
      <c r="E170">
        <v>223.850853</v>
      </c>
      <c r="F170">
        <v>5.6538740000000001</v>
      </c>
      <c r="G170">
        <v>276.325424</v>
      </c>
      <c r="H170">
        <v>-16</v>
      </c>
      <c r="I170">
        <v>-16</v>
      </c>
      <c r="J170">
        <v>1.17</v>
      </c>
      <c r="K170">
        <v>21.510080500000001</v>
      </c>
      <c r="L170">
        <v>0.89555085600915363</v>
      </c>
      <c r="M170">
        <v>-1.0761245028148601</v>
      </c>
      <c r="N170">
        <v>-0.26451778155544131</v>
      </c>
      <c r="O170">
        <v>9.9886540068046065E-2</v>
      </c>
    </row>
    <row r="171" spans="1:15" x14ac:dyDescent="0.25">
      <c r="A171">
        <v>221.88445675</v>
      </c>
      <c r="B171">
        <v>25.211725250000001</v>
      </c>
      <c r="C171">
        <v>78.422021749999999</v>
      </c>
      <c r="D171">
        <v>262.38185900000002</v>
      </c>
      <c r="E171">
        <v>265.52663424999997</v>
      </c>
      <c r="F171">
        <v>6.5311985000000004</v>
      </c>
      <c r="G171">
        <v>309.51017000000002</v>
      </c>
      <c r="H171">
        <v>-16</v>
      </c>
      <c r="I171">
        <v>-12</v>
      </c>
      <c r="J171">
        <v>1.17</v>
      </c>
      <c r="K171">
        <v>22.757657500000001</v>
      </c>
      <c r="L171">
        <v>0.6713107001667683</v>
      </c>
      <c r="M171">
        <v>-1.109751247178528</v>
      </c>
      <c r="N171">
        <v>-0.2058138346900972</v>
      </c>
      <c r="O171">
        <v>0.21192695236317241</v>
      </c>
    </row>
    <row r="172" spans="1:15" x14ac:dyDescent="0.25">
      <c r="A172">
        <v>195.50059525</v>
      </c>
      <c r="B172">
        <v>30.88916725</v>
      </c>
      <c r="C172">
        <v>105.390877</v>
      </c>
      <c r="D172">
        <v>262.0145875</v>
      </c>
      <c r="E172">
        <v>269.01469400000002</v>
      </c>
      <c r="F172">
        <v>6.5799357499999998</v>
      </c>
      <c r="G172">
        <v>302.38494075</v>
      </c>
      <c r="H172">
        <v>-16</v>
      </c>
      <c r="I172">
        <v>-8</v>
      </c>
      <c r="J172">
        <v>1.17</v>
      </c>
      <c r="K172">
        <v>22.486640250000001</v>
      </c>
      <c r="L172">
        <v>0.44860507795182131</v>
      </c>
      <c r="M172">
        <v>-1.15059545217349</v>
      </c>
      <c r="N172">
        <v>-0.1661283402770575</v>
      </c>
      <c r="O172">
        <v>0.30646644821476782</v>
      </c>
    </row>
    <row r="173" spans="1:15" x14ac:dyDescent="0.25">
      <c r="A173">
        <v>167.63204575</v>
      </c>
      <c r="B173">
        <v>29.590083</v>
      </c>
      <c r="C173">
        <v>128.83616624999999</v>
      </c>
      <c r="D173">
        <v>257.54554000000002</v>
      </c>
      <c r="E173">
        <v>264.99028774999999</v>
      </c>
      <c r="F173">
        <v>6.33578025</v>
      </c>
      <c r="G173">
        <v>293.56749724999997</v>
      </c>
      <c r="H173">
        <v>-16</v>
      </c>
      <c r="I173">
        <v>-4</v>
      </c>
      <c r="J173">
        <v>1.17</v>
      </c>
      <c r="K173">
        <v>22.158390749999999</v>
      </c>
      <c r="L173">
        <v>0.20882446930077611</v>
      </c>
      <c r="M173">
        <v>-1.22707474074143</v>
      </c>
      <c r="N173">
        <v>-0.1538775621163446</v>
      </c>
      <c r="O173">
        <v>0.39231395372105798</v>
      </c>
    </row>
    <row r="174" spans="1:15" x14ac:dyDescent="0.25">
      <c r="A174">
        <v>138.78283275000001</v>
      </c>
      <c r="B174">
        <v>28.579689500000001</v>
      </c>
      <c r="C174">
        <v>150.79072199999999</v>
      </c>
      <c r="D174">
        <v>251.72986975000001</v>
      </c>
      <c r="E174">
        <v>259.41193375</v>
      </c>
      <c r="F174">
        <v>5.8484322500000001</v>
      </c>
      <c r="G174">
        <v>286.48348974999999</v>
      </c>
      <c r="H174">
        <v>-16</v>
      </c>
      <c r="I174">
        <v>0</v>
      </c>
      <c r="J174">
        <v>1.17</v>
      </c>
      <c r="K174">
        <v>21.902456999999998</v>
      </c>
      <c r="L174">
        <v>-6.8329462527245241E-2</v>
      </c>
      <c r="M174">
        <v>-1.269836326584622</v>
      </c>
      <c r="N174">
        <v>-0.1540547765372986</v>
      </c>
      <c r="O174">
        <v>0.442912794566097</v>
      </c>
    </row>
    <row r="175" spans="1:15" x14ac:dyDescent="0.25">
      <c r="A175">
        <v>112.22884575</v>
      </c>
      <c r="B175">
        <v>30.980983250000001</v>
      </c>
      <c r="C175">
        <v>170.57691975</v>
      </c>
      <c r="D175">
        <v>246.47277424999999</v>
      </c>
      <c r="E175">
        <v>253.24189774999999</v>
      </c>
      <c r="F175">
        <v>5.8963324999999998</v>
      </c>
      <c r="G175">
        <v>280.94407675000002</v>
      </c>
      <c r="H175">
        <v>-16</v>
      </c>
      <c r="I175">
        <v>4</v>
      </c>
      <c r="J175">
        <v>1.17</v>
      </c>
      <c r="K175">
        <v>21.683335249999999</v>
      </c>
      <c r="L175">
        <v>-0.32124950640810451</v>
      </c>
      <c r="M175">
        <v>-1.1863891826416699</v>
      </c>
      <c r="N175">
        <v>-0.15252603504509851</v>
      </c>
      <c r="O175">
        <v>0.36176091647905428</v>
      </c>
    </row>
    <row r="176" spans="1:15" x14ac:dyDescent="0.25">
      <c r="A176">
        <v>87.128694499999995</v>
      </c>
      <c r="B176">
        <v>39.252979000000003</v>
      </c>
      <c r="C176">
        <v>190.72450649999999</v>
      </c>
      <c r="D176">
        <v>239.31654</v>
      </c>
      <c r="E176">
        <v>246.77463925000001</v>
      </c>
      <c r="F176">
        <v>6.0912522500000001</v>
      </c>
      <c r="G176">
        <v>278.06259949999998</v>
      </c>
      <c r="H176">
        <v>-16</v>
      </c>
      <c r="I176">
        <v>8</v>
      </c>
      <c r="J176">
        <v>1.17</v>
      </c>
      <c r="K176">
        <v>21.561731000000002</v>
      </c>
      <c r="L176">
        <v>-0.56429557609612901</v>
      </c>
      <c r="M176">
        <v>-1.089752445809409</v>
      </c>
      <c r="N176">
        <v>-0.17042894059241559</v>
      </c>
      <c r="O176">
        <v>0.31104150837385042</v>
      </c>
    </row>
    <row r="177" spans="1:15" x14ac:dyDescent="0.25">
      <c r="A177">
        <v>60.23047425</v>
      </c>
      <c r="B177">
        <v>44.742863499999999</v>
      </c>
      <c r="C177">
        <v>205.76744074999999</v>
      </c>
      <c r="D177">
        <v>229.34311650000001</v>
      </c>
      <c r="E177">
        <v>234.5224</v>
      </c>
      <c r="F177">
        <v>5.8959052500000002</v>
      </c>
      <c r="G177">
        <v>273.34776299999999</v>
      </c>
      <c r="H177">
        <v>-16</v>
      </c>
      <c r="I177">
        <v>12</v>
      </c>
      <c r="J177">
        <v>1.17</v>
      </c>
      <c r="K177">
        <v>21.381826749999998</v>
      </c>
      <c r="L177">
        <v>-0.79948291378861669</v>
      </c>
      <c r="M177">
        <v>-1.0140511320805501</v>
      </c>
      <c r="N177">
        <v>-0.21327941434554051</v>
      </c>
      <c r="O177">
        <v>0.25597081069755018</v>
      </c>
    </row>
    <row r="178" spans="1:15" x14ac:dyDescent="0.25">
      <c r="A178">
        <v>32.101847499999998</v>
      </c>
      <c r="B178">
        <v>36.893195249999998</v>
      </c>
      <c r="C178">
        <v>218.099941</v>
      </c>
      <c r="D178">
        <v>215.11874399999999</v>
      </c>
      <c r="E178">
        <v>214.85221100000001</v>
      </c>
      <c r="F178">
        <v>5.5548190000000002</v>
      </c>
      <c r="G178">
        <v>268.98477924999997</v>
      </c>
      <c r="H178">
        <v>-16</v>
      </c>
      <c r="I178">
        <v>16</v>
      </c>
      <c r="J178">
        <v>1.17</v>
      </c>
      <c r="K178">
        <v>21.220450750000001</v>
      </c>
      <c r="L178">
        <v>-1.03129341165036</v>
      </c>
      <c r="M178">
        <v>-0.98818254447906484</v>
      </c>
      <c r="N178">
        <v>-0.30015107924062873</v>
      </c>
      <c r="O178">
        <v>0.1604863186986315</v>
      </c>
    </row>
    <row r="179" spans="1:15" x14ac:dyDescent="0.25">
      <c r="A179">
        <v>2.52842375</v>
      </c>
      <c r="B179">
        <v>15.199814249999999</v>
      </c>
      <c r="C179">
        <v>228.26407649999999</v>
      </c>
      <c r="D179">
        <v>201.4311065</v>
      </c>
      <c r="E179">
        <v>190.97220999999999</v>
      </c>
      <c r="F179">
        <v>5.4577522500000004</v>
      </c>
      <c r="G179">
        <v>266.62313825000001</v>
      </c>
      <c r="H179">
        <v>-16</v>
      </c>
      <c r="I179">
        <v>20</v>
      </c>
      <c r="J179">
        <v>1.17</v>
      </c>
      <c r="K179">
        <v>21.129044</v>
      </c>
      <c r="L179">
        <v>-1.23956990572887</v>
      </c>
      <c r="M179">
        <v>-1.0226379352185531</v>
      </c>
      <c r="N179">
        <v>-0.41541652493083292</v>
      </c>
      <c r="O179">
        <v>1.8707966581417639E-2</v>
      </c>
    </row>
    <row r="180" spans="1:15" x14ac:dyDescent="0.25">
      <c r="A180">
        <v>-31.133562999999999</v>
      </c>
      <c r="B180">
        <v>-15.3536115</v>
      </c>
      <c r="C180">
        <v>234.00117499999999</v>
      </c>
      <c r="D180">
        <v>184.15513250000001</v>
      </c>
      <c r="E180">
        <v>159.180767</v>
      </c>
      <c r="F180">
        <v>5.2631899999999998</v>
      </c>
      <c r="G180">
        <v>261.75498924999999</v>
      </c>
      <c r="H180">
        <v>-16</v>
      </c>
      <c r="I180">
        <v>24</v>
      </c>
      <c r="J180">
        <v>1.17</v>
      </c>
      <c r="K180">
        <v>20.939137500000001</v>
      </c>
      <c r="L180">
        <v>-1.4533977646208589</v>
      </c>
      <c r="M180">
        <v>-1.0936458204145389</v>
      </c>
      <c r="N180">
        <v>-0.56228600143095342</v>
      </c>
      <c r="O180">
        <v>-0.15626506573739091</v>
      </c>
    </row>
    <row r="181" spans="1:15" x14ac:dyDescent="0.25">
      <c r="A181">
        <v>-69.025495500000005</v>
      </c>
      <c r="B181">
        <v>-51.194699249999999</v>
      </c>
      <c r="C181">
        <v>239.64791500000001</v>
      </c>
      <c r="D181">
        <v>166.46438225</v>
      </c>
      <c r="E181">
        <v>123.99909975</v>
      </c>
      <c r="F181">
        <v>5.2635480000000001</v>
      </c>
      <c r="G181">
        <v>259.99369050000001</v>
      </c>
      <c r="H181">
        <v>-16</v>
      </c>
      <c r="I181">
        <v>28</v>
      </c>
      <c r="J181">
        <v>1.17</v>
      </c>
      <c r="K181">
        <v>20.867103</v>
      </c>
      <c r="L181">
        <v>-1.676601745980385</v>
      </c>
      <c r="M181">
        <v>-1.1822450021786499</v>
      </c>
      <c r="N181">
        <v>-0.73868498711960473</v>
      </c>
      <c r="O181">
        <v>-0.35509201294670051</v>
      </c>
    </row>
    <row r="182" spans="1:15" x14ac:dyDescent="0.25">
      <c r="A182">
        <v>-110.38672275</v>
      </c>
      <c r="B182">
        <v>-89.33883075</v>
      </c>
      <c r="C182">
        <v>241.09348324999999</v>
      </c>
      <c r="D182">
        <v>144.20486825</v>
      </c>
      <c r="E182">
        <v>81.38418025</v>
      </c>
      <c r="F182">
        <v>5.2148355000000004</v>
      </c>
      <c r="G182">
        <v>257.79204549999997</v>
      </c>
      <c r="H182">
        <v>-16</v>
      </c>
      <c r="I182">
        <v>32</v>
      </c>
      <c r="J182">
        <v>1.17</v>
      </c>
      <c r="K182">
        <v>20.778734750000002</v>
      </c>
      <c r="L182">
        <v>-1.9392370845556399</v>
      </c>
      <c r="M182">
        <v>-1.288540302820832</v>
      </c>
      <c r="N182">
        <v>-0.97330376748076086</v>
      </c>
      <c r="O182">
        <v>-0.57974304155403544</v>
      </c>
    </row>
    <row r="183" spans="1:15" x14ac:dyDescent="0.25">
      <c r="A183">
        <v>-148.54899574999999</v>
      </c>
      <c r="B183">
        <v>-127.09911925</v>
      </c>
      <c r="C183">
        <v>239.73826600000001</v>
      </c>
      <c r="D183">
        <v>120.76227</v>
      </c>
      <c r="E183">
        <v>33.939868750000002</v>
      </c>
      <c r="F183">
        <v>4.9227652499999994</v>
      </c>
      <c r="G183">
        <v>254.78981775</v>
      </c>
      <c r="H183">
        <v>-16</v>
      </c>
      <c r="I183">
        <v>36</v>
      </c>
      <c r="J183">
        <v>1.17</v>
      </c>
      <c r="K183">
        <v>20.666956249999998</v>
      </c>
      <c r="L183">
        <v>-2.260583680873125</v>
      </c>
      <c r="M183">
        <v>-1.443030797187802</v>
      </c>
      <c r="N183">
        <v>-1.285774855638192</v>
      </c>
      <c r="O183">
        <v>-0.83105867610226625</v>
      </c>
    </row>
    <row r="184" spans="1:15" x14ac:dyDescent="0.25">
      <c r="A184">
        <v>-186.30575949999999</v>
      </c>
      <c r="B184">
        <v>-163.94778825</v>
      </c>
      <c r="C184">
        <v>237.88614250000001</v>
      </c>
      <c r="D184">
        <v>95.917497749999995</v>
      </c>
      <c r="E184">
        <v>-18.469515749999999</v>
      </c>
      <c r="F184">
        <v>4.9715054999999992</v>
      </c>
      <c r="G184">
        <v>253.82909774999999</v>
      </c>
      <c r="H184">
        <v>-16</v>
      </c>
      <c r="I184">
        <v>40</v>
      </c>
      <c r="J184">
        <v>1.17</v>
      </c>
      <c r="K184">
        <v>20.625168250000002</v>
      </c>
      <c r="L184">
        <v>-2.7077808339014191</v>
      </c>
      <c r="M184">
        <v>-1.658805820653013</v>
      </c>
      <c r="N184">
        <v>-1.7381797166098689</v>
      </c>
      <c r="O184">
        <v>-1.1496208543466919</v>
      </c>
    </row>
    <row r="185" spans="1:15" x14ac:dyDescent="0.25">
      <c r="A185">
        <v>-220.72838999999999</v>
      </c>
      <c r="B185">
        <v>-196.4782525</v>
      </c>
      <c r="C185">
        <v>230.47761149999999</v>
      </c>
      <c r="D185">
        <v>68.268368000000009</v>
      </c>
      <c r="E185">
        <v>-71.55822975000001</v>
      </c>
      <c r="F185">
        <v>5.0202462499999996</v>
      </c>
      <c r="G185">
        <v>250.74680699999999</v>
      </c>
      <c r="H185">
        <v>-16</v>
      </c>
      <c r="I185">
        <v>44</v>
      </c>
      <c r="J185">
        <v>1.17</v>
      </c>
      <c r="K185">
        <v>20.495007000000001</v>
      </c>
      <c r="L185">
        <v>-3.292448963251378</v>
      </c>
      <c r="M185">
        <v>-1.931836057448467</v>
      </c>
      <c r="N185">
        <v>-2.351863842346805</v>
      </c>
      <c r="O185">
        <v>-1.558800979555641</v>
      </c>
    </row>
    <row r="186" spans="1:15" x14ac:dyDescent="0.25">
      <c r="A186">
        <v>231.57583600000001</v>
      </c>
      <c r="B186">
        <v>-179.397358</v>
      </c>
      <c r="C186">
        <v>-233.96539675</v>
      </c>
      <c r="D186">
        <v>49.821011499999997</v>
      </c>
      <c r="E186">
        <v>-14.900528</v>
      </c>
      <c r="F186">
        <v>4.8252847499999998</v>
      </c>
      <c r="G186">
        <v>248.825367</v>
      </c>
      <c r="H186">
        <v>-12</v>
      </c>
      <c r="I186">
        <v>-44</v>
      </c>
      <c r="J186">
        <v>1.17</v>
      </c>
      <c r="K186">
        <v>20.422882999999999</v>
      </c>
      <c r="L186">
        <v>2.4274751476863461</v>
      </c>
      <c r="M186">
        <v>-1.1952235866267831</v>
      </c>
      <c r="N186">
        <v>-1.3751628988273681</v>
      </c>
      <c r="O186">
        <v>-1.102863681364024</v>
      </c>
    </row>
    <row r="187" spans="1:15" x14ac:dyDescent="0.25">
      <c r="A187">
        <v>235.3233185</v>
      </c>
      <c r="B187">
        <v>-137.84664900000001</v>
      </c>
      <c r="C187">
        <v>-196.56522375</v>
      </c>
      <c r="D187">
        <v>76.988140250000001</v>
      </c>
      <c r="E187">
        <v>32.0170545</v>
      </c>
      <c r="F187">
        <v>4.8740249999999996</v>
      </c>
      <c r="G187">
        <v>247.62447324999999</v>
      </c>
      <c r="H187">
        <v>-12</v>
      </c>
      <c r="I187">
        <v>-40</v>
      </c>
      <c r="J187">
        <v>1.17</v>
      </c>
      <c r="K187">
        <v>20.370509500000001</v>
      </c>
      <c r="L187">
        <v>2.1678729342862102</v>
      </c>
      <c r="M187">
        <v>-1.0783659401144989</v>
      </c>
      <c r="N187">
        <v>-1.0822526556336689</v>
      </c>
      <c r="O187">
        <v>-0.86375768923107876</v>
      </c>
    </row>
    <row r="188" spans="1:15" x14ac:dyDescent="0.25">
      <c r="A188">
        <v>234.194523</v>
      </c>
      <c r="B188">
        <v>-95.816133500000007</v>
      </c>
      <c r="C188">
        <v>-157.31534174999999</v>
      </c>
      <c r="D188">
        <v>101.04419125</v>
      </c>
      <c r="E188">
        <v>73.737667250000001</v>
      </c>
      <c r="F188">
        <v>4.8252847499999998</v>
      </c>
      <c r="G188">
        <v>244.58223699999999</v>
      </c>
      <c r="H188">
        <v>-12</v>
      </c>
      <c r="I188">
        <v>-36</v>
      </c>
      <c r="J188">
        <v>1.17</v>
      </c>
      <c r="K188">
        <v>20.244528500000001</v>
      </c>
      <c r="L188">
        <v>1.954628542896812</v>
      </c>
      <c r="M188">
        <v>-0.98285126426414715</v>
      </c>
      <c r="N188">
        <v>-0.85299126603251296</v>
      </c>
      <c r="O188">
        <v>-0.65597964850005108</v>
      </c>
    </row>
    <row r="189" spans="1:15" x14ac:dyDescent="0.25">
      <c r="A189">
        <v>232.4336625</v>
      </c>
      <c r="B189">
        <v>-58.919485999999999</v>
      </c>
      <c r="C189">
        <v>-118.3361415</v>
      </c>
      <c r="D189">
        <v>123.2598895</v>
      </c>
      <c r="E189">
        <v>111.25491325</v>
      </c>
      <c r="F189">
        <v>4.7278039999999999</v>
      </c>
      <c r="G189">
        <v>243.94176874999999</v>
      </c>
      <c r="H189">
        <v>-12</v>
      </c>
      <c r="I189">
        <v>-32</v>
      </c>
      <c r="J189">
        <v>1.17</v>
      </c>
      <c r="K189">
        <v>20.221590500000001</v>
      </c>
      <c r="L189">
        <v>1.7548901037288129</v>
      </c>
      <c r="M189">
        <v>-0.91144372130144891</v>
      </c>
      <c r="N189">
        <v>-0.66384111516000555</v>
      </c>
      <c r="O189">
        <v>-0.4670563946339043</v>
      </c>
    </row>
    <row r="190" spans="1:15" x14ac:dyDescent="0.25">
      <c r="A190">
        <v>230.4922105</v>
      </c>
      <c r="B190">
        <v>-24.373859249999999</v>
      </c>
      <c r="C190">
        <v>-75.973337000000001</v>
      </c>
      <c r="D190">
        <v>145.60704050000001</v>
      </c>
      <c r="E190">
        <v>146.53630824999999</v>
      </c>
      <c r="F190">
        <v>4.9227652499999994</v>
      </c>
      <c r="G190">
        <v>246.94400400000001</v>
      </c>
      <c r="H190">
        <v>-12</v>
      </c>
      <c r="I190">
        <v>-28</v>
      </c>
      <c r="J190">
        <v>1.17</v>
      </c>
      <c r="K190">
        <v>20.33984075</v>
      </c>
      <c r="L190">
        <v>1.557942083528719</v>
      </c>
      <c r="M190">
        <v>-0.86414531799949679</v>
      </c>
      <c r="N190">
        <v>-0.51042856668469094</v>
      </c>
      <c r="O190">
        <v>-0.28006854829291322</v>
      </c>
    </row>
    <row r="191" spans="1:15" x14ac:dyDescent="0.25">
      <c r="A191">
        <v>255.68606550000001</v>
      </c>
      <c r="B191">
        <v>5.8698977499999998</v>
      </c>
      <c r="C191">
        <v>-42.001887500000002</v>
      </c>
      <c r="D191">
        <v>183.553383</v>
      </c>
      <c r="E191">
        <v>198.13927100000001</v>
      </c>
      <c r="F191">
        <v>5.7513509999999997</v>
      </c>
      <c r="G191">
        <v>281.24956524999999</v>
      </c>
      <c r="H191">
        <v>-12</v>
      </c>
      <c r="I191">
        <v>-24</v>
      </c>
      <c r="J191">
        <v>1.17</v>
      </c>
      <c r="K191">
        <v>21.701006</v>
      </c>
      <c r="L191">
        <v>1.3768731970241119</v>
      </c>
      <c r="M191">
        <v>-0.82183254149093576</v>
      </c>
      <c r="N191">
        <v>-0.38442475499330619</v>
      </c>
      <c r="O191">
        <v>-0.1101505834897363</v>
      </c>
    </row>
    <row r="192" spans="1:15" x14ac:dyDescent="0.25">
      <c r="A192">
        <v>272.75290675000002</v>
      </c>
      <c r="B192">
        <v>35.508162749999997</v>
      </c>
      <c r="C192">
        <v>2.2587065000000002</v>
      </c>
      <c r="D192">
        <v>219.83464075000001</v>
      </c>
      <c r="E192">
        <v>248.62432100000001</v>
      </c>
      <c r="F192">
        <v>6.7748977500000001</v>
      </c>
      <c r="G192">
        <v>313.03324900000001</v>
      </c>
      <c r="H192">
        <v>-12</v>
      </c>
      <c r="I192">
        <v>-20</v>
      </c>
      <c r="J192">
        <v>1.17</v>
      </c>
      <c r="K192">
        <v>22.880507250000001</v>
      </c>
      <c r="L192">
        <v>1.1773904874652359</v>
      </c>
      <c r="M192">
        <v>-0.80231849861986826</v>
      </c>
      <c r="N192">
        <v>-0.28035673232695407</v>
      </c>
      <c r="O192">
        <v>5.2706621241141373E-2</v>
      </c>
    </row>
    <row r="193" spans="1:15" x14ac:dyDescent="0.25">
      <c r="A193">
        <v>247.24297350000001</v>
      </c>
      <c r="B193">
        <v>50.664091249999998</v>
      </c>
      <c r="C193">
        <v>44.27049925</v>
      </c>
      <c r="D193">
        <v>223.82206725</v>
      </c>
      <c r="E193">
        <v>257.56759649999998</v>
      </c>
      <c r="F193">
        <v>6.3849749999999998</v>
      </c>
      <c r="G193">
        <v>299.8634035</v>
      </c>
      <c r="H193">
        <v>-12</v>
      </c>
      <c r="I193">
        <v>-16</v>
      </c>
      <c r="J193">
        <v>1.17</v>
      </c>
      <c r="K193">
        <v>22.398034249999998</v>
      </c>
      <c r="L193">
        <v>0.96607961765661166</v>
      </c>
      <c r="M193">
        <v>-0.82417130992033993</v>
      </c>
      <c r="N193">
        <v>-0.2013129563040798</v>
      </c>
      <c r="O193">
        <v>0.19553759684786831</v>
      </c>
    </row>
    <row r="194" spans="1:15" x14ac:dyDescent="0.25">
      <c r="A194">
        <v>222.95210274999999</v>
      </c>
      <c r="B194">
        <v>64.039802750000007</v>
      </c>
      <c r="C194">
        <v>83.797720249999998</v>
      </c>
      <c r="D194">
        <v>227.37132650000001</v>
      </c>
      <c r="E194">
        <v>264.31986225000003</v>
      </c>
      <c r="F194">
        <v>6.2874947499999996</v>
      </c>
      <c r="G194">
        <v>290.93676775</v>
      </c>
      <c r="H194">
        <v>-12</v>
      </c>
      <c r="I194">
        <v>-12</v>
      </c>
      <c r="J194">
        <v>1.17</v>
      </c>
      <c r="K194">
        <v>22.058556750000001</v>
      </c>
      <c r="L194">
        <v>0.73089066047187723</v>
      </c>
      <c r="M194">
        <v>-0.85781807615308248</v>
      </c>
      <c r="N194">
        <v>-0.13982320380754601</v>
      </c>
      <c r="O194">
        <v>0.35523281425955122</v>
      </c>
    </row>
    <row r="195" spans="1:15" x14ac:dyDescent="0.25">
      <c r="A195">
        <v>198.70639449999999</v>
      </c>
      <c r="B195">
        <v>69.130256750000001</v>
      </c>
      <c r="C195">
        <v>111.8507595</v>
      </c>
      <c r="D195">
        <v>230.00040075000001</v>
      </c>
      <c r="E195">
        <v>267.31586449999998</v>
      </c>
      <c r="F195">
        <v>5.8975722499999996</v>
      </c>
      <c r="G195">
        <v>285.73287225000001</v>
      </c>
      <c r="H195">
        <v>-12</v>
      </c>
      <c r="I195">
        <v>-8</v>
      </c>
      <c r="J195">
        <v>1.17</v>
      </c>
      <c r="K195">
        <v>21.871234000000001</v>
      </c>
      <c r="L195">
        <v>0.49119067341865419</v>
      </c>
      <c r="M195">
        <v>-0.90979490134253804</v>
      </c>
      <c r="N195">
        <v>-0.1041878093019246</v>
      </c>
      <c r="O195">
        <v>0.47840548376229208</v>
      </c>
    </row>
    <row r="196" spans="1:15" x14ac:dyDescent="0.25">
      <c r="A196">
        <v>171.97742825</v>
      </c>
      <c r="B196">
        <v>68.076654500000004</v>
      </c>
      <c r="C196">
        <v>134.97983149999999</v>
      </c>
      <c r="D196">
        <v>228.291504</v>
      </c>
      <c r="E196">
        <v>265.57186124999998</v>
      </c>
      <c r="F196">
        <v>5.5563902499999998</v>
      </c>
      <c r="G196">
        <v>278.80770875000002</v>
      </c>
      <c r="H196">
        <v>-12</v>
      </c>
      <c r="I196">
        <v>-4</v>
      </c>
      <c r="J196">
        <v>1.17</v>
      </c>
      <c r="K196">
        <v>21.612408250000001</v>
      </c>
      <c r="L196">
        <v>0.2255356279555199</v>
      </c>
      <c r="M196">
        <v>-0.97668076030763129</v>
      </c>
      <c r="N196">
        <v>-8.0701138147198898E-2</v>
      </c>
      <c r="O196">
        <v>0.58505845629251452</v>
      </c>
    </row>
    <row r="197" spans="1:15" x14ac:dyDescent="0.25">
      <c r="A197">
        <v>146.91902150000001</v>
      </c>
      <c r="B197">
        <v>67.884252750000002</v>
      </c>
      <c r="C197">
        <v>155.66950224999999</v>
      </c>
      <c r="D197">
        <v>225.75006475000001</v>
      </c>
      <c r="E197">
        <v>263.82792649999999</v>
      </c>
      <c r="F197">
        <v>5.6538709999999996</v>
      </c>
      <c r="G197">
        <v>275.08495325000001</v>
      </c>
      <c r="H197">
        <v>-12</v>
      </c>
      <c r="I197">
        <v>0</v>
      </c>
      <c r="J197">
        <v>1.17</v>
      </c>
      <c r="K197">
        <v>21.460798499999999</v>
      </c>
      <c r="L197">
        <v>-5.5955922615339271E-2</v>
      </c>
      <c r="M197">
        <v>-1.0091967238300821</v>
      </c>
      <c r="N197">
        <v>-7.1968445405991316E-2</v>
      </c>
      <c r="O197">
        <v>0.65046518127138964</v>
      </c>
    </row>
    <row r="198" spans="1:15" x14ac:dyDescent="0.25">
      <c r="A198">
        <v>122.041214</v>
      </c>
      <c r="B198">
        <v>71.140863249999995</v>
      </c>
      <c r="C198">
        <v>176.35918824999999</v>
      </c>
      <c r="D198">
        <v>222.2884445</v>
      </c>
      <c r="E198">
        <v>259.40100100000001</v>
      </c>
      <c r="F198">
        <v>5.2152077500000003</v>
      </c>
      <c r="G198">
        <v>272.28284450000001</v>
      </c>
      <c r="H198">
        <v>-12</v>
      </c>
      <c r="I198">
        <v>4</v>
      </c>
      <c r="J198">
        <v>1.17</v>
      </c>
      <c r="K198">
        <v>21.366458000000002</v>
      </c>
      <c r="L198">
        <v>-0.33361119176123771</v>
      </c>
      <c r="M198">
        <v>-0.92835819377089157</v>
      </c>
      <c r="N198">
        <v>-7.915546430563325E-2</v>
      </c>
      <c r="O198">
        <v>0.56127119315820151</v>
      </c>
    </row>
    <row r="199" spans="1:15" x14ac:dyDescent="0.25">
      <c r="A199">
        <v>95.583151000000001</v>
      </c>
      <c r="B199">
        <v>76.095225999999997</v>
      </c>
      <c r="C199">
        <v>193.8866845</v>
      </c>
      <c r="D199">
        <v>213.87540050000001</v>
      </c>
      <c r="E199">
        <v>251.21782675</v>
      </c>
      <c r="F199">
        <v>5.4101695000000003</v>
      </c>
      <c r="G199">
        <v>267.99964925</v>
      </c>
      <c r="H199">
        <v>-12</v>
      </c>
      <c r="I199">
        <v>8</v>
      </c>
      <c r="J199">
        <v>1.17</v>
      </c>
      <c r="K199">
        <v>21.186572999999999</v>
      </c>
      <c r="L199">
        <v>-0.59441638513661865</v>
      </c>
      <c r="M199">
        <v>-0.83312808003036243</v>
      </c>
      <c r="N199">
        <v>-0.1014778814100971</v>
      </c>
      <c r="O199">
        <v>0.48634729221141332</v>
      </c>
    </row>
    <row r="200" spans="1:15" x14ac:dyDescent="0.25">
      <c r="A200">
        <v>68.854181249999996</v>
      </c>
      <c r="B200">
        <v>73.796794750000004</v>
      </c>
      <c r="C200">
        <v>210.28483975</v>
      </c>
      <c r="D200">
        <v>206.20725625</v>
      </c>
      <c r="E200">
        <v>241.91677100000001</v>
      </c>
      <c r="F200">
        <v>5.1664675000000004</v>
      </c>
      <c r="G200">
        <v>266.43848424999999</v>
      </c>
      <c r="H200">
        <v>-12</v>
      </c>
      <c r="I200">
        <v>12</v>
      </c>
      <c r="J200">
        <v>1.17</v>
      </c>
      <c r="K200">
        <v>21.133355999999999</v>
      </c>
      <c r="L200">
        <v>-0.82905970706482057</v>
      </c>
      <c r="M200">
        <v>-0.77617924060547561</v>
      </c>
      <c r="N200">
        <v>-0.14374962085299739</v>
      </c>
      <c r="O200">
        <v>0.38782851078762193</v>
      </c>
    </row>
    <row r="201" spans="1:15" x14ac:dyDescent="0.25">
      <c r="A201">
        <v>39.997919000000003</v>
      </c>
      <c r="B201">
        <v>61.669331499999998</v>
      </c>
      <c r="C201">
        <v>222.39146074999999</v>
      </c>
      <c r="D201">
        <v>192.97423950000001</v>
      </c>
      <c r="E201">
        <v>223.85126099999999</v>
      </c>
      <c r="F201">
        <v>5.1664672500000002</v>
      </c>
      <c r="G201">
        <v>262.9558945</v>
      </c>
      <c r="H201">
        <v>-12</v>
      </c>
      <c r="I201">
        <v>16</v>
      </c>
      <c r="J201">
        <v>1.17</v>
      </c>
      <c r="K201">
        <v>20.992035749999999</v>
      </c>
      <c r="L201">
        <v>-1.054182877696368</v>
      </c>
      <c r="M201">
        <v>-0.75891171163222249</v>
      </c>
      <c r="N201">
        <v>-0.226016933640909</v>
      </c>
      <c r="O201">
        <v>0.26394677834551189</v>
      </c>
    </row>
    <row r="202" spans="1:15" x14ac:dyDescent="0.25">
      <c r="A202">
        <v>8.7121934999999997</v>
      </c>
      <c r="B202">
        <v>42.475811999999998</v>
      </c>
      <c r="C202">
        <v>232.78147475</v>
      </c>
      <c r="D202">
        <v>178.864857</v>
      </c>
      <c r="E202">
        <v>201.26938625</v>
      </c>
      <c r="F202">
        <v>5.2639480000000001</v>
      </c>
      <c r="G202">
        <v>260.56388850000002</v>
      </c>
      <c r="H202">
        <v>-12</v>
      </c>
      <c r="I202">
        <v>20</v>
      </c>
      <c r="J202">
        <v>1.17</v>
      </c>
      <c r="K202">
        <v>20.890432000000001</v>
      </c>
      <c r="L202">
        <v>-1.275476271426693</v>
      </c>
      <c r="M202">
        <v>-0.77636750064406068</v>
      </c>
      <c r="N202">
        <v>-0.33752446220014543</v>
      </c>
      <c r="O202">
        <v>0.1157244384337278</v>
      </c>
    </row>
    <row r="203" spans="1:15" x14ac:dyDescent="0.25">
      <c r="A203">
        <v>-29.19616225</v>
      </c>
      <c r="B203">
        <v>13.8059165</v>
      </c>
      <c r="C203">
        <v>240.4158745</v>
      </c>
      <c r="D203">
        <v>164.00016425000001</v>
      </c>
      <c r="E203">
        <v>172.60604875000001</v>
      </c>
      <c r="F203">
        <v>5.3126885000000001</v>
      </c>
      <c r="G203">
        <v>259.46812475000002</v>
      </c>
      <c r="H203">
        <v>-12</v>
      </c>
      <c r="I203">
        <v>24</v>
      </c>
      <c r="J203">
        <v>1.17</v>
      </c>
      <c r="K203">
        <v>20.843552750000001</v>
      </c>
      <c r="L203">
        <v>-1.4953483893556041</v>
      </c>
      <c r="M203">
        <v>-0.83301790246457541</v>
      </c>
      <c r="N203">
        <v>-0.48176589148202698</v>
      </c>
      <c r="O203">
        <v>-7.2142177821898926E-2</v>
      </c>
    </row>
    <row r="204" spans="1:15" x14ac:dyDescent="0.25">
      <c r="A204">
        <v>-73.440965750000004</v>
      </c>
      <c r="B204">
        <v>-19.575855499999999</v>
      </c>
      <c r="C204">
        <v>242.80755224999999</v>
      </c>
      <c r="D204">
        <v>143.17882175</v>
      </c>
      <c r="E204">
        <v>134.19448075</v>
      </c>
      <c r="F204">
        <v>5.1177267500000001</v>
      </c>
      <c r="G204">
        <v>255.82607275000001</v>
      </c>
      <c r="H204">
        <v>-12</v>
      </c>
      <c r="I204">
        <v>28</v>
      </c>
      <c r="J204">
        <v>1.17</v>
      </c>
      <c r="K204">
        <v>20.701721249999999</v>
      </c>
      <c r="L204">
        <v>-1.7501032712839399</v>
      </c>
      <c r="M204">
        <v>-0.90067462605903081</v>
      </c>
      <c r="N204">
        <v>-0.67310451112278546</v>
      </c>
      <c r="O204">
        <v>-0.28569432892754171</v>
      </c>
    </row>
    <row r="205" spans="1:15" x14ac:dyDescent="0.25">
      <c r="A205">
        <v>-116.19892125</v>
      </c>
      <c r="B205">
        <v>-54.841185750000001</v>
      </c>
      <c r="C205">
        <v>245.00753025</v>
      </c>
      <c r="D205">
        <v>121.08970825</v>
      </c>
      <c r="E205">
        <v>90.953535000000002</v>
      </c>
      <c r="F205">
        <v>4.9227652499999994</v>
      </c>
      <c r="G205">
        <v>254.31994599999999</v>
      </c>
      <c r="H205">
        <v>-12</v>
      </c>
      <c r="I205">
        <v>32</v>
      </c>
      <c r="J205">
        <v>1.17</v>
      </c>
      <c r="K205">
        <v>20.647517000000001</v>
      </c>
      <c r="L205">
        <v>-2.046831920950706</v>
      </c>
      <c r="M205">
        <v>-0.99692201318361728</v>
      </c>
      <c r="N205">
        <v>-0.92574481406827913</v>
      </c>
      <c r="O205">
        <v>-0.51249962393478132</v>
      </c>
    </row>
    <row r="206" spans="1:15" x14ac:dyDescent="0.25">
      <c r="A206">
        <v>-155.93814825000001</v>
      </c>
      <c r="B206">
        <v>-88.667110499999993</v>
      </c>
      <c r="C206">
        <v>246.37559899999999</v>
      </c>
      <c r="D206">
        <v>97.557731750000002</v>
      </c>
      <c r="E206">
        <v>43.956387499999998</v>
      </c>
      <c r="F206">
        <v>4.8740249999999996</v>
      </c>
      <c r="G206">
        <v>253.61006175</v>
      </c>
      <c r="H206">
        <v>-12</v>
      </c>
      <c r="I206">
        <v>36</v>
      </c>
      <c r="J206">
        <v>1.17</v>
      </c>
      <c r="K206">
        <v>20.620131000000001</v>
      </c>
      <c r="L206">
        <v>-2.4198505502066729</v>
      </c>
      <c r="M206">
        <v>-1.120108198892567</v>
      </c>
      <c r="N206">
        <v>-1.2610623435886941</v>
      </c>
      <c r="O206">
        <v>-0.76495186902694789</v>
      </c>
    </row>
    <row r="207" spans="1:15" x14ac:dyDescent="0.25">
      <c r="A207">
        <v>-186.981594</v>
      </c>
      <c r="B207">
        <v>-121.00565125</v>
      </c>
      <c r="C207">
        <v>241.52706125</v>
      </c>
      <c r="D207">
        <v>70.226747750000001</v>
      </c>
      <c r="E207">
        <v>-9.8593307499999998</v>
      </c>
      <c r="F207">
        <v>4.8740249999999996</v>
      </c>
      <c r="G207">
        <v>249.76810424999999</v>
      </c>
      <c r="H207">
        <v>-12</v>
      </c>
      <c r="I207">
        <v>40</v>
      </c>
      <c r="J207">
        <v>1.17</v>
      </c>
      <c r="K207">
        <v>20.46026225</v>
      </c>
      <c r="L207">
        <v>-2.9729968653089012</v>
      </c>
      <c r="M207">
        <v>-1.326769987430152</v>
      </c>
      <c r="N207">
        <v>-1.8012980269223471</v>
      </c>
      <c r="O207">
        <v>-1.1022169627577401</v>
      </c>
    </row>
    <row r="208" spans="1:15" x14ac:dyDescent="0.25">
      <c r="A208">
        <v>-244.81720725</v>
      </c>
      <c r="B208">
        <v>-172.0084305</v>
      </c>
      <c r="C208">
        <v>263.79198450000001</v>
      </c>
      <c r="D208">
        <v>46.882158250000003</v>
      </c>
      <c r="E208">
        <v>-72.004358499999995</v>
      </c>
      <c r="F208">
        <v>5.7026112499999986</v>
      </c>
      <c r="G208">
        <v>276.86199199999999</v>
      </c>
      <c r="H208">
        <v>-12</v>
      </c>
      <c r="I208">
        <v>44</v>
      </c>
      <c r="J208">
        <v>1.17</v>
      </c>
      <c r="K208">
        <v>21.529449499999998</v>
      </c>
      <c r="L208">
        <v>-3.7289646116801651</v>
      </c>
      <c r="M208">
        <v>-1.604746241126749</v>
      </c>
      <c r="N208">
        <v>-2.5577863407174521</v>
      </c>
      <c r="O208">
        <v>-1.5697701645753881</v>
      </c>
    </row>
    <row r="209" spans="1:15" x14ac:dyDescent="0.25">
      <c r="A209">
        <v>296.78533175000001</v>
      </c>
      <c r="B209">
        <v>-174.8872375</v>
      </c>
      <c r="C209">
        <v>-293.84603874999999</v>
      </c>
      <c r="D209">
        <v>27.517675499999999</v>
      </c>
      <c r="E209">
        <v>-16.685022249999999</v>
      </c>
      <c r="F209">
        <v>6.2874947499999996</v>
      </c>
      <c r="G209">
        <v>309.23860150000002</v>
      </c>
      <c r="H209">
        <v>-8</v>
      </c>
      <c r="I209">
        <v>-44</v>
      </c>
      <c r="J209">
        <v>1.17</v>
      </c>
      <c r="K209">
        <v>22.756641250000001</v>
      </c>
      <c r="L209">
        <v>2.7133011171178492</v>
      </c>
      <c r="M209">
        <v>-0.92982666821690907</v>
      </c>
      <c r="N209">
        <v>-1.497267855357783</v>
      </c>
      <c r="O209">
        <v>-1.1055445931424259</v>
      </c>
    </row>
    <row r="210" spans="1:15" x14ac:dyDescent="0.25">
      <c r="A210">
        <v>290.24023449999999</v>
      </c>
      <c r="B210">
        <v>-122.63696849999999</v>
      </c>
      <c r="C210">
        <v>-241.61677549999999</v>
      </c>
      <c r="D210">
        <v>60.946883249999999</v>
      </c>
      <c r="E210">
        <v>40.5132075</v>
      </c>
      <c r="F210">
        <v>6.2874947499999996</v>
      </c>
      <c r="G210">
        <v>296.7922135</v>
      </c>
      <c r="H210">
        <v>-8</v>
      </c>
      <c r="I210">
        <v>-40</v>
      </c>
      <c r="J210">
        <v>1.17</v>
      </c>
      <c r="K210">
        <v>22.284279999999999</v>
      </c>
      <c r="L210">
        <v>2.3888773627233539</v>
      </c>
      <c r="M210">
        <v>-0.82456621141391273</v>
      </c>
      <c r="N210">
        <v>-1.151103367027219</v>
      </c>
      <c r="O210">
        <v>-0.84625700942285342</v>
      </c>
    </row>
    <row r="211" spans="1:15" x14ac:dyDescent="0.25">
      <c r="A211">
        <v>285.33881350000001</v>
      </c>
      <c r="B211">
        <v>-74.369060500000003</v>
      </c>
      <c r="C211">
        <v>-189.07177325000001</v>
      </c>
      <c r="D211">
        <v>92.718778999999998</v>
      </c>
      <c r="E211">
        <v>93.770675249999996</v>
      </c>
      <c r="F211">
        <v>6.1412737499999999</v>
      </c>
      <c r="G211">
        <v>290.42895499999997</v>
      </c>
      <c r="H211">
        <v>-8</v>
      </c>
      <c r="I211">
        <v>-36</v>
      </c>
      <c r="J211">
        <v>1.17</v>
      </c>
      <c r="K211">
        <v>22.044540000000001</v>
      </c>
      <c r="L211">
        <v>2.1039392051292038</v>
      </c>
      <c r="M211">
        <v>-0.740972063576113</v>
      </c>
      <c r="N211">
        <v>-0.87215592163654909</v>
      </c>
      <c r="O211">
        <v>-0.6113859436482495</v>
      </c>
    </row>
    <row r="212" spans="1:15" x14ac:dyDescent="0.25">
      <c r="A212">
        <v>276.53631575000003</v>
      </c>
      <c r="B212">
        <v>-31.42692525</v>
      </c>
      <c r="C212">
        <v>-136.54449825</v>
      </c>
      <c r="D212">
        <v>118.13318825</v>
      </c>
      <c r="E212">
        <v>136.43032074999999</v>
      </c>
      <c r="F212">
        <v>5.80009175</v>
      </c>
      <c r="G212">
        <v>283.18523399999998</v>
      </c>
      <c r="H212">
        <v>-8</v>
      </c>
      <c r="I212">
        <v>-32</v>
      </c>
      <c r="J212">
        <v>1.17</v>
      </c>
      <c r="K212">
        <v>21.775273500000001</v>
      </c>
      <c r="L212">
        <v>1.874150341132425</v>
      </c>
      <c r="M212">
        <v>-0.6785523472191981</v>
      </c>
      <c r="N212">
        <v>-0.66588657264366091</v>
      </c>
      <c r="O212">
        <v>-0.40734643446355367</v>
      </c>
    </row>
    <row r="213" spans="1:15" x14ac:dyDescent="0.25">
      <c r="A213">
        <v>266.47701274999997</v>
      </c>
      <c r="B213">
        <v>4.8114129999999999</v>
      </c>
      <c r="C213">
        <v>-87.787616749999998</v>
      </c>
      <c r="D213">
        <v>139.42871099999999</v>
      </c>
      <c r="E213">
        <v>173.00849149999999</v>
      </c>
      <c r="F213">
        <v>5.7026112500000004</v>
      </c>
      <c r="G213">
        <v>277.73469549999999</v>
      </c>
      <c r="H213">
        <v>-8</v>
      </c>
      <c r="I213">
        <v>-28</v>
      </c>
      <c r="J213">
        <v>1.17</v>
      </c>
      <c r="K213">
        <v>21.564138750000001</v>
      </c>
      <c r="L213">
        <v>1.6516122866890559</v>
      </c>
      <c r="M213">
        <v>-0.62760637843930456</v>
      </c>
      <c r="N213">
        <v>-0.48825038880087251</v>
      </c>
      <c r="O213">
        <v>-0.22000648067612771</v>
      </c>
    </row>
    <row r="214" spans="1:15" x14ac:dyDescent="0.25">
      <c r="A214">
        <v>255.02046974999999</v>
      </c>
      <c r="B214">
        <v>34.930816749999998</v>
      </c>
      <c r="C214">
        <v>-41.773575000000001</v>
      </c>
      <c r="D214">
        <v>155.641346</v>
      </c>
      <c r="E214">
        <v>200.19618975</v>
      </c>
      <c r="F214">
        <v>5.6538709999999996</v>
      </c>
      <c r="G214">
        <v>272.94751000000002</v>
      </c>
      <c r="H214">
        <v>-8</v>
      </c>
      <c r="I214">
        <v>-24</v>
      </c>
      <c r="J214">
        <v>1.17</v>
      </c>
      <c r="K214">
        <v>21.375498749999998</v>
      </c>
      <c r="L214">
        <v>1.457601270541157</v>
      </c>
      <c r="M214">
        <v>-0.59282450984530477</v>
      </c>
      <c r="N214">
        <v>-0.35729545166179683</v>
      </c>
      <c r="O214">
        <v>-4.4564792061797628E-2</v>
      </c>
    </row>
    <row r="215" spans="1:15" x14ac:dyDescent="0.25">
      <c r="A215">
        <v>241.52238075</v>
      </c>
      <c r="B215">
        <v>57.25574125</v>
      </c>
      <c r="C215">
        <v>-2.0751865</v>
      </c>
      <c r="D215">
        <v>167.384556</v>
      </c>
      <c r="E215">
        <v>221.03412625000001</v>
      </c>
      <c r="F215">
        <v>5.3614285000000006</v>
      </c>
      <c r="G215">
        <v>268.11979674999998</v>
      </c>
      <c r="H215">
        <v>-8</v>
      </c>
      <c r="I215">
        <v>-20</v>
      </c>
      <c r="J215">
        <v>1.17</v>
      </c>
      <c r="K215">
        <v>21.193384000000002</v>
      </c>
      <c r="L215">
        <v>1.259273907518383</v>
      </c>
      <c r="M215">
        <v>-0.56930346718890157</v>
      </c>
      <c r="N215">
        <v>-0.24341306768311019</v>
      </c>
      <c r="O215">
        <v>0.1149116078765707</v>
      </c>
    </row>
    <row r="216" spans="1:15" x14ac:dyDescent="0.25">
      <c r="A216">
        <v>227.09108749999999</v>
      </c>
      <c r="B216">
        <v>74.288118249999997</v>
      </c>
      <c r="C216">
        <v>37.042638749999988</v>
      </c>
      <c r="D216">
        <v>178.42667800000001</v>
      </c>
      <c r="E216">
        <v>237.13212200000001</v>
      </c>
      <c r="F216">
        <v>5.4589094999999999</v>
      </c>
      <c r="G216">
        <v>265.87813575000001</v>
      </c>
      <c r="H216">
        <v>-8</v>
      </c>
      <c r="I216">
        <v>-16</v>
      </c>
      <c r="J216">
        <v>1.17</v>
      </c>
      <c r="K216">
        <v>21.0988395</v>
      </c>
      <c r="L216">
        <v>1.047287753612002</v>
      </c>
      <c r="M216">
        <v>-0.57387724295909626</v>
      </c>
      <c r="N216">
        <v>-0.15840859589568629</v>
      </c>
      <c r="O216">
        <v>0.2766725247878507</v>
      </c>
    </row>
    <row r="217" spans="1:15" x14ac:dyDescent="0.25">
      <c r="A217">
        <v>208.05254350000001</v>
      </c>
      <c r="B217">
        <v>86.268522499999989</v>
      </c>
      <c r="C217">
        <v>75.124296000000001</v>
      </c>
      <c r="D217">
        <v>186.31391525000001</v>
      </c>
      <c r="E217">
        <v>245.67301175</v>
      </c>
      <c r="F217">
        <v>4.9715055000000001</v>
      </c>
      <c r="G217">
        <v>262.11531050000002</v>
      </c>
      <c r="H217">
        <v>-8</v>
      </c>
      <c r="I217">
        <v>-12</v>
      </c>
      <c r="J217">
        <v>1.17</v>
      </c>
      <c r="K217">
        <v>20.96573175</v>
      </c>
      <c r="L217">
        <v>0.8057582127841022</v>
      </c>
      <c r="M217">
        <v>-0.60642281130146869</v>
      </c>
      <c r="N217">
        <v>-9.9679357008762084E-2</v>
      </c>
      <c r="O217">
        <v>0.45900088113050852</v>
      </c>
    </row>
    <row r="218" spans="1:15" x14ac:dyDescent="0.25">
      <c r="A218">
        <v>188.51056675000001</v>
      </c>
      <c r="B218">
        <v>92.79262525</v>
      </c>
      <c r="C218">
        <v>105.07463850000001</v>
      </c>
      <c r="D218">
        <v>190.47661575000001</v>
      </c>
      <c r="E218">
        <v>250.6812515</v>
      </c>
      <c r="F218">
        <v>5.02024575</v>
      </c>
      <c r="G218">
        <v>258.75280774999999</v>
      </c>
      <c r="H218">
        <v>-8</v>
      </c>
      <c r="I218">
        <v>-8</v>
      </c>
      <c r="J218">
        <v>1.17</v>
      </c>
      <c r="K218">
        <v>20.8262055</v>
      </c>
      <c r="L218">
        <v>0.54984771379121788</v>
      </c>
      <c r="M218">
        <v>-0.64373932733654671</v>
      </c>
      <c r="N218">
        <v>-5.3214329101001732E-2</v>
      </c>
      <c r="O218">
        <v>0.6188995381743474</v>
      </c>
    </row>
    <row r="219" spans="1:15" x14ac:dyDescent="0.25">
      <c r="A219">
        <v>167.10124175000001</v>
      </c>
      <c r="B219">
        <v>95.149730750000003</v>
      </c>
      <c r="C219">
        <v>129.19753675000001</v>
      </c>
      <c r="D219">
        <v>191.7911565</v>
      </c>
      <c r="E219">
        <v>251.9333455</v>
      </c>
      <c r="F219">
        <v>5.2152069999999986</v>
      </c>
      <c r="G219">
        <v>257.03150175000002</v>
      </c>
      <c r="H219">
        <v>-8</v>
      </c>
      <c r="I219">
        <v>-4</v>
      </c>
      <c r="J219">
        <v>1.17</v>
      </c>
      <c r="K219">
        <v>20.747413250000001</v>
      </c>
      <c r="L219">
        <v>0.27118663205539412</v>
      </c>
      <c r="M219">
        <v>-0.69148947407820749</v>
      </c>
      <c r="N219">
        <v>-3.6489505361596897E-2</v>
      </c>
      <c r="O219">
        <v>0.76533759295954962</v>
      </c>
    </row>
    <row r="220" spans="1:15" x14ac:dyDescent="0.25">
      <c r="A220">
        <v>143.39733525</v>
      </c>
      <c r="B220">
        <v>93.767721249999994</v>
      </c>
      <c r="C220">
        <v>148.84821299999999</v>
      </c>
      <c r="D220">
        <v>190.38898075</v>
      </c>
      <c r="E220">
        <v>250.18940749999999</v>
      </c>
      <c r="F220">
        <v>5.0689859999999998</v>
      </c>
      <c r="G220">
        <v>253.82910924999999</v>
      </c>
      <c r="H220">
        <v>-8</v>
      </c>
      <c r="I220">
        <v>0</v>
      </c>
      <c r="J220">
        <v>1.17</v>
      </c>
      <c r="K220">
        <v>20.621129</v>
      </c>
      <c r="L220">
        <v>-4.141821635356268E-2</v>
      </c>
      <c r="M220">
        <v>-0.73415342197729394</v>
      </c>
      <c r="N220">
        <v>-2.7657985232869709E-2</v>
      </c>
      <c r="O220">
        <v>0.86253399007095399</v>
      </c>
    </row>
    <row r="221" spans="1:15" x14ac:dyDescent="0.25">
      <c r="A221">
        <v>120.41584400000001</v>
      </c>
      <c r="B221">
        <v>94.957260250000004</v>
      </c>
      <c r="C221">
        <v>167.82127775000001</v>
      </c>
      <c r="D221">
        <v>188.54862199999999</v>
      </c>
      <c r="E221">
        <v>247.282837</v>
      </c>
      <c r="F221">
        <v>4.7758462499999998</v>
      </c>
      <c r="G221">
        <v>252.10783774999999</v>
      </c>
      <c r="H221">
        <v>-8</v>
      </c>
      <c r="I221">
        <v>4</v>
      </c>
      <c r="J221">
        <v>1.17</v>
      </c>
      <c r="K221">
        <v>20.561851000000001</v>
      </c>
      <c r="L221">
        <v>-0.33958271825224412</v>
      </c>
      <c r="M221">
        <v>-0.67045694438951886</v>
      </c>
      <c r="N221">
        <v>-3.4572209465087107E-2</v>
      </c>
      <c r="O221">
        <v>0.73721362100358911</v>
      </c>
    </row>
    <row r="222" spans="1:15" x14ac:dyDescent="0.25">
      <c r="A222">
        <v>95.71863175</v>
      </c>
      <c r="B222">
        <v>98.516977249999997</v>
      </c>
      <c r="C222">
        <v>187.33643325</v>
      </c>
      <c r="D222">
        <v>183.64101425000001</v>
      </c>
      <c r="E222">
        <v>243.67378249999999</v>
      </c>
      <c r="F222">
        <v>5.0195342500000004</v>
      </c>
      <c r="G222">
        <v>251.74757374999999</v>
      </c>
      <c r="H222">
        <v>-8</v>
      </c>
      <c r="I222">
        <v>8</v>
      </c>
      <c r="J222">
        <v>1.17</v>
      </c>
      <c r="K222">
        <v>20.536730250000002</v>
      </c>
      <c r="L222">
        <v>-0.62514782535658175</v>
      </c>
      <c r="M222">
        <v>-0.58082001987235232</v>
      </c>
      <c r="N222">
        <v>-5.5103584800149222E-2</v>
      </c>
      <c r="O222">
        <v>0.62842862508882458</v>
      </c>
    </row>
    <row r="223" spans="1:15" x14ac:dyDescent="0.25">
      <c r="A223">
        <v>67.499706250000003</v>
      </c>
      <c r="B223">
        <v>91.500166000000007</v>
      </c>
      <c r="C223">
        <v>201.29519625</v>
      </c>
      <c r="D223">
        <v>174.26397324999999</v>
      </c>
      <c r="E223">
        <v>232.95837025</v>
      </c>
      <c r="F223">
        <v>4.8242719999999997</v>
      </c>
      <c r="G223">
        <v>248.104851</v>
      </c>
      <c r="H223">
        <v>-8</v>
      </c>
      <c r="I223">
        <v>12</v>
      </c>
      <c r="J223">
        <v>1.17</v>
      </c>
      <c r="K223">
        <v>20.392748999999998</v>
      </c>
      <c r="L223">
        <v>-0.87188974476544423</v>
      </c>
      <c r="M223">
        <v>-0.53932938945192743</v>
      </c>
      <c r="N223">
        <v>-9.8725533181293415E-2</v>
      </c>
      <c r="O223">
        <v>0.48663866245097098</v>
      </c>
    </row>
    <row r="224" spans="1:15" x14ac:dyDescent="0.25">
      <c r="A224">
        <v>42.305847999999997</v>
      </c>
      <c r="B224">
        <v>87.705863999999991</v>
      </c>
      <c r="C224">
        <v>233.549408</v>
      </c>
      <c r="D224">
        <v>178.60195150000001</v>
      </c>
      <c r="E224">
        <v>239.66558474999999</v>
      </c>
      <c r="F224">
        <v>5.3111949999999997</v>
      </c>
      <c r="G224">
        <v>270.52152999999998</v>
      </c>
      <c r="H224">
        <v>-8</v>
      </c>
      <c r="I224">
        <v>16</v>
      </c>
      <c r="J224">
        <v>1.17</v>
      </c>
      <c r="K224">
        <v>21.291962000000002</v>
      </c>
      <c r="L224">
        <v>-1.0949594055172951</v>
      </c>
      <c r="M224">
        <v>-0.52043536337882812</v>
      </c>
      <c r="N224">
        <v>-0.17669036544726521</v>
      </c>
      <c r="O224">
        <v>0.34178517096879668</v>
      </c>
    </row>
    <row r="225" spans="1:15" x14ac:dyDescent="0.25">
      <c r="A225">
        <v>4.2893080000000001</v>
      </c>
      <c r="B225">
        <v>76.196729750000003</v>
      </c>
      <c r="C225">
        <v>275.01911174999998</v>
      </c>
      <c r="D225">
        <v>182.28266149999999</v>
      </c>
      <c r="E225">
        <v>242.27205275</v>
      </c>
      <c r="F225">
        <v>6.3836312500000014</v>
      </c>
      <c r="G225">
        <v>301.34449775000002</v>
      </c>
      <c r="H225">
        <v>-8</v>
      </c>
      <c r="I225">
        <v>20</v>
      </c>
      <c r="J225">
        <v>1.17</v>
      </c>
      <c r="K225">
        <v>22.454509250000001</v>
      </c>
      <c r="L225">
        <v>-1.340022485787338</v>
      </c>
      <c r="M225">
        <v>-0.52511026051073084</v>
      </c>
      <c r="N225">
        <v>-0.29238788336475757</v>
      </c>
      <c r="O225">
        <v>0.1676093038610581</v>
      </c>
    </row>
    <row r="226" spans="1:15" x14ac:dyDescent="0.25">
      <c r="A226">
        <v>-43.656162250000001</v>
      </c>
      <c r="B226">
        <v>46.526277499999999</v>
      </c>
      <c r="C226">
        <v>283.7376865</v>
      </c>
      <c r="D226">
        <v>161.03095625</v>
      </c>
      <c r="E226">
        <v>208.36998750000001</v>
      </c>
      <c r="F226">
        <v>6.4319057500000003</v>
      </c>
      <c r="G226">
        <v>300.74404900000002</v>
      </c>
      <c r="H226">
        <v>-8</v>
      </c>
      <c r="I226">
        <v>24</v>
      </c>
      <c r="J226">
        <v>1.17</v>
      </c>
      <c r="K226">
        <v>22.429835000000001</v>
      </c>
      <c r="L226">
        <v>-1.5821184277184279</v>
      </c>
      <c r="M226">
        <v>-0.55333106719937608</v>
      </c>
      <c r="N226">
        <v>-0.44639130692982049</v>
      </c>
      <c r="O226">
        <v>-2.4137386402395239E-2</v>
      </c>
    </row>
    <row r="227" spans="1:15" x14ac:dyDescent="0.25">
      <c r="A227">
        <v>-84.795017000000001</v>
      </c>
      <c r="B227">
        <v>12.5096355</v>
      </c>
      <c r="C227">
        <v>280.80136874999999</v>
      </c>
      <c r="D227">
        <v>135.52891149999999</v>
      </c>
      <c r="E227">
        <v>160.17800124999999</v>
      </c>
      <c r="F227">
        <v>6.1882727500000003</v>
      </c>
      <c r="G227">
        <v>289.09539050000001</v>
      </c>
      <c r="H227">
        <v>-8</v>
      </c>
      <c r="I227">
        <v>28</v>
      </c>
      <c r="J227">
        <v>1.17</v>
      </c>
      <c r="K227">
        <v>21.99094925</v>
      </c>
      <c r="L227">
        <v>-1.8622443304542611</v>
      </c>
      <c r="M227">
        <v>-0.62661272899971521</v>
      </c>
      <c r="N227">
        <v>-0.65666574837662539</v>
      </c>
      <c r="O227">
        <v>-0.21561494015546501</v>
      </c>
    </row>
    <row r="228" spans="1:15" x14ac:dyDescent="0.25">
      <c r="A228">
        <v>-125.525465</v>
      </c>
      <c r="B228">
        <v>-20.481770999999998</v>
      </c>
      <c r="C228">
        <v>275.06427774999997</v>
      </c>
      <c r="D228">
        <v>107.4416085</v>
      </c>
      <c r="E228">
        <v>109.2590215</v>
      </c>
      <c r="F228">
        <v>5.8959134999999998</v>
      </c>
      <c r="G228">
        <v>280.76918024999998</v>
      </c>
      <c r="H228">
        <v>-8</v>
      </c>
      <c r="I228">
        <v>32</v>
      </c>
      <c r="J228">
        <v>1.17</v>
      </c>
      <c r="K228">
        <v>21.676448499999999</v>
      </c>
      <c r="L228">
        <v>-2.1978722102891761</v>
      </c>
      <c r="M228">
        <v>-0.70184103065396797</v>
      </c>
      <c r="N228">
        <v>-0.94100025313750135</v>
      </c>
      <c r="O228">
        <v>-0.43288141383359008</v>
      </c>
    </row>
    <row r="229" spans="1:15" x14ac:dyDescent="0.25">
      <c r="A229">
        <v>-165.30973424999999</v>
      </c>
      <c r="B229">
        <v>-55.553242500000003</v>
      </c>
      <c r="C229">
        <v>269.59823625000001</v>
      </c>
      <c r="D229">
        <v>76.944321000000002</v>
      </c>
      <c r="E229">
        <v>52.036626750000003</v>
      </c>
      <c r="F229">
        <v>5.5061014999999998</v>
      </c>
      <c r="G229">
        <v>273.20353699999998</v>
      </c>
      <c r="H229">
        <v>-8</v>
      </c>
      <c r="I229">
        <v>36</v>
      </c>
      <c r="J229">
        <v>1.17</v>
      </c>
      <c r="K229">
        <v>21.391641</v>
      </c>
      <c r="L229">
        <v>-2.6769038036944188</v>
      </c>
      <c r="M229">
        <v>-0.81553500968641346</v>
      </c>
      <c r="N229">
        <v>-1.3613057331444569</v>
      </c>
      <c r="O229">
        <v>-0.7136101272807136</v>
      </c>
    </row>
    <row r="230" spans="1:15" x14ac:dyDescent="0.25">
      <c r="A230">
        <v>-202.03021974999999</v>
      </c>
      <c r="B230">
        <v>-89.386812249999991</v>
      </c>
      <c r="C230">
        <v>264.40323649999999</v>
      </c>
      <c r="D230">
        <v>45.395397000000003</v>
      </c>
      <c r="E230">
        <v>-7.4948750000000004</v>
      </c>
      <c r="F230">
        <v>5.3599220000000001</v>
      </c>
      <c r="G230">
        <v>268.96036525</v>
      </c>
      <c r="H230">
        <v>-8</v>
      </c>
      <c r="I230">
        <v>40</v>
      </c>
      <c r="J230">
        <v>1.17</v>
      </c>
      <c r="K230">
        <v>21.227318</v>
      </c>
      <c r="L230">
        <v>-3.374891572973433</v>
      </c>
      <c r="M230">
        <v>-0.97519530892942874</v>
      </c>
      <c r="N230">
        <v>-2.0003230621254868</v>
      </c>
      <c r="O230">
        <v>-1.0930439476699421</v>
      </c>
    </row>
    <row r="231" spans="1:15" x14ac:dyDescent="0.25">
      <c r="A231">
        <v>-230.46044900000001</v>
      </c>
      <c r="B231">
        <v>-119.597582</v>
      </c>
      <c r="C231">
        <v>255.14255925000001</v>
      </c>
      <c r="D231">
        <v>14.591381500000001</v>
      </c>
      <c r="E231">
        <v>-65.758621000000005</v>
      </c>
      <c r="F231">
        <v>5.3599214999999996</v>
      </c>
      <c r="G231">
        <v>262.87583174999997</v>
      </c>
      <c r="H231">
        <v>-8</v>
      </c>
      <c r="I231">
        <v>44</v>
      </c>
      <c r="J231">
        <v>1.17</v>
      </c>
      <c r="K231">
        <v>20.980895749999998</v>
      </c>
      <c r="L231">
        <v>-4.4443462856642402</v>
      </c>
      <c r="M231">
        <v>-1.228109366831333</v>
      </c>
      <c r="N231">
        <v>-3.0078212523740628</v>
      </c>
      <c r="O231">
        <v>-1.650966934879796</v>
      </c>
    </row>
    <row r="232" spans="1:15" x14ac:dyDescent="0.25">
      <c r="A232">
        <v>252.16436775</v>
      </c>
      <c r="B232">
        <v>-103.06112275</v>
      </c>
      <c r="C232">
        <v>-247.00357074999999</v>
      </c>
      <c r="D232">
        <v>-8.7413524999999996</v>
      </c>
      <c r="E232">
        <v>-13.78341775</v>
      </c>
      <c r="F232">
        <v>5.1650159999999996</v>
      </c>
      <c r="G232">
        <v>258.4325255</v>
      </c>
      <c r="H232">
        <v>-4</v>
      </c>
      <c r="I232">
        <v>-44</v>
      </c>
      <c r="J232">
        <v>1.17</v>
      </c>
      <c r="K232">
        <v>20.807110999999999</v>
      </c>
      <c r="L232">
        <v>3.0956636929820092</v>
      </c>
      <c r="M232">
        <v>-0.5849232993999095</v>
      </c>
      <c r="N232">
        <v>-1.688197219853792</v>
      </c>
      <c r="O232">
        <v>-1.1175206794445911</v>
      </c>
    </row>
    <row r="233" spans="1:15" x14ac:dyDescent="0.25">
      <c r="A233">
        <v>252.254673</v>
      </c>
      <c r="B233">
        <v>-63.861431000000003</v>
      </c>
      <c r="C233">
        <v>-206.355133</v>
      </c>
      <c r="D233">
        <v>22.916791</v>
      </c>
      <c r="E233">
        <v>36.48401475</v>
      </c>
      <c r="F233">
        <v>5.0679219999999994</v>
      </c>
      <c r="G233">
        <v>254.78981775</v>
      </c>
      <c r="H233">
        <v>-4</v>
      </c>
      <c r="I233">
        <v>-40</v>
      </c>
      <c r="J233">
        <v>1.17</v>
      </c>
      <c r="K233">
        <v>20.66094725</v>
      </c>
      <c r="L233">
        <v>2.672678165546027</v>
      </c>
      <c r="M233">
        <v>-0.50571949482246414</v>
      </c>
      <c r="N233">
        <v>-1.272250859435317</v>
      </c>
      <c r="O233">
        <v>-0.81690877006288432</v>
      </c>
    </row>
    <row r="234" spans="1:15" x14ac:dyDescent="0.25">
      <c r="A234">
        <v>247.82995199999999</v>
      </c>
      <c r="B234">
        <v>-27.492562</v>
      </c>
      <c r="C234">
        <v>-161.691475</v>
      </c>
      <c r="D234">
        <v>53.019722000000002</v>
      </c>
      <c r="E234">
        <v>82.402007999999995</v>
      </c>
      <c r="F234">
        <v>4.8733332499999999</v>
      </c>
      <c r="G234">
        <v>250.26644899999999</v>
      </c>
      <c r="H234">
        <v>-4</v>
      </c>
      <c r="I234">
        <v>-36</v>
      </c>
      <c r="J234">
        <v>1.17</v>
      </c>
      <c r="K234">
        <v>20.481098500000002</v>
      </c>
      <c r="L234">
        <v>2.3137890790068831</v>
      </c>
      <c r="M234">
        <v>-0.45489205935167099</v>
      </c>
      <c r="N234">
        <v>-0.94845236649846698</v>
      </c>
      <c r="O234">
        <v>-0.56196960323164302</v>
      </c>
    </row>
    <row r="235" spans="1:15" x14ac:dyDescent="0.25">
      <c r="A235">
        <v>244.89517950000001</v>
      </c>
      <c r="B235">
        <v>4.7151575000000001</v>
      </c>
      <c r="C235">
        <v>-119.373783</v>
      </c>
      <c r="D235">
        <v>78.390310499999998</v>
      </c>
      <c r="E235">
        <v>122.783884</v>
      </c>
      <c r="F235">
        <v>4.8736784999999996</v>
      </c>
      <c r="G235">
        <v>248.06479250000001</v>
      </c>
      <c r="H235">
        <v>-4</v>
      </c>
      <c r="I235">
        <v>-32</v>
      </c>
      <c r="J235">
        <v>1.17</v>
      </c>
      <c r="K235">
        <v>20.388998749999999</v>
      </c>
      <c r="L235">
        <v>2.0224658450216859</v>
      </c>
      <c r="M235">
        <v>-0.40905360894464482</v>
      </c>
      <c r="N235">
        <v>-0.69559418281789287</v>
      </c>
      <c r="O235">
        <v>-0.34534805833094662</v>
      </c>
    </row>
    <row r="236" spans="1:15" x14ac:dyDescent="0.25">
      <c r="A236">
        <v>237.79095075000001</v>
      </c>
      <c r="B236">
        <v>32.621313999999998</v>
      </c>
      <c r="C236">
        <v>-77.056089249999999</v>
      </c>
      <c r="D236">
        <v>99.366436249999992</v>
      </c>
      <c r="E236">
        <v>154.69938675</v>
      </c>
      <c r="F236">
        <v>4.6296594999999998</v>
      </c>
      <c r="G236">
        <v>243.66151825</v>
      </c>
      <c r="H236">
        <v>-4</v>
      </c>
      <c r="I236">
        <v>-28</v>
      </c>
      <c r="J236">
        <v>1.17</v>
      </c>
      <c r="K236">
        <v>20.21389125</v>
      </c>
      <c r="L236">
        <v>1.7796339490583739</v>
      </c>
      <c r="M236">
        <v>-0.37728375285152871</v>
      </c>
      <c r="N236">
        <v>-0.50286129154040782</v>
      </c>
      <c r="O236">
        <v>-0.1517446681548435</v>
      </c>
    </row>
    <row r="237" spans="1:15" x14ac:dyDescent="0.25">
      <c r="A237">
        <v>239.38474650000001</v>
      </c>
      <c r="B237">
        <v>59.5170745</v>
      </c>
      <c r="C237">
        <v>-42.362806499999998</v>
      </c>
      <c r="D237">
        <v>120.06116900000001</v>
      </c>
      <c r="E237">
        <v>188.9276505</v>
      </c>
      <c r="F237">
        <v>4.7761984999999996</v>
      </c>
      <c r="G237">
        <v>251.423439</v>
      </c>
      <c r="H237">
        <v>-4</v>
      </c>
      <c r="I237">
        <v>-24</v>
      </c>
      <c r="J237">
        <v>1.17</v>
      </c>
      <c r="K237">
        <v>20.533288750000001</v>
      </c>
      <c r="L237">
        <v>1.562224961904636</v>
      </c>
      <c r="M237">
        <v>-0.33569140198513148</v>
      </c>
      <c r="N237">
        <v>-0.34654016223612261</v>
      </c>
      <c r="O237">
        <v>2.1086282090974909E-2</v>
      </c>
    </row>
    <row r="238" spans="1:15" x14ac:dyDescent="0.25">
      <c r="A238">
        <v>260.57328050000001</v>
      </c>
      <c r="B238">
        <v>89.395906249999996</v>
      </c>
      <c r="C238">
        <v>-10.241061500000001</v>
      </c>
      <c r="D238">
        <v>151.274517</v>
      </c>
      <c r="E238">
        <v>238.63682175</v>
      </c>
      <c r="F238">
        <v>5.7513637500000003</v>
      </c>
      <c r="G238">
        <v>284.05162050000001</v>
      </c>
      <c r="H238">
        <v>-4</v>
      </c>
      <c r="I238">
        <v>-20</v>
      </c>
      <c r="J238">
        <v>1.17</v>
      </c>
      <c r="K238">
        <v>21.811110249999999</v>
      </c>
      <c r="L238">
        <v>1.360497927572939</v>
      </c>
      <c r="M238">
        <v>-0.31086217997516641</v>
      </c>
      <c r="N238">
        <v>-0.22816226704665851</v>
      </c>
      <c r="O238">
        <v>0.16991647913031299</v>
      </c>
    </row>
    <row r="239" spans="1:15" x14ac:dyDescent="0.25">
      <c r="A239">
        <v>271.85932150000002</v>
      </c>
      <c r="B239">
        <v>119.13039575000001</v>
      </c>
      <c r="C239">
        <v>31.3013735</v>
      </c>
      <c r="D239">
        <v>181.67839824999999</v>
      </c>
      <c r="E239">
        <v>282.72486900000001</v>
      </c>
      <c r="F239">
        <v>6.5799487499999998</v>
      </c>
      <c r="G239">
        <v>311.493988</v>
      </c>
      <c r="H239">
        <v>-4</v>
      </c>
      <c r="I239">
        <v>-16</v>
      </c>
      <c r="J239">
        <v>1.17</v>
      </c>
      <c r="K239">
        <v>22.830255000000001</v>
      </c>
      <c r="L239">
        <v>1.1592800330678379</v>
      </c>
      <c r="M239">
        <v>-0.3014372873344357</v>
      </c>
      <c r="N239">
        <v>-0.1386842862216581</v>
      </c>
      <c r="O239">
        <v>0.33077318950589529</v>
      </c>
    </row>
    <row r="240" spans="1:15" x14ac:dyDescent="0.25">
      <c r="A240">
        <v>243.25380675</v>
      </c>
      <c r="B240">
        <v>129.61926299999999</v>
      </c>
      <c r="C240">
        <v>75.797029250000008</v>
      </c>
      <c r="D240">
        <v>187.81166074999999</v>
      </c>
      <c r="E240">
        <v>285.06834400000002</v>
      </c>
      <c r="F240">
        <v>5.8488447499999996</v>
      </c>
      <c r="G240">
        <v>298.76522075000003</v>
      </c>
      <c r="H240">
        <v>-4</v>
      </c>
      <c r="I240">
        <v>-12</v>
      </c>
      <c r="J240">
        <v>1.17</v>
      </c>
      <c r="K240">
        <v>22.376580000000001</v>
      </c>
      <c r="L240">
        <v>0.91830278432211632</v>
      </c>
      <c r="M240">
        <v>-0.31912510519935677</v>
      </c>
      <c r="N240">
        <v>-7.516718140867E-2</v>
      </c>
      <c r="O240">
        <v>0.53121620908852274</v>
      </c>
    </row>
    <row r="241" spans="1:15" x14ac:dyDescent="0.25">
      <c r="A241">
        <v>216.45302950000001</v>
      </c>
      <c r="B241">
        <v>134.76746750000001</v>
      </c>
      <c r="C241">
        <v>112.1522715</v>
      </c>
      <c r="D241">
        <v>189.4446945</v>
      </c>
      <c r="E241">
        <v>284.66589375000001</v>
      </c>
      <c r="F241">
        <v>5.6051425000000004</v>
      </c>
      <c r="G241">
        <v>289.66220099999998</v>
      </c>
      <c r="H241">
        <v>-4</v>
      </c>
      <c r="I241">
        <v>-8</v>
      </c>
      <c r="J241">
        <v>1.17</v>
      </c>
      <c r="K241">
        <v>22.035598</v>
      </c>
      <c r="L241">
        <v>0.64704699655061626</v>
      </c>
      <c r="M241">
        <v>-0.33913003546552561</v>
      </c>
      <c r="N241">
        <v>-3.105997892414428E-2</v>
      </c>
      <c r="O241">
        <v>0.73116685049932229</v>
      </c>
    </row>
    <row r="242" spans="1:15" x14ac:dyDescent="0.25">
      <c r="A242">
        <v>187.20147700000001</v>
      </c>
      <c r="B242">
        <v>132.65044775000001</v>
      </c>
      <c r="C242">
        <v>138.39480950000001</v>
      </c>
      <c r="D242">
        <v>186.23459625000001</v>
      </c>
      <c r="E242">
        <v>277.55596174999999</v>
      </c>
      <c r="F242">
        <v>5.5076617499999996</v>
      </c>
      <c r="G242">
        <v>279.29566949999997</v>
      </c>
      <c r="H242">
        <v>-4</v>
      </c>
      <c r="I242">
        <v>-4</v>
      </c>
      <c r="J242">
        <v>1.17</v>
      </c>
      <c r="K242">
        <v>21.633623</v>
      </c>
      <c r="L242">
        <v>0.34363150680685228</v>
      </c>
      <c r="M242">
        <v>-0.37725978629311102</v>
      </c>
      <c r="N242">
        <v>-1.225355261104677E-2</v>
      </c>
      <c r="O242">
        <v>0.91539784420245462</v>
      </c>
    </row>
    <row r="243" spans="1:15" x14ac:dyDescent="0.25">
      <c r="A243">
        <v>159.31449499999999</v>
      </c>
      <c r="B243">
        <v>132.18978874999999</v>
      </c>
      <c r="C243">
        <v>161.78135275</v>
      </c>
      <c r="D243">
        <v>182.63054274999999</v>
      </c>
      <c r="E243">
        <v>271.87694549999998</v>
      </c>
      <c r="F243">
        <v>5.4101807500000003</v>
      </c>
      <c r="G243">
        <v>273.30019399999998</v>
      </c>
      <c r="H243">
        <v>-4</v>
      </c>
      <c r="I243">
        <v>0</v>
      </c>
      <c r="J243">
        <v>1.17</v>
      </c>
      <c r="K243">
        <v>21.399337500000001</v>
      </c>
      <c r="L243">
        <v>-1.9591228444911561E-2</v>
      </c>
      <c r="M243">
        <v>-0.39990715890133988</v>
      </c>
      <c r="N243">
        <v>-1.135909605379384E-2</v>
      </c>
      <c r="O243">
        <v>1.112809350947825</v>
      </c>
    </row>
    <row r="244" spans="1:15" x14ac:dyDescent="0.25">
      <c r="A244">
        <v>130.81979774999999</v>
      </c>
      <c r="B244">
        <v>129.89889525000001</v>
      </c>
      <c r="C244">
        <v>181.87982174999999</v>
      </c>
      <c r="D244">
        <v>178.55651474999999</v>
      </c>
      <c r="E244">
        <v>266.68981150000002</v>
      </c>
      <c r="F244">
        <v>5.0202584999999997</v>
      </c>
      <c r="G244">
        <v>268.17755125000002</v>
      </c>
      <c r="H244">
        <v>-4</v>
      </c>
      <c r="I244">
        <v>4</v>
      </c>
      <c r="J244">
        <v>1.17</v>
      </c>
      <c r="K244">
        <v>21.209464749999999</v>
      </c>
      <c r="L244">
        <v>-0.3745375917882357</v>
      </c>
      <c r="M244">
        <v>-0.3569013628951529</v>
      </c>
      <c r="N244">
        <v>-1.091832724778128E-2</v>
      </c>
      <c r="O244">
        <v>0.91938588836219637</v>
      </c>
    </row>
    <row r="245" spans="1:15" x14ac:dyDescent="0.25">
      <c r="A245">
        <v>101.5681955</v>
      </c>
      <c r="B245">
        <v>126.95528575</v>
      </c>
      <c r="C245">
        <v>197.17783374999999</v>
      </c>
      <c r="D245">
        <v>171.32839200000001</v>
      </c>
      <c r="E245">
        <v>258.32780450000001</v>
      </c>
      <c r="F245">
        <v>5.1177390000000003</v>
      </c>
      <c r="G245">
        <v>262.81478900000002</v>
      </c>
      <c r="H245">
        <v>-4</v>
      </c>
      <c r="I245">
        <v>8</v>
      </c>
      <c r="J245">
        <v>1.17</v>
      </c>
      <c r="K245">
        <v>20.988274749999999</v>
      </c>
      <c r="L245">
        <v>-0.66365561961594088</v>
      </c>
      <c r="M245">
        <v>-0.30799789242470799</v>
      </c>
      <c r="N245">
        <v>-3.1149372489826209E-2</v>
      </c>
      <c r="O245">
        <v>0.75760530489035305</v>
      </c>
    </row>
    <row r="246" spans="1:15" x14ac:dyDescent="0.25">
      <c r="A246">
        <v>71.04793724999999</v>
      </c>
      <c r="B246">
        <v>119.4506015</v>
      </c>
      <c r="C246">
        <v>211.81036374999999</v>
      </c>
      <c r="D246">
        <v>161.86612299999999</v>
      </c>
      <c r="E246">
        <v>248.66902899999999</v>
      </c>
      <c r="F246">
        <v>5.0689987500000004</v>
      </c>
      <c r="G246">
        <v>259.85327174999998</v>
      </c>
      <c r="H246">
        <v>-4</v>
      </c>
      <c r="I246">
        <v>12</v>
      </c>
      <c r="J246">
        <v>1.17</v>
      </c>
      <c r="K246">
        <v>20.869321500000002</v>
      </c>
      <c r="L246">
        <v>-0.91749592836643501</v>
      </c>
      <c r="M246">
        <v>-0.27646142921085848</v>
      </c>
      <c r="N246">
        <v>-7.2895673848670434E-2</v>
      </c>
      <c r="O246">
        <v>0.58780858499484023</v>
      </c>
    </row>
    <row r="247" spans="1:15" x14ac:dyDescent="0.25">
      <c r="A247">
        <v>37.510064</v>
      </c>
      <c r="B247">
        <v>104.5780965</v>
      </c>
      <c r="C247">
        <v>222.33314125000001</v>
      </c>
      <c r="D247">
        <v>148.24220675000001</v>
      </c>
      <c r="E247">
        <v>230.78239425000001</v>
      </c>
      <c r="F247">
        <v>5.0202584999999997</v>
      </c>
      <c r="G247">
        <v>254.69063925</v>
      </c>
      <c r="H247">
        <v>-4</v>
      </c>
      <c r="I247">
        <v>16</v>
      </c>
      <c r="J247">
        <v>1.17</v>
      </c>
      <c r="K247">
        <v>20.658819000000001</v>
      </c>
      <c r="L247">
        <v>-1.1570428507595789</v>
      </c>
      <c r="M247">
        <v>-0.27334164090174812</v>
      </c>
      <c r="N247">
        <v>-0.1496738150512672</v>
      </c>
      <c r="O247">
        <v>0.41332544630240342</v>
      </c>
    </row>
    <row r="248" spans="1:15" x14ac:dyDescent="0.25">
      <c r="A248">
        <v>0.94791550000000002</v>
      </c>
      <c r="B248">
        <v>85.955847000000006</v>
      </c>
      <c r="C248">
        <v>231.04943474999999</v>
      </c>
      <c r="D248">
        <v>131.24516675000001</v>
      </c>
      <c r="E248">
        <v>206.50127424999999</v>
      </c>
      <c r="F248">
        <v>4.6790765000000007</v>
      </c>
      <c r="G248">
        <v>251.32891849999999</v>
      </c>
      <c r="H248">
        <v>-4</v>
      </c>
      <c r="I248">
        <v>20</v>
      </c>
      <c r="J248">
        <v>1.17</v>
      </c>
      <c r="K248">
        <v>20.53347475</v>
      </c>
      <c r="L248">
        <v>-1.4112456335068999</v>
      </c>
      <c r="M248">
        <v>-0.27775834322106691</v>
      </c>
      <c r="N248">
        <v>-0.27493841719002482</v>
      </c>
      <c r="O248">
        <v>0.2378042230294157</v>
      </c>
    </row>
    <row r="249" spans="1:15" x14ac:dyDescent="0.25">
      <c r="A249">
        <v>-34.828133749999999</v>
      </c>
      <c r="B249">
        <v>65.176374500000009</v>
      </c>
      <c r="C249">
        <v>237.37212374999999</v>
      </c>
      <c r="D249">
        <v>113.41579249999999</v>
      </c>
      <c r="E249">
        <v>177.39076975</v>
      </c>
      <c r="F249">
        <v>4.7278169999999999</v>
      </c>
      <c r="G249">
        <v>249.20783249999999</v>
      </c>
      <c r="H249">
        <v>-4</v>
      </c>
      <c r="I249">
        <v>24</v>
      </c>
      <c r="J249">
        <v>1.17</v>
      </c>
      <c r="K249">
        <v>20.44295825</v>
      </c>
      <c r="L249">
        <v>-1.6780098493028801</v>
      </c>
      <c r="M249">
        <v>-0.29737450342434479</v>
      </c>
      <c r="N249">
        <v>-0.44272741423608941</v>
      </c>
      <c r="O249">
        <v>6.4395792490476222E-2</v>
      </c>
    </row>
    <row r="250" spans="1:15" x14ac:dyDescent="0.25">
      <c r="A250">
        <v>-69.250766749999997</v>
      </c>
      <c r="B250">
        <v>40.894127750000003</v>
      </c>
      <c r="C250">
        <v>238.3657</v>
      </c>
      <c r="D250">
        <v>91.737281749999994</v>
      </c>
      <c r="E250">
        <v>139.64995974999999</v>
      </c>
      <c r="F250">
        <v>4.5815960000000002</v>
      </c>
      <c r="G250">
        <v>244.04516599999999</v>
      </c>
      <c r="H250">
        <v>-4</v>
      </c>
      <c r="I250">
        <v>28</v>
      </c>
      <c r="J250">
        <v>1.17</v>
      </c>
      <c r="K250">
        <v>20.232137999999999</v>
      </c>
      <c r="L250">
        <v>-1.999758915545411</v>
      </c>
      <c r="M250">
        <v>-0.33051882453904141</v>
      </c>
      <c r="N250">
        <v>-0.67866059751253405</v>
      </c>
      <c r="O250">
        <v>-0.12195984541958479</v>
      </c>
    </row>
    <row r="251" spans="1:15" x14ac:dyDescent="0.25">
      <c r="A251">
        <v>-116.243973</v>
      </c>
      <c r="B251">
        <v>16.355404499999999</v>
      </c>
      <c r="C251">
        <v>259.18543249999999</v>
      </c>
      <c r="D251">
        <v>72.022926249999998</v>
      </c>
      <c r="E251">
        <v>104.81572325</v>
      </c>
      <c r="F251">
        <v>5.1664794999999986</v>
      </c>
      <c r="G251">
        <v>262.81480425000001</v>
      </c>
      <c r="H251">
        <v>-4</v>
      </c>
      <c r="I251">
        <v>32</v>
      </c>
      <c r="J251">
        <v>1.17</v>
      </c>
      <c r="K251">
        <v>20.986217750000002</v>
      </c>
      <c r="L251">
        <v>-2.4258734080557058</v>
      </c>
      <c r="M251">
        <v>-0.35971965564452257</v>
      </c>
      <c r="N251">
        <v>-1.02092821351187</v>
      </c>
      <c r="O251">
        <v>-0.35610748057198532</v>
      </c>
    </row>
    <row r="252" spans="1:15" x14ac:dyDescent="0.25">
      <c r="A252">
        <v>-177.11436075</v>
      </c>
      <c r="B252">
        <v>-15.685103</v>
      </c>
      <c r="C252">
        <v>291.06989299999998</v>
      </c>
      <c r="D252">
        <v>47.016657500000001</v>
      </c>
      <c r="E252">
        <v>58.221029999999999</v>
      </c>
      <c r="F252">
        <v>6.043806</v>
      </c>
      <c r="G252">
        <v>294.31095850000003</v>
      </c>
      <c r="H252">
        <v>-4</v>
      </c>
      <c r="I252">
        <v>36</v>
      </c>
      <c r="J252">
        <v>1.17</v>
      </c>
      <c r="K252">
        <v>22.198254500000001</v>
      </c>
      <c r="L252">
        <v>-3.027978850445662</v>
      </c>
      <c r="M252">
        <v>-0.40551190010819349</v>
      </c>
      <c r="N252">
        <v>-1.5269133438990661</v>
      </c>
      <c r="O252">
        <v>-0.66255091871740168</v>
      </c>
    </row>
    <row r="253" spans="1:15" x14ac:dyDescent="0.25">
      <c r="A253">
        <v>-228.65821450000001</v>
      </c>
      <c r="B253">
        <v>-52.814878499999999</v>
      </c>
      <c r="C253">
        <v>303.76044450000001</v>
      </c>
      <c r="D253">
        <v>12.5319365</v>
      </c>
      <c r="E253">
        <v>-5.7996052499999999</v>
      </c>
      <c r="F253">
        <v>6.3849877500000014</v>
      </c>
      <c r="G253">
        <v>306.83738725000001</v>
      </c>
      <c r="H253">
        <v>-4</v>
      </c>
      <c r="I253">
        <v>40</v>
      </c>
      <c r="J253">
        <v>1.17</v>
      </c>
      <c r="K253">
        <v>22.66258925</v>
      </c>
      <c r="L253">
        <v>-3.9457930153670771</v>
      </c>
      <c r="M253">
        <v>-0.48428603791665831</v>
      </c>
      <c r="N253">
        <v>-2.3170197564551511</v>
      </c>
      <c r="O253">
        <v>-1.090348743593246</v>
      </c>
    </row>
    <row r="254" spans="1:15" x14ac:dyDescent="0.25">
      <c r="A254">
        <v>-253.84441375</v>
      </c>
      <c r="B254">
        <v>-84.960716250000004</v>
      </c>
      <c r="C254">
        <v>283.73766325000003</v>
      </c>
      <c r="D254">
        <v>-25.786987750000002</v>
      </c>
      <c r="E254">
        <v>-73.61039925</v>
      </c>
      <c r="F254">
        <v>5.8488449999999998</v>
      </c>
      <c r="G254">
        <v>291.10932174999999</v>
      </c>
      <c r="H254">
        <v>-4</v>
      </c>
      <c r="I254">
        <v>44</v>
      </c>
      <c r="J254">
        <v>1.17</v>
      </c>
      <c r="K254">
        <v>22.082217</v>
      </c>
      <c r="L254">
        <v>-5.6122452600987236</v>
      </c>
      <c r="M254">
        <v>-0.61767941187201525</v>
      </c>
      <c r="N254">
        <v>-3.8075941964018032</v>
      </c>
      <c r="O254">
        <v>-1.8295157510236331</v>
      </c>
    </row>
    <row r="255" spans="1:15" x14ac:dyDescent="0.25">
      <c r="A255">
        <v>272.13976274999999</v>
      </c>
      <c r="B255">
        <v>-65.862821249999996</v>
      </c>
      <c r="C255">
        <v>-263.53679625000001</v>
      </c>
      <c r="D255">
        <v>-48.208556250000001</v>
      </c>
      <c r="E255">
        <v>-16.729634749999999</v>
      </c>
      <c r="F255">
        <v>5.5564020000000003</v>
      </c>
      <c r="G255">
        <v>277.34225450000002</v>
      </c>
      <c r="H255">
        <v>0</v>
      </c>
      <c r="I255">
        <v>-44</v>
      </c>
      <c r="J255">
        <v>1.17</v>
      </c>
      <c r="K255">
        <v>21.5543695</v>
      </c>
      <c r="L255">
        <v>3.6203304973859498</v>
      </c>
      <c r="M255">
        <v>-0.1193023110026457</v>
      </c>
      <c r="N255">
        <v>-1.9875282596743249</v>
      </c>
      <c r="O255">
        <v>-1.1506655956124181</v>
      </c>
    </row>
    <row r="256" spans="1:15" x14ac:dyDescent="0.25">
      <c r="A256">
        <v>269.0703355</v>
      </c>
      <c r="B256">
        <v>-26.287703</v>
      </c>
      <c r="C256">
        <v>-219.69669325000001</v>
      </c>
      <c r="D256">
        <v>-10.227381250000001</v>
      </c>
      <c r="E256">
        <v>39.797790749999997</v>
      </c>
      <c r="F256">
        <v>5.3614407499999999</v>
      </c>
      <c r="G256">
        <v>270.53876500000001</v>
      </c>
      <c r="H256">
        <v>0</v>
      </c>
      <c r="I256">
        <v>-40</v>
      </c>
      <c r="J256">
        <v>1.17</v>
      </c>
      <c r="K256">
        <v>21.290715250000002</v>
      </c>
      <c r="L256">
        <v>3.0026578113594069</v>
      </c>
      <c r="M256">
        <v>-9.849782140463953E-2</v>
      </c>
      <c r="N256">
        <v>-1.4175678845912429</v>
      </c>
      <c r="O256">
        <v>-0.7884967310466775</v>
      </c>
    </row>
    <row r="257" spans="1:15" x14ac:dyDescent="0.25">
      <c r="A257">
        <v>264.82733200000001</v>
      </c>
      <c r="B257">
        <v>8.2756227500000001</v>
      </c>
      <c r="C257">
        <v>-174.41328824999999</v>
      </c>
      <c r="D257">
        <v>22.47861</v>
      </c>
      <c r="E257">
        <v>86.884368499999994</v>
      </c>
      <c r="F257">
        <v>5.1664794999999986</v>
      </c>
      <c r="G257">
        <v>266.49670424999999</v>
      </c>
      <c r="H257">
        <v>0</v>
      </c>
      <c r="I257">
        <v>-36</v>
      </c>
      <c r="J257">
        <v>1.17</v>
      </c>
      <c r="K257">
        <v>21.135710750000001</v>
      </c>
      <c r="L257">
        <v>2.5844963875448839</v>
      </c>
      <c r="M257">
        <v>-8.3572984350576057E-2</v>
      </c>
      <c r="N257">
        <v>-1.056867034945314</v>
      </c>
      <c r="O257">
        <v>-0.51914005012490305</v>
      </c>
    </row>
    <row r="258" spans="1:15" x14ac:dyDescent="0.25">
      <c r="A258">
        <v>257.56002825000002</v>
      </c>
      <c r="B258">
        <v>38.779938999999999</v>
      </c>
      <c r="C258">
        <v>-124.7097835</v>
      </c>
      <c r="D258">
        <v>51.792814</v>
      </c>
      <c r="E258">
        <v>129.05212599999999</v>
      </c>
      <c r="F258">
        <v>4.9715177500000003</v>
      </c>
      <c r="G258">
        <v>259.81325550000003</v>
      </c>
      <c r="H258">
        <v>0</v>
      </c>
      <c r="I258">
        <v>-32</v>
      </c>
      <c r="J258">
        <v>1.17</v>
      </c>
      <c r="K258">
        <v>20.871675750000001</v>
      </c>
      <c r="L258">
        <v>2.2223188469730668</v>
      </c>
      <c r="M258">
        <v>-7.5620093476640088E-2</v>
      </c>
      <c r="N258">
        <v>-0.76019332864412958</v>
      </c>
      <c r="O258">
        <v>-0.27868497753130139</v>
      </c>
    </row>
    <row r="259" spans="1:15" x14ac:dyDescent="0.25">
      <c r="A259">
        <v>251.78231024999999</v>
      </c>
      <c r="B259">
        <v>64.569078499999989</v>
      </c>
      <c r="C259">
        <v>-81.501119750000001</v>
      </c>
      <c r="D259">
        <v>76.067957000000007</v>
      </c>
      <c r="E259">
        <v>164.06521975000001</v>
      </c>
      <c r="F259">
        <v>5.1664794999999986</v>
      </c>
      <c r="G259">
        <v>256.89174674999998</v>
      </c>
      <c r="H259">
        <v>0</v>
      </c>
      <c r="I259">
        <v>-28</v>
      </c>
      <c r="J259">
        <v>1.17</v>
      </c>
      <c r="K259">
        <v>20.74366375</v>
      </c>
      <c r="L259">
        <v>1.931735618487942</v>
      </c>
      <c r="M259">
        <v>-6.6641811291420508E-2</v>
      </c>
      <c r="N259">
        <v>-0.53802665148936557</v>
      </c>
      <c r="O259">
        <v>-7.9012384661007129E-2</v>
      </c>
    </row>
    <row r="260" spans="1:15" x14ac:dyDescent="0.25">
      <c r="A260">
        <v>243.20600125000001</v>
      </c>
      <c r="B260">
        <v>86.701545749999994</v>
      </c>
      <c r="C260">
        <v>-42.17130075</v>
      </c>
      <c r="D260">
        <v>94.82203899999999</v>
      </c>
      <c r="E260">
        <v>191.29763025</v>
      </c>
      <c r="F260">
        <v>4.8740377500000003</v>
      </c>
      <c r="G260">
        <v>253.49001675</v>
      </c>
      <c r="H260">
        <v>0</v>
      </c>
      <c r="I260">
        <v>-24</v>
      </c>
      <c r="J260">
        <v>1.17</v>
      </c>
      <c r="K260">
        <v>20.615143499999999</v>
      </c>
      <c r="L260">
        <v>1.688295642395059</v>
      </c>
      <c r="M260">
        <v>-4.8042216594662103E-2</v>
      </c>
      <c r="N260">
        <v>-0.36793599206279498</v>
      </c>
      <c r="O260">
        <v>0.1028912018195233</v>
      </c>
    </row>
    <row r="261" spans="1:15" x14ac:dyDescent="0.25">
      <c r="A261">
        <v>230.25127025</v>
      </c>
      <c r="B261">
        <v>103.15655525</v>
      </c>
      <c r="C261">
        <v>-6.9909650000000001</v>
      </c>
      <c r="D261">
        <v>109.9392265</v>
      </c>
      <c r="E261">
        <v>210.70463175</v>
      </c>
      <c r="F261">
        <v>4.7765570000000004</v>
      </c>
      <c r="G261">
        <v>248.64753300000001</v>
      </c>
      <c r="H261">
        <v>0</v>
      </c>
      <c r="I261">
        <v>-20</v>
      </c>
      <c r="J261">
        <v>1.17</v>
      </c>
      <c r="K261">
        <v>20.417476749999999</v>
      </c>
      <c r="L261">
        <v>1.458869184834569</v>
      </c>
      <c r="M261">
        <v>-4.1707982335139733E-2</v>
      </c>
      <c r="N261">
        <v>-0.23332582677927041</v>
      </c>
      <c r="O261">
        <v>0.2663033826691078</v>
      </c>
    </row>
    <row r="262" spans="1:15" x14ac:dyDescent="0.25">
      <c r="A262">
        <v>217.03992475000001</v>
      </c>
      <c r="B262">
        <v>116.48414624999999</v>
      </c>
      <c r="C262">
        <v>25.658775250000001</v>
      </c>
      <c r="D262">
        <v>123.21606800000001</v>
      </c>
      <c r="E262">
        <v>225.10337475</v>
      </c>
      <c r="F262">
        <v>4.6303365000000003</v>
      </c>
      <c r="G262">
        <v>246.48642749999999</v>
      </c>
      <c r="H262">
        <v>0</v>
      </c>
      <c r="I262">
        <v>-16</v>
      </c>
      <c r="J262">
        <v>1.17</v>
      </c>
      <c r="K262">
        <v>20.332957499999999</v>
      </c>
      <c r="L262">
        <v>1.242511553848312</v>
      </c>
      <c r="M262">
        <v>-4.3705207110389277E-2</v>
      </c>
      <c r="N262">
        <v>-0.13885627762048011</v>
      </c>
      <c r="O262">
        <v>0.43135357265619539</v>
      </c>
    </row>
    <row r="263" spans="1:15" x14ac:dyDescent="0.25">
      <c r="A263">
        <v>199.75075899999999</v>
      </c>
      <c r="B263">
        <v>126.20319175</v>
      </c>
      <c r="C263">
        <v>58.184033249999999</v>
      </c>
      <c r="D263">
        <v>130.708935</v>
      </c>
      <c r="E263">
        <v>231.58727250000001</v>
      </c>
      <c r="F263">
        <v>4.4841152500000003</v>
      </c>
      <c r="G263">
        <v>242.25828949999999</v>
      </c>
      <c r="H263">
        <v>0</v>
      </c>
      <c r="I263">
        <v>-12</v>
      </c>
      <c r="J263">
        <v>1.17</v>
      </c>
      <c r="K263">
        <v>20.160637999999999</v>
      </c>
      <c r="L263">
        <v>1.0155683627505809</v>
      </c>
      <c r="M263">
        <v>-3.2283610439454123E-2</v>
      </c>
      <c r="N263">
        <v>-7.6554498396172094E-2</v>
      </c>
      <c r="O263">
        <v>0.6292694746754105</v>
      </c>
    </row>
    <row r="264" spans="1:15" x14ac:dyDescent="0.25">
      <c r="A264">
        <v>202.50430299999999</v>
      </c>
      <c r="B264">
        <v>148.96113975</v>
      </c>
      <c r="C264">
        <v>102.18347925</v>
      </c>
      <c r="D264">
        <v>151.78536975</v>
      </c>
      <c r="E264">
        <v>264.05152874999999</v>
      </c>
      <c r="F264">
        <v>5.4101809999999997</v>
      </c>
      <c r="G264">
        <v>267.73731974999998</v>
      </c>
      <c r="H264">
        <v>0</v>
      </c>
      <c r="I264">
        <v>-8</v>
      </c>
      <c r="J264">
        <v>1.17</v>
      </c>
      <c r="K264">
        <v>21.17593325</v>
      </c>
      <c r="L264">
        <v>0.72445007956171903</v>
      </c>
      <c r="M264">
        <v>-2.0416618712016919E-2</v>
      </c>
      <c r="N264">
        <v>-2.6621164551427941E-2</v>
      </c>
      <c r="O264">
        <v>0.86773909992178622</v>
      </c>
    </row>
    <row r="265" spans="1:15" x14ac:dyDescent="0.25">
      <c r="A265">
        <v>203.37533575</v>
      </c>
      <c r="B265">
        <v>171.16596999999999</v>
      </c>
      <c r="C265">
        <v>148.80300925</v>
      </c>
      <c r="D265">
        <v>172.77416625000001</v>
      </c>
      <c r="E265">
        <v>296.69465650000001</v>
      </c>
      <c r="F265">
        <v>5.9950657500000002</v>
      </c>
      <c r="G265">
        <v>298.370384</v>
      </c>
      <c r="H265">
        <v>0</v>
      </c>
      <c r="I265">
        <v>-4</v>
      </c>
      <c r="J265">
        <v>1.17</v>
      </c>
      <c r="K265">
        <v>22.355856249999999</v>
      </c>
      <c r="L265">
        <v>0.39915694326438211</v>
      </c>
      <c r="M265">
        <v>-1.168237947284567E-2</v>
      </c>
      <c r="N265">
        <v>-1.22927187275242E-2</v>
      </c>
      <c r="O265">
        <v>1.126493214018315</v>
      </c>
    </row>
    <row r="266" spans="1:15" x14ac:dyDescent="0.25">
      <c r="A266">
        <v>178.13974024999999</v>
      </c>
      <c r="B266">
        <v>176.21720875</v>
      </c>
      <c r="C266">
        <v>179.52131249999999</v>
      </c>
      <c r="D266">
        <v>174.570694</v>
      </c>
      <c r="E266">
        <v>301.34518450000002</v>
      </c>
      <c r="F266">
        <v>6.043806</v>
      </c>
      <c r="G266">
        <v>302.24762724999999</v>
      </c>
      <c r="H266">
        <v>0</v>
      </c>
      <c r="I266">
        <v>0</v>
      </c>
      <c r="J266">
        <v>1.17</v>
      </c>
      <c r="K266">
        <v>22.501795000000001</v>
      </c>
      <c r="L266">
        <v>-1.1011252130139509E-2</v>
      </c>
      <c r="M266">
        <v>1.318791582354212E-2</v>
      </c>
      <c r="N266">
        <v>-7.2148460418898757E-3</v>
      </c>
      <c r="O266">
        <v>1.36113938604736</v>
      </c>
    </row>
    <row r="267" spans="1:15" x14ac:dyDescent="0.25">
      <c r="A267">
        <v>141.84359000000001</v>
      </c>
      <c r="B267">
        <v>167.77497475000001</v>
      </c>
      <c r="C267">
        <v>195.829117</v>
      </c>
      <c r="D267">
        <v>167.77891550000001</v>
      </c>
      <c r="E267">
        <v>287.70660400000003</v>
      </c>
      <c r="F267">
        <v>5.7513640000000006</v>
      </c>
      <c r="G267">
        <v>289.381981</v>
      </c>
      <c r="H267">
        <v>0</v>
      </c>
      <c r="I267">
        <v>4</v>
      </c>
      <c r="J267">
        <v>1.17</v>
      </c>
      <c r="K267">
        <v>22.019044000000001</v>
      </c>
      <c r="L267">
        <v>-0.40550574127408567</v>
      </c>
      <c r="M267">
        <v>-5.6810304734673822E-5</v>
      </c>
      <c r="N267">
        <v>-1.2593691308990049E-2</v>
      </c>
      <c r="O267">
        <v>1.1178593612453269</v>
      </c>
    </row>
    <row r="268" spans="1:15" x14ac:dyDescent="0.25">
      <c r="A268">
        <v>106.63796975</v>
      </c>
      <c r="B268">
        <v>160.03078074999999</v>
      </c>
      <c r="C268">
        <v>212.0465695</v>
      </c>
      <c r="D268">
        <v>159.54114125000001</v>
      </c>
      <c r="E268">
        <v>278.80802175000002</v>
      </c>
      <c r="F268">
        <v>5.5564020000000003</v>
      </c>
      <c r="G268">
        <v>282.24115749999999</v>
      </c>
      <c r="H268">
        <v>0</v>
      </c>
      <c r="I268">
        <v>8</v>
      </c>
      <c r="J268">
        <v>1.17</v>
      </c>
      <c r="K268">
        <v>21.747767249999999</v>
      </c>
      <c r="L268">
        <v>-0.72305310380895249</v>
      </c>
      <c r="M268">
        <v>3.3700763568484818E-3</v>
      </c>
      <c r="N268">
        <v>-2.355614949819429E-2</v>
      </c>
      <c r="O268">
        <v>0.87437087387761692</v>
      </c>
    </row>
    <row r="269" spans="1:15" x14ac:dyDescent="0.25">
      <c r="A269">
        <v>69.892657999999997</v>
      </c>
      <c r="B269">
        <v>147.6792375</v>
      </c>
      <c r="C269">
        <v>224.01767724999999</v>
      </c>
      <c r="D269">
        <v>146.96539300000001</v>
      </c>
      <c r="E269">
        <v>262.35230999999999</v>
      </c>
      <c r="F269">
        <v>5.4589210000000001</v>
      </c>
      <c r="G269">
        <v>273.18768325000002</v>
      </c>
      <c r="H269">
        <v>0</v>
      </c>
      <c r="I269">
        <v>12</v>
      </c>
      <c r="J269">
        <v>1.17</v>
      </c>
      <c r="K269">
        <v>21.392893749999999</v>
      </c>
      <c r="L269">
        <v>-1.0010082891912431</v>
      </c>
      <c r="M269">
        <v>4.6413723871944201E-3</v>
      </c>
      <c r="N269">
        <v>-7.0387303996216594E-2</v>
      </c>
      <c r="O269">
        <v>0.66844696728191888</v>
      </c>
    </row>
    <row r="270" spans="1:15" x14ac:dyDescent="0.25">
      <c r="A270">
        <v>34.314232750000002</v>
      </c>
      <c r="B270">
        <v>132.902027</v>
      </c>
      <c r="C270">
        <v>235.08529275000001</v>
      </c>
      <c r="D270">
        <v>133.64473724999999</v>
      </c>
      <c r="E270">
        <v>243.79491400000001</v>
      </c>
      <c r="F270">
        <v>5.3127002499999998</v>
      </c>
      <c r="G270">
        <v>268.39995575</v>
      </c>
      <c r="H270">
        <v>0</v>
      </c>
      <c r="I270">
        <v>16</v>
      </c>
      <c r="J270">
        <v>1.17</v>
      </c>
      <c r="K270">
        <v>21.206643249999999</v>
      </c>
      <c r="L270">
        <v>-1.2528485715026749</v>
      </c>
      <c r="M270">
        <v>-4.625310502657895E-3</v>
      </c>
      <c r="N270">
        <v>-0.15354937271180569</v>
      </c>
      <c r="O270">
        <v>0.48816830202601308</v>
      </c>
    </row>
    <row r="271" spans="1:15" x14ac:dyDescent="0.25">
      <c r="A271">
        <v>-1.7116720000000001</v>
      </c>
      <c r="B271">
        <v>116.49971600000001</v>
      </c>
      <c r="C271">
        <v>243.48765574999999</v>
      </c>
      <c r="D271">
        <v>114.7153855</v>
      </c>
      <c r="E271">
        <v>218.93248349999999</v>
      </c>
      <c r="F271">
        <v>5.0689989999999998</v>
      </c>
      <c r="G271">
        <v>264.03670499999998</v>
      </c>
      <c r="H271">
        <v>0</v>
      </c>
      <c r="I271">
        <v>20</v>
      </c>
      <c r="J271">
        <v>1.17</v>
      </c>
      <c r="K271">
        <v>21.03995325</v>
      </c>
      <c r="L271">
        <v>-1.509573146731066</v>
      </c>
      <c r="M271">
        <v>1.097432996562509E-2</v>
      </c>
      <c r="N271">
        <v>-0.2776894761614892</v>
      </c>
      <c r="O271">
        <v>0.3166507973199873</v>
      </c>
    </row>
    <row r="272" spans="1:15" x14ac:dyDescent="0.25">
      <c r="A272">
        <v>-37.521672000000002</v>
      </c>
      <c r="B272">
        <v>96.105047249999998</v>
      </c>
      <c r="C272">
        <v>249.40544525000001</v>
      </c>
      <c r="D272">
        <v>94.471492999999995</v>
      </c>
      <c r="E272">
        <v>188.07803325</v>
      </c>
      <c r="F272">
        <v>5.1177390000000003</v>
      </c>
      <c r="G272">
        <v>261.51482349999998</v>
      </c>
      <c r="H272">
        <v>0</v>
      </c>
      <c r="I272">
        <v>24</v>
      </c>
      <c r="J272">
        <v>1.17</v>
      </c>
      <c r="K272">
        <v>20.935270249999999</v>
      </c>
      <c r="L272">
        <v>-1.797786517445656</v>
      </c>
      <c r="M272">
        <v>1.0223231737223851E-2</v>
      </c>
      <c r="N272">
        <v>-0.4601317145854581</v>
      </c>
      <c r="O272">
        <v>0.1463550245976733</v>
      </c>
    </row>
    <row r="273" spans="1:15" x14ac:dyDescent="0.25">
      <c r="A273">
        <v>-73.421760500000005</v>
      </c>
      <c r="B273">
        <v>76.04708875</v>
      </c>
      <c r="C273">
        <v>254.19388549999999</v>
      </c>
      <c r="D273">
        <v>69.184158249999996</v>
      </c>
      <c r="E273">
        <v>150.82910150000001</v>
      </c>
      <c r="F273">
        <v>5.2152197500000002</v>
      </c>
      <c r="G273">
        <v>260.2739105</v>
      </c>
      <c r="H273">
        <v>0</v>
      </c>
      <c r="I273">
        <v>28</v>
      </c>
      <c r="J273">
        <v>1.17</v>
      </c>
      <c r="K273">
        <v>20.880556500000001</v>
      </c>
      <c r="L273">
        <v>-2.142017757090747</v>
      </c>
      <c r="M273">
        <v>4.4847400666151727E-2</v>
      </c>
      <c r="N273">
        <v>-0.71557889400487096</v>
      </c>
      <c r="O273">
        <v>-4.7942629475412883E-2</v>
      </c>
    </row>
    <row r="274" spans="1:15" x14ac:dyDescent="0.25">
      <c r="A274">
        <v>-112.354517</v>
      </c>
      <c r="B274">
        <v>48.677831500000003</v>
      </c>
      <c r="C274">
        <v>251.57380674999999</v>
      </c>
      <c r="D274">
        <v>39.126927999999999</v>
      </c>
      <c r="E274">
        <v>103.11649875000001</v>
      </c>
      <c r="F274">
        <v>4.8252970000000008</v>
      </c>
      <c r="G274">
        <v>254.7497865</v>
      </c>
      <c r="H274">
        <v>0</v>
      </c>
      <c r="I274">
        <v>32</v>
      </c>
      <c r="J274">
        <v>1.17</v>
      </c>
      <c r="K274">
        <v>20.669331249999999</v>
      </c>
      <c r="L274">
        <v>-2.6045642888689802</v>
      </c>
      <c r="M274">
        <v>6.8325265988470898E-2</v>
      </c>
      <c r="N274">
        <v>-1.085226228935112</v>
      </c>
      <c r="O274">
        <v>-0.29657533625569987</v>
      </c>
    </row>
    <row r="275" spans="1:15" x14ac:dyDescent="0.25">
      <c r="A275">
        <v>-148.78039575</v>
      </c>
      <c r="B275">
        <v>22.318691250000001</v>
      </c>
      <c r="C275">
        <v>248.90853125000001</v>
      </c>
      <c r="D275">
        <v>8.3670887500000006</v>
      </c>
      <c r="E275">
        <v>50.526501500000002</v>
      </c>
      <c r="F275">
        <v>4.7274875000000014</v>
      </c>
      <c r="G275">
        <v>250.94695250000001</v>
      </c>
      <c r="H275">
        <v>0</v>
      </c>
      <c r="I275">
        <v>36</v>
      </c>
      <c r="J275">
        <v>1.17</v>
      </c>
      <c r="K275">
        <v>20.515553749999999</v>
      </c>
      <c r="L275">
        <v>-3.294028397141159</v>
      </c>
      <c r="M275">
        <v>0.1155715809633274</v>
      </c>
      <c r="N275">
        <v>-1.660089482895643</v>
      </c>
      <c r="O275">
        <v>-0.6206815161017587</v>
      </c>
    </row>
    <row r="276" spans="1:15" x14ac:dyDescent="0.25">
      <c r="A276">
        <v>-182.16989874999999</v>
      </c>
      <c r="B276">
        <v>-4.6060837499999998</v>
      </c>
      <c r="C276">
        <v>246.37878774999999</v>
      </c>
      <c r="D276">
        <v>-22.727515499999999</v>
      </c>
      <c r="E276">
        <v>-2.72135375</v>
      </c>
      <c r="F276">
        <v>4.7271444999999996</v>
      </c>
      <c r="G276">
        <v>248.70528049999999</v>
      </c>
      <c r="H276">
        <v>0</v>
      </c>
      <c r="I276">
        <v>40</v>
      </c>
      <c r="J276">
        <v>1.17</v>
      </c>
      <c r="K276">
        <v>20.421963999999999</v>
      </c>
      <c r="L276">
        <v>-4.2977569853664228</v>
      </c>
      <c r="M276">
        <v>0.18165759514235119</v>
      </c>
      <c r="N276">
        <v>-2.5215558700090619</v>
      </c>
      <c r="O276">
        <v>-1.0748250134787209</v>
      </c>
    </row>
    <row r="277" spans="1:15" x14ac:dyDescent="0.25">
      <c r="A277">
        <v>-210.20290374999999</v>
      </c>
      <c r="B277">
        <v>-34.017845250000001</v>
      </c>
      <c r="C277">
        <v>238.60887149999999</v>
      </c>
      <c r="D277">
        <v>-56.643961249999997</v>
      </c>
      <c r="E277">
        <v>-61.743510999999998</v>
      </c>
      <c r="F277">
        <v>4.6293480000000002</v>
      </c>
      <c r="G277">
        <v>243.82163625000001</v>
      </c>
      <c r="H277">
        <v>0</v>
      </c>
      <c r="I277">
        <v>44</v>
      </c>
      <c r="J277">
        <v>1.17</v>
      </c>
      <c r="K277">
        <v>20.220672</v>
      </c>
      <c r="L277">
        <v>-6.2618796732367574</v>
      </c>
      <c r="M277">
        <v>0.31556835349866291</v>
      </c>
      <c r="N277">
        <v>-4.2633065237394314</v>
      </c>
      <c r="O277">
        <v>-1.9261272312080131</v>
      </c>
    </row>
    <row r="278" spans="1:15" x14ac:dyDescent="0.25">
      <c r="A278">
        <v>265.34823599999999</v>
      </c>
      <c r="B278">
        <v>-23.222337750000001</v>
      </c>
      <c r="C278">
        <v>-257.28974925</v>
      </c>
      <c r="D278">
        <v>-88.069116499999993</v>
      </c>
      <c r="E278">
        <v>-18.73719225</v>
      </c>
      <c r="F278">
        <v>5.5552349999999997</v>
      </c>
      <c r="G278">
        <v>270.121239</v>
      </c>
      <c r="H278">
        <v>4</v>
      </c>
      <c r="I278">
        <v>-44</v>
      </c>
      <c r="J278">
        <v>1.17</v>
      </c>
      <c r="K278">
        <v>21.266077500000002</v>
      </c>
      <c r="L278">
        <v>3.3950186688272361</v>
      </c>
      <c r="M278">
        <v>0.4212455698282066</v>
      </c>
      <c r="N278">
        <v>-1.876400833371491</v>
      </c>
      <c r="O278">
        <v>-1.157801434840837</v>
      </c>
    </row>
    <row r="279" spans="1:15" x14ac:dyDescent="0.25">
      <c r="A279">
        <v>299.14604200000002</v>
      </c>
      <c r="B279">
        <v>13.660577999999999</v>
      </c>
      <c r="C279">
        <v>-245.83058174999999</v>
      </c>
      <c r="D279">
        <v>-58.086281749999998</v>
      </c>
      <c r="E279">
        <v>39.519231750000003</v>
      </c>
      <c r="F279">
        <v>6.1395549999999997</v>
      </c>
      <c r="G279">
        <v>301.02426150000002</v>
      </c>
      <c r="H279">
        <v>4</v>
      </c>
      <c r="I279">
        <v>-40</v>
      </c>
      <c r="J279">
        <v>1.17</v>
      </c>
      <c r="K279">
        <v>22.45160375</v>
      </c>
      <c r="L279">
        <v>2.8461708759374238</v>
      </c>
      <c r="M279">
        <v>0.37469457799536532</v>
      </c>
      <c r="N279">
        <v>-1.365731480205602</v>
      </c>
      <c r="O279">
        <v>-0.82567011346186914</v>
      </c>
    </row>
    <row r="280" spans="1:15" x14ac:dyDescent="0.25">
      <c r="A280">
        <v>300.56546774999998</v>
      </c>
      <c r="B280">
        <v>49.543644</v>
      </c>
      <c r="C280">
        <v>-197.24193199999999</v>
      </c>
      <c r="D280">
        <v>-17.133049</v>
      </c>
      <c r="E280">
        <v>95.987997000000007</v>
      </c>
      <c r="F280">
        <v>6.1882815000000004</v>
      </c>
      <c r="G280">
        <v>301.784828</v>
      </c>
      <c r="H280">
        <v>4</v>
      </c>
      <c r="I280">
        <v>-36</v>
      </c>
      <c r="J280">
        <v>1.17</v>
      </c>
      <c r="K280">
        <v>22.478716500000001</v>
      </c>
      <c r="L280">
        <v>2.4502401682951138</v>
      </c>
      <c r="M280">
        <v>0.32820581001030008</v>
      </c>
      <c r="N280">
        <v>-1.0130308120424201</v>
      </c>
      <c r="O280">
        <v>-0.55803186247068115</v>
      </c>
    </row>
    <row r="281" spans="1:15" x14ac:dyDescent="0.25">
      <c r="A281">
        <v>287.47187050000002</v>
      </c>
      <c r="B281">
        <v>77.87491399999999</v>
      </c>
      <c r="C281">
        <v>-141.34469225000001</v>
      </c>
      <c r="D281">
        <v>19.975891499999999</v>
      </c>
      <c r="E281">
        <v>140.4631005</v>
      </c>
      <c r="F281">
        <v>5.9446490000000001</v>
      </c>
      <c r="G281">
        <v>290.30258175</v>
      </c>
      <c r="H281">
        <v>4</v>
      </c>
      <c r="I281">
        <v>-32</v>
      </c>
      <c r="J281">
        <v>1.17</v>
      </c>
      <c r="K281">
        <v>22.04725925</v>
      </c>
      <c r="L281">
        <v>2.1318802726247088</v>
      </c>
      <c r="M281">
        <v>0.28780881308968082</v>
      </c>
      <c r="N281">
        <v>-0.74496524605557957</v>
      </c>
      <c r="O281">
        <v>-0.33120046347726489</v>
      </c>
    </row>
    <row r="282" spans="1:15" x14ac:dyDescent="0.25">
      <c r="A282">
        <v>275.55220025</v>
      </c>
      <c r="B282">
        <v>101.7328225</v>
      </c>
      <c r="C282">
        <v>-90.094272500000002</v>
      </c>
      <c r="D282">
        <v>49.852129750000003</v>
      </c>
      <c r="E282">
        <v>175.46711375000001</v>
      </c>
      <c r="F282">
        <v>5.7010162500000003</v>
      </c>
      <c r="G282">
        <v>281.01673125000002</v>
      </c>
      <c r="H282">
        <v>4</v>
      </c>
      <c r="I282">
        <v>-28</v>
      </c>
      <c r="J282">
        <v>1.17</v>
      </c>
      <c r="K282">
        <v>21.693891000000001</v>
      </c>
      <c r="L282">
        <v>1.869497627528655</v>
      </c>
      <c r="M282">
        <v>0.26525293942407152</v>
      </c>
      <c r="N282">
        <v>-0.53966995657646888</v>
      </c>
      <c r="O282">
        <v>-0.13202005959382651</v>
      </c>
    </row>
    <row r="283" spans="1:15" x14ac:dyDescent="0.25">
      <c r="A283">
        <v>263.45194249999997</v>
      </c>
      <c r="B283">
        <v>122.0312825</v>
      </c>
      <c r="C283">
        <v>-45.024580999999998</v>
      </c>
      <c r="D283">
        <v>74.033483500000003</v>
      </c>
      <c r="E283">
        <v>204.4806595</v>
      </c>
      <c r="F283">
        <v>5.5061102499999999</v>
      </c>
      <c r="G283">
        <v>274.15656274999998</v>
      </c>
      <c r="H283">
        <v>4</v>
      </c>
      <c r="I283">
        <v>-24</v>
      </c>
      <c r="J283">
        <v>1.17</v>
      </c>
      <c r="K283">
        <v>21.429682249999999</v>
      </c>
      <c r="L283">
        <v>1.6237633315069531</v>
      </c>
      <c r="M283">
        <v>0.25265245782140999</v>
      </c>
      <c r="N283">
        <v>-0.36676056252686412</v>
      </c>
      <c r="O283">
        <v>4.7366541079647759E-2</v>
      </c>
    </row>
    <row r="284" spans="1:15" x14ac:dyDescent="0.25">
      <c r="A284">
        <v>249.86169075000001</v>
      </c>
      <c r="B284">
        <v>137.8563915</v>
      </c>
      <c r="C284">
        <v>-5.9551547500000002</v>
      </c>
      <c r="D284">
        <v>94.22842</v>
      </c>
      <c r="E284">
        <v>226.56491075</v>
      </c>
      <c r="F284">
        <v>5.311204</v>
      </c>
      <c r="G284">
        <v>270.20997625000001</v>
      </c>
      <c r="H284">
        <v>4</v>
      </c>
      <c r="I284">
        <v>-20</v>
      </c>
      <c r="J284">
        <v>1.17</v>
      </c>
      <c r="K284">
        <v>21.279529499999999</v>
      </c>
      <c r="L284">
        <v>1.4022719097424889</v>
      </c>
      <c r="M284">
        <v>0.23914885270646491</v>
      </c>
      <c r="N284">
        <v>-0.2392472876723945</v>
      </c>
      <c r="O284">
        <v>0.2128584404128612</v>
      </c>
    </row>
    <row r="285" spans="1:15" x14ac:dyDescent="0.25">
      <c r="A285">
        <v>231.48552674999999</v>
      </c>
      <c r="B285">
        <v>148.34232725000001</v>
      </c>
      <c r="C285">
        <v>30.356867749999999</v>
      </c>
      <c r="D285">
        <v>108.29040525000001</v>
      </c>
      <c r="E285">
        <v>239.48467650000001</v>
      </c>
      <c r="F285">
        <v>4.7264854999999999</v>
      </c>
      <c r="G285">
        <v>263.43041225000002</v>
      </c>
      <c r="H285">
        <v>4</v>
      </c>
      <c r="I285">
        <v>-16</v>
      </c>
      <c r="J285">
        <v>1.17</v>
      </c>
      <c r="K285">
        <v>21.029239749999999</v>
      </c>
      <c r="L285">
        <v>1.1819897769316221</v>
      </c>
      <c r="M285">
        <v>0.23535118177490871</v>
      </c>
      <c r="N285">
        <v>-0.14072298357536739</v>
      </c>
      <c r="O285">
        <v>0.37964111414907081</v>
      </c>
    </row>
    <row r="286" spans="1:15" x14ac:dyDescent="0.25">
      <c r="A286">
        <v>214.35953175</v>
      </c>
      <c r="B286">
        <v>158.58776474999999</v>
      </c>
      <c r="C286">
        <v>67.489874</v>
      </c>
      <c r="D286">
        <v>118.6288035</v>
      </c>
      <c r="E286">
        <v>248.6044885</v>
      </c>
      <c r="F286">
        <v>5.2137504999999997</v>
      </c>
      <c r="G286">
        <v>260.46873449999998</v>
      </c>
      <c r="H286">
        <v>4</v>
      </c>
      <c r="I286">
        <v>-12</v>
      </c>
      <c r="J286">
        <v>1.17</v>
      </c>
      <c r="K286">
        <v>20.88859175</v>
      </c>
      <c r="L286">
        <v>0.94423345690312588</v>
      </c>
      <c r="M286">
        <v>0.25690826738401301</v>
      </c>
      <c r="N286">
        <v>-7.6276343232050361E-2</v>
      </c>
      <c r="O286">
        <v>0.56479608161656913</v>
      </c>
    </row>
    <row r="287" spans="1:15" x14ac:dyDescent="0.25">
      <c r="A287">
        <v>194.10108550000001</v>
      </c>
      <c r="B287">
        <v>165.97028750000001</v>
      </c>
      <c r="C287">
        <v>101.008957</v>
      </c>
      <c r="D287">
        <v>122.09729400000001</v>
      </c>
      <c r="E287">
        <v>253.20909875000001</v>
      </c>
      <c r="F287">
        <v>5.067571</v>
      </c>
      <c r="G287">
        <v>257.65216800000002</v>
      </c>
      <c r="H287">
        <v>4</v>
      </c>
      <c r="I287">
        <v>-8</v>
      </c>
      <c r="J287">
        <v>1.17</v>
      </c>
      <c r="K287">
        <v>20.779036999999999</v>
      </c>
      <c r="L287">
        <v>0.65715873560592153</v>
      </c>
      <c r="M287">
        <v>0.3097665612197204</v>
      </c>
      <c r="N287">
        <v>-3.1406082320438101E-2</v>
      </c>
      <c r="O287">
        <v>0.75178955710914896</v>
      </c>
    </row>
    <row r="288" spans="1:15" x14ac:dyDescent="0.25">
      <c r="A288">
        <v>170.07003800000001</v>
      </c>
      <c r="B288">
        <v>165.922169</v>
      </c>
      <c r="C288">
        <v>125.3125495</v>
      </c>
      <c r="D288">
        <v>121.4917275</v>
      </c>
      <c r="E288">
        <v>250.12445049999999</v>
      </c>
      <c r="F288">
        <v>4.677759</v>
      </c>
      <c r="G288">
        <v>252.20937724999999</v>
      </c>
      <c r="H288">
        <v>4</v>
      </c>
      <c r="I288">
        <v>-4</v>
      </c>
      <c r="J288">
        <v>1.17</v>
      </c>
      <c r="K288">
        <v>20.570144750000001</v>
      </c>
      <c r="L288">
        <v>0.35317206499491999</v>
      </c>
      <c r="M288">
        <v>0.35061359660583902</v>
      </c>
      <c r="N288">
        <v>-1.6474840951897309E-2</v>
      </c>
      <c r="O288">
        <v>0.93692770018589322</v>
      </c>
    </row>
    <row r="289" spans="1:15" x14ac:dyDescent="0.25">
      <c r="A289">
        <v>145.77115624999999</v>
      </c>
      <c r="B289">
        <v>165.68158349999999</v>
      </c>
      <c r="C289">
        <v>147.71884175</v>
      </c>
      <c r="D289">
        <v>121.43244325000001</v>
      </c>
      <c r="E289">
        <v>249.23035425</v>
      </c>
      <c r="F289">
        <v>4.5315795000000003</v>
      </c>
      <c r="G289">
        <v>249.84816774999999</v>
      </c>
      <c r="H289">
        <v>4</v>
      </c>
      <c r="I289">
        <v>0</v>
      </c>
      <c r="J289">
        <v>1.17</v>
      </c>
      <c r="K289">
        <v>20.477904250000002</v>
      </c>
      <c r="L289">
        <v>-1.686855236233498E-2</v>
      </c>
      <c r="M289">
        <v>0.3826850515944844</v>
      </c>
      <c r="N289">
        <v>-5.3680261830298948E-3</v>
      </c>
      <c r="O289">
        <v>1.116264756060638</v>
      </c>
    </row>
    <row r="290" spans="1:15" x14ac:dyDescent="0.25">
      <c r="A290">
        <v>119.55014425</v>
      </c>
      <c r="B290">
        <v>162.67362249999999</v>
      </c>
      <c r="C290">
        <v>164.83977899999999</v>
      </c>
      <c r="D290">
        <v>119.7468205</v>
      </c>
      <c r="E290">
        <v>243.82104125000001</v>
      </c>
      <c r="F290">
        <v>4.7264854999999999</v>
      </c>
      <c r="G290">
        <v>246.246319</v>
      </c>
      <c r="H290">
        <v>4</v>
      </c>
      <c r="I290">
        <v>4</v>
      </c>
      <c r="J290">
        <v>1.17</v>
      </c>
      <c r="K290">
        <v>20.318815000000001</v>
      </c>
      <c r="L290">
        <v>-0.36472254472828408</v>
      </c>
      <c r="M290">
        <v>0.3457111448427389</v>
      </c>
      <c r="N290">
        <v>-1.9551635183921261E-2</v>
      </c>
      <c r="O290">
        <v>0.92551783471713778</v>
      </c>
    </row>
    <row r="291" spans="1:15" x14ac:dyDescent="0.25">
      <c r="A291">
        <v>90.959985750000001</v>
      </c>
      <c r="B291">
        <v>156.87804025</v>
      </c>
      <c r="C291">
        <v>181.36158349999999</v>
      </c>
      <c r="D291">
        <v>116.1465475</v>
      </c>
      <c r="E291">
        <v>238.27764124999999</v>
      </c>
      <c r="F291">
        <v>4.6290325000000001</v>
      </c>
      <c r="G291">
        <v>242.764534</v>
      </c>
      <c r="H291">
        <v>4</v>
      </c>
      <c r="I291">
        <v>8</v>
      </c>
      <c r="J291">
        <v>1.17</v>
      </c>
      <c r="K291">
        <v>20.175956500000002</v>
      </c>
      <c r="L291">
        <v>-0.67100440232200098</v>
      </c>
      <c r="M291">
        <v>0.30232251475693078</v>
      </c>
      <c r="N291">
        <v>-3.3304837980287237E-2</v>
      </c>
      <c r="O291">
        <v>0.73429396344169684</v>
      </c>
    </row>
    <row r="292" spans="1:15" x14ac:dyDescent="0.25">
      <c r="A292">
        <v>62.159748</v>
      </c>
      <c r="B292">
        <v>151.97101599999999</v>
      </c>
      <c r="C292">
        <v>198.39097599999999</v>
      </c>
      <c r="D292">
        <v>111.10815225</v>
      </c>
      <c r="E292">
        <v>233.270668</v>
      </c>
      <c r="F292">
        <v>4.5315795000000003</v>
      </c>
      <c r="G292">
        <v>244.44539275</v>
      </c>
      <c r="H292">
        <v>4</v>
      </c>
      <c r="I292">
        <v>12</v>
      </c>
      <c r="J292">
        <v>1.17</v>
      </c>
      <c r="K292">
        <v>20.251088249999999</v>
      </c>
      <c r="L292">
        <v>-0.92904290515141319</v>
      </c>
      <c r="M292">
        <v>0.27868575909454629</v>
      </c>
      <c r="N292">
        <v>-7.6216184501480405E-2</v>
      </c>
      <c r="O292">
        <v>0.55990033950506712</v>
      </c>
    </row>
    <row r="293" spans="1:15" x14ac:dyDescent="0.25">
      <c r="A293">
        <v>34.580663749999999</v>
      </c>
      <c r="B293">
        <v>162.38493725000001</v>
      </c>
      <c r="C293">
        <v>240.94219200000001</v>
      </c>
      <c r="D293">
        <v>113.91936875</v>
      </c>
      <c r="E293">
        <v>249.76681149999999</v>
      </c>
      <c r="F293">
        <v>5.6522895000000002</v>
      </c>
      <c r="G293">
        <v>276.66191099999998</v>
      </c>
      <c r="H293">
        <v>4</v>
      </c>
      <c r="I293">
        <v>16</v>
      </c>
      <c r="J293">
        <v>1.17</v>
      </c>
      <c r="K293">
        <v>21.523522499999999</v>
      </c>
      <c r="L293">
        <v>-1.1757386013065769</v>
      </c>
      <c r="M293">
        <v>0.27610884071574582</v>
      </c>
      <c r="N293">
        <v>-0.15323665362907221</v>
      </c>
      <c r="O293">
        <v>0.39083129796921279</v>
      </c>
    </row>
    <row r="294" spans="1:15" x14ac:dyDescent="0.25">
      <c r="A294">
        <v>-5.31658425</v>
      </c>
      <c r="B294">
        <v>160.94151675000001</v>
      </c>
      <c r="C294">
        <v>278.46089174999997</v>
      </c>
      <c r="D294">
        <v>105.80693650000001</v>
      </c>
      <c r="E294">
        <v>250.03504175</v>
      </c>
      <c r="F294">
        <v>6.3344612500000004</v>
      </c>
      <c r="G294">
        <v>304.83637225000001</v>
      </c>
      <c r="H294">
        <v>4</v>
      </c>
      <c r="I294">
        <v>20</v>
      </c>
      <c r="J294">
        <v>1.17</v>
      </c>
      <c r="K294">
        <v>22.588885749999999</v>
      </c>
      <c r="L294">
        <v>-1.4203549226499219</v>
      </c>
      <c r="M294">
        <v>0.27595671744756128</v>
      </c>
      <c r="N294">
        <v>-0.27427848606412442</v>
      </c>
      <c r="O294">
        <v>0.21980404706013151</v>
      </c>
    </row>
    <row r="295" spans="1:15" x14ac:dyDescent="0.25">
      <c r="A295">
        <v>-46.407478750000003</v>
      </c>
      <c r="B295">
        <v>141.07040774999999</v>
      </c>
      <c r="C295">
        <v>284.42319474999999</v>
      </c>
      <c r="D295">
        <v>77.075767499999998</v>
      </c>
      <c r="E295">
        <v>212.39343625000001</v>
      </c>
      <c r="F295">
        <v>6.2370082499999997</v>
      </c>
      <c r="G295">
        <v>299.79378500000001</v>
      </c>
      <c r="H295">
        <v>4</v>
      </c>
      <c r="I295">
        <v>24</v>
      </c>
      <c r="J295">
        <v>1.17</v>
      </c>
      <c r="K295">
        <v>22.401029749999999</v>
      </c>
      <c r="L295">
        <v>-1.6788347804462349</v>
      </c>
      <c r="M295">
        <v>0.32474142662031608</v>
      </c>
      <c r="N295">
        <v>-0.44352584263017042</v>
      </c>
      <c r="O295">
        <v>4.6167661986004832E-2</v>
      </c>
    </row>
    <row r="296" spans="1:15" x14ac:dyDescent="0.25">
      <c r="A296">
        <v>-82.136730249999999</v>
      </c>
      <c r="B296">
        <v>115.89859199999999</v>
      </c>
      <c r="C296">
        <v>278.46095274999999</v>
      </c>
      <c r="D296">
        <v>42.810133</v>
      </c>
      <c r="E296">
        <v>165.00614175000001</v>
      </c>
      <c r="F296">
        <v>5.9933755</v>
      </c>
      <c r="G296">
        <v>286.86714949999998</v>
      </c>
      <c r="H296">
        <v>4</v>
      </c>
      <c r="I296">
        <v>28</v>
      </c>
      <c r="J296">
        <v>1.17</v>
      </c>
      <c r="K296">
        <v>21.911770749999999</v>
      </c>
      <c r="L296">
        <v>-1.952698073974809</v>
      </c>
      <c r="M296">
        <v>0.39577394308445257</v>
      </c>
      <c r="N296">
        <v>-0.65991356174186144</v>
      </c>
      <c r="O296">
        <v>-0.13894791279017021</v>
      </c>
    </row>
    <row r="297" spans="1:15" x14ac:dyDescent="0.25">
      <c r="A297">
        <v>-122.55178825</v>
      </c>
      <c r="B297">
        <v>89.870782999999989</v>
      </c>
      <c r="C297">
        <v>275.53409575000001</v>
      </c>
      <c r="D297">
        <v>4.2941595000000001</v>
      </c>
      <c r="E297">
        <v>111.7177945</v>
      </c>
      <c r="F297">
        <v>5.5061097500000002</v>
      </c>
      <c r="G297">
        <v>279.26326775000001</v>
      </c>
      <c r="H297">
        <v>4</v>
      </c>
      <c r="I297">
        <v>32</v>
      </c>
      <c r="J297">
        <v>1.17</v>
      </c>
      <c r="K297">
        <v>21.6324045</v>
      </c>
      <c r="L297">
        <v>-2.330095149270401</v>
      </c>
      <c r="M297">
        <v>0.50090897094726394</v>
      </c>
      <c r="N297">
        <v>-0.98069391172755949</v>
      </c>
      <c r="O297">
        <v>-0.37832826086924243</v>
      </c>
    </row>
    <row r="298" spans="1:15" x14ac:dyDescent="0.25">
      <c r="A298">
        <v>-163.32728175</v>
      </c>
      <c r="B298">
        <v>61.039716749999997</v>
      </c>
      <c r="C298">
        <v>273.54697399999998</v>
      </c>
      <c r="D298">
        <v>-32.517829999999996</v>
      </c>
      <c r="E298">
        <v>55.568321999999988</v>
      </c>
      <c r="F298">
        <v>5.5548365000000004</v>
      </c>
      <c r="G298">
        <v>276.22170299999999</v>
      </c>
      <c r="H298">
        <v>4</v>
      </c>
      <c r="I298">
        <v>36</v>
      </c>
      <c r="J298">
        <v>1.17</v>
      </c>
      <c r="K298">
        <v>21.509952999999999</v>
      </c>
      <c r="L298">
        <v>-2.846307728731849</v>
      </c>
      <c r="M298">
        <v>0.60951887149229611</v>
      </c>
      <c r="N298">
        <v>-1.4375943331648711</v>
      </c>
      <c r="O298">
        <v>-0.67417349299615059</v>
      </c>
    </row>
    <row r="299" spans="1:15" x14ac:dyDescent="0.25">
      <c r="A299">
        <v>-197.02901850000001</v>
      </c>
      <c r="B299">
        <v>31.750833</v>
      </c>
      <c r="C299">
        <v>266.275871</v>
      </c>
      <c r="D299">
        <v>-70.018226499999997</v>
      </c>
      <c r="E299">
        <v>-4.8178454999999998</v>
      </c>
      <c r="F299">
        <v>5.21375075</v>
      </c>
      <c r="G299">
        <v>270.49875674999998</v>
      </c>
      <c r="H299">
        <v>4</v>
      </c>
      <c r="I299">
        <v>40</v>
      </c>
      <c r="J299">
        <v>1.17</v>
      </c>
      <c r="K299">
        <v>21.29503725</v>
      </c>
      <c r="L299">
        <v>-3.5997294171146059</v>
      </c>
      <c r="M299">
        <v>0.79071580477129078</v>
      </c>
      <c r="N299">
        <v>-2.1391231270979691</v>
      </c>
      <c r="O299">
        <v>-1.077941627588433</v>
      </c>
    </row>
    <row r="300" spans="1:15" x14ac:dyDescent="0.25">
      <c r="A300">
        <v>-229.4241485</v>
      </c>
      <c r="B300">
        <v>0.96203749999999999</v>
      </c>
      <c r="C300">
        <v>261.082222</v>
      </c>
      <c r="D300">
        <v>-106.29483424999999</v>
      </c>
      <c r="E300">
        <v>-67.09260574999999</v>
      </c>
      <c r="F300">
        <v>5.5061097500000002</v>
      </c>
      <c r="G300">
        <v>268.05751049999998</v>
      </c>
      <c r="H300">
        <v>4</v>
      </c>
      <c r="I300">
        <v>44</v>
      </c>
      <c r="J300">
        <v>1.17</v>
      </c>
      <c r="K300">
        <v>21.185034999999999</v>
      </c>
      <c r="L300">
        <v>-4.8678716200237604</v>
      </c>
      <c r="M300">
        <v>1.064360409608873</v>
      </c>
      <c r="N300">
        <v>-3.3260921438371609</v>
      </c>
      <c r="O300">
        <v>-1.7204818156396651</v>
      </c>
    </row>
    <row r="301" spans="1:15" x14ac:dyDescent="0.25">
      <c r="A301">
        <v>254.806568</v>
      </c>
      <c r="B301">
        <v>12.31378275</v>
      </c>
      <c r="C301">
        <v>-249.24294649999999</v>
      </c>
      <c r="D301">
        <v>-127.01183899999999</v>
      </c>
      <c r="E301">
        <v>-20.566298499999998</v>
      </c>
      <c r="F301">
        <v>5.0188445000000002</v>
      </c>
      <c r="G301">
        <v>261.57418050000001</v>
      </c>
      <c r="H301">
        <v>8</v>
      </c>
      <c r="I301">
        <v>-44</v>
      </c>
      <c r="J301">
        <v>1.17</v>
      </c>
      <c r="K301">
        <v>20.94172975</v>
      </c>
      <c r="L301">
        <v>3.0081707948047001</v>
      </c>
      <c r="M301">
        <v>0.83150104754668308</v>
      </c>
      <c r="N301">
        <v>-1.683832662866833</v>
      </c>
      <c r="O301">
        <v>-1.1526996271738461</v>
      </c>
    </row>
    <row r="302" spans="1:15" x14ac:dyDescent="0.25">
      <c r="A302">
        <v>257.71232600000002</v>
      </c>
      <c r="B302">
        <v>44.541202499999997</v>
      </c>
      <c r="C302">
        <v>-211.36287300000001</v>
      </c>
      <c r="D302">
        <v>-88.943248750000009</v>
      </c>
      <c r="E302">
        <v>31.338218000000001</v>
      </c>
      <c r="F302">
        <v>4.9701179999999994</v>
      </c>
      <c r="G302">
        <v>260.69374049999999</v>
      </c>
      <c r="H302">
        <v>8</v>
      </c>
      <c r="I302">
        <v>-40</v>
      </c>
      <c r="J302">
        <v>1.17</v>
      </c>
      <c r="K302">
        <v>20.907758749999999</v>
      </c>
      <c r="L302">
        <v>2.5845708438145412</v>
      </c>
      <c r="M302">
        <v>0.73550038521001171</v>
      </c>
      <c r="N302">
        <v>-1.263744813342939</v>
      </c>
      <c r="O302">
        <v>-0.854721782969734</v>
      </c>
    </row>
    <row r="303" spans="1:15" x14ac:dyDescent="0.25">
      <c r="A303">
        <v>256.47669975000002</v>
      </c>
      <c r="B303">
        <v>71.621854749999997</v>
      </c>
      <c r="C303">
        <v>-168.402592</v>
      </c>
      <c r="D303">
        <v>-52.229577249999998</v>
      </c>
      <c r="E303">
        <v>76.803194000000005</v>
      </c>
      <c r="F303">
        <v>4.7752119999999998</v>
      </c>
      <c r="G303">
        <v>258.412575</v>
      </c>
      <c r="H303">
        <v>8</v>
      </c>
      <c r="I303">
        <v>-36</v>
      </c>
      <c r="J303">
        <v>1.17</v>
      </c>
      <c r="K303">
        <v>20.822298499999999</v>
      </c>
      <c r="L303">
        <v>2.2706558208007128</v>
      </c>
      <c r="M303">
        <v>0.66186791744927298</v>
      </c>
      <c r="N303">
        <v>-0.97056891714567084</v>
      </c>
      <c r="O303">
        <v>-0.61506520084282157</v>
      </c>
    </row>
    <row r="304" spans="1:15" x14ac:dyDescent="0.25">
      <c r="A304">
        <v>248.35177225000001</v>
      </c>
      <c r="B304">
        <v>96.586076999999989</v>
      </c>
      <c r="C304">
        <v>-119.62096425</v>
      </c>
      <c r="D304">
        <v>-17.48270325</v>
      </c>
      <c r="E304">
        <v>116.918648</v>
      </c>
      <c r="F304">
        <v>5.067571</v>
      </c>
      <c r="G304">
        <v>252.52954099999999</v>
      </c>
      <c r="H304">
        <v>8</v>
      </c>
      <c r="I304">
        <v>-32</v>
      </c>
      <c r="J304">
        <v>1.17</v>
      </c>
      <c r="K304">
        <v>20.567252249999999</v>
      </c>
      <c r="L304">
        <v>1.984019061236771</v>
      </c>
      <c r="M304">
        <v>0.61505741320155782</v>
      </c>
      <c r="N304">
        <v>-0.7312040572481876</v>
      </c>
      <c r="O304">
        <v>-0.39693890503540058</v>
      </c>
    </row>
    <row r="305" spans="1:15" x14ac:dyDescent="0.25">
      <c r="A305">
        <v>242.93516550000001</v>
      </c>
      <c r="B305">
        <v>116.932644</v>
      </c>
      <c r="C305">
        <v>-76.950733</v>
      </c>
      <c r="D305">
        <v>13.2330205</v>
      </c>
      <c r="E305">
        <v>151.08761999999999</v>
      </c>
      <c r="F305">
        <v>4.7752119999999998</v>
      </c>
      <c r="G305">
        <v>249.80815150000001</v>
      </c>
      <c r="H305">
        <v>8</v>
      </c>
      <c r="I305">
        <v>-28</v>
      </c>
      <c r="J305">
        <v>1.17</v>
      </c>
      <c r="K305">
        <v>20.46606075</v>
      </c>
      <c r="L305">
        <v>1.7485171998032449</v>
      </c>
      <c r="M305">
        <v>0.56681635143528974</v>
      </c>
      <c r="N305">
        <v>-0.5396171228319826</v>
      </c>
      <c r="O305">
        <v>-0.20023463401104841</v>
      </c>
    </row>
    <row r="306" spans="1:15" x14ac:dyDescent="0.25">
      <c r="A306">
        <v>234.17829900000001</v>
      </c>
      <c r="B306">
        <v>133.57545500000001</v>
      </c>
      <c r="C306">
        <v>-36.445676749999997</v>
      </c>
      <c r="D306">
        <v>39.874331249999997</v>
      </c>
      <c r="E306">
        <v>178.72066125000001</v>
      </c>
      <c r="F306">
        <v>4.5318839999999998</v>
      </c>
      <c r="G306">
        <v>246.40640275000001</v>
      </c>
      <c r="H306">
        <v>8</v>
      </c>
      <c r="I306">
        <v>-24</v>
      </c>
      <c r="J306">
        <v>1.17</v>
      </c>
      <c r="K306">
        <v>20.333728499999999</v>
      </c>
      <c r="L306">
        <v>1.5288937162680849</v>
      </c>
      <c r="M306">
        <v>0.52937063414793872</v>
      </c>
      <c r="N306">
        <v>-0.38239964437911111</v>
      </c>
      <c r="O306">
        <v>-1.591672636413043E-2</v>
      </c>
    </row>
    <row r="307" spans="1:15" x14ac:dyDescent="0.25">
      <c r="A307">
        <v>224.15756974999999</v>
      </c>
      <c r="B307">
        <v>146.75502399999999</v>
      </c>
      <c r="C307">
        <v>0.63225474999999998</v>
      </c>
      <c r="D307">
        <v>63.141661499999998</v>
      </c>
      <c r="E307">
        <v>201.09613400000001</v>
      </c>
      <c r="F307">
        <v>4.3863139999999996</v>
      </c>
      <c r="G307">
        <v>245.3258515</v>
      </c>
      <c r="H307">
        <v>8</v>
      </c>
      <c r="I307">
        <v>-20</v>
      </c>
      <c r="J307">
        <v>1.17</v>
      </c>
      <c r="K307">
        <v>20.2943295</v>
      </c>
      <c r="L307">
        <v>1.3210239255433041</v>
      </c>
      <c r="M307">
        <v>0.49414106298809718</v>
      </c>
      <c r="N307">
        <v>-0.26141565451660448</v>
      </c>
      <c r="O307">
        <v>0.16253288378098579</v>
      </c>
    </row>
    <row r="308" spans="1:15" x14ac:dyDescent="0.25">
      <c r="A308">
        <v>242.61919399999999</v>
      </c>
      <c r="B308">
        <v>180.71407325000001</v>
      </c>
      <c r="C308">
        <v>40.473197999999996</v>
      </c>
      <c r="D308">
        <v>87.854980499999996</v>
      </c>
      <c r="E308">
        <v>247.266785</v>
      </c>
      <c r="F308">
        <v>5.4585322500000002</v>
      </c>
      <c r="G308">
        <v>278.30276500000002</v>
      </c>
      <c r="H308">
        <v>8</v>
      </c>
      <c r="I308">
        <v>-16</v>
      </c>
      <c r="J308">
        <v>1.17</v>
      </c>
      <c r="K308">
        <v>21.596241500000001</v>
      </c>
      <c r="L308">
        <v>1.103995553279538</v>
      </c>
      <c r="M308">
        <v>0.50717067724753973</v>
      </c>
      <c r="N308">
        <v>-0.1695013903180648</v>
      </c>
      <c r="O308">
        <v>0.32062396181482311</v>
      </c>
    </row>
    <row r="309" spans="1:15" x14ac:dyDescent="0.25">
      <c r="A309">
        <v>250.157318</v>
      </c>
      <c r="B309">
        <v>212.9414865</v>
      </c>
      <c r="C309">
        <v>86.095995000000002</v>
      </c>
      <c r="D309">
        <v>111.25376875000001</v>
      </c>
      <c r="E309">
        <v>288.53752874999998</v>
      </c>
      <c r="F309">
        <v>5.9941917500000006</v>
      </c>
      <c r="G309">
        <v>307.75786599999998</v>
      </c>
      <c r="H309">
        <v>8</v>
      </c>
      <c r="I309">
        <v>-12</v>
      </c>
      <c r="J309">
        <v>1.17</v>
      </c>
      <c r="K309">
        <v>22.71195475</v>
      </c>
      <c r="L309">
        <v>0.86411608391378925</v>
      </c>
      <c r="M309">
        <v>0.53559436739155719</v>
      </c>
      <c r="N309">
        <v>-0.1012372432258436</v>
      </c>
      <c r="O309">
        <v>0.48814410784087747</v>
      </c>
    </row>
    <row r="310" spans="1:15" x14ac:dyDescent="0.25">
      <c r="A310">
        <v>221.58467874999999</v>
      </c>
      <c r="B310">
        <v>215.29842024999999</v>
      </c>
      <c r="C310">
        <v>116.86504725</v>
      </c>
      <c r="D310">
        <v>111.99867025</v>
      </c>
      <c r="E310">
        <v>287.84077474999998</v>
      </c>
      <c r="F310">
        <v>6.2374369999999999</v>
      </c>
      <c r="G310">
        <v>297.91281099999998</v>
      </c>
      <c r="H310">
        <v>8</v>
      </c>
      <c r="I310">
        <v>-8</v>
      </c>
      <c r="J310">
        <v>1.17</v>
      </c>
      <c r="K310">
        <v>22.329127750000001</v>
      </c>
      <c r="L310">
        <v>0.60389670365684145</v>
      </c>
      <c r="M310">
        <v>0.5957173425383383</v>
      </c>
      <c r="N310">
        <v>-5.81098952600183E-2</v>
      </c>
      <c r="O310">
        <v>0.62392853849581964</v>
      </c>
    </row>
    <row r="311" spans="1:15" x14ac:dyDescent="0.25">
      <c r="A311">
        <v>191.432186</v>
      </c>
      <c r="B311">
        <v>212.41238025000001</v>
      </c>
      <c r="C311">
        <v>141.078293</v>
      </c>
      <c r="D311">
        <v>109.50104525</v>
      </c>
      <c r="E311">
        <v>282.47476975000001</v>
      </c>
      <c r="F311">
        <v>5.6043384999999999</v>
      </c>
      <c r="G311">
        <v>287.98772450000001</v>
      </c>
      <c r="H311">
        <v>8</v>
      </c>
      <c r="I311">
        <v>-4</v>
      </c>
      <c r="J311">
        <v>1.17</v>
      </c>
      <c r="K311">
        <v>21.970583000000001</v>
      </c>
      <c r="L311">
        <v>0.32034474496352749</v>
      </c>
      <c r="M311">
        <v>0.65468389469873811</v>
      </c>
      <c r="N311">
        <v>-3.5070790868320073E-2</v>
      </c>
      <c r="O311">
        <v>0.76144725123278889</v>
      </c>
    </row>
    <row r="312" spans="1:15" x14ac:dyDescent="0.25">
      <c r="A312">
        <v>160.24151225</v>
      </c>
      <c r="B312">
        <v>207.16941449999999</v>
      </c>
      <c r="C312">
        <v>159.91583650000001</v>
      </c>
      <c r="D312">
        <v>104.637253</v>
      </c>
      <c r="E312">
        <v>274.96237975000003</v>
      </c>
      <c r="F312">
        <v>5.2148444999999999</v>
      </c>
      <c r="G312">
        <v>278.78301249999998</v>
      </c>
      <c r="H312">
        <v>8</v>
      </c>
      <c r="I312">
        <v>0</v>
      </c>
      <c r="J312">
        <v>1.17</v>
      </c>
      <c r="K312">
        <v>21.62492975</v>
      </c>
      <c r="L312">
        <v>2.2655276036190478E-3</v>
      </c>
      <c r="M312">
        <v>0.71805411718554657</v>
      </c>
      <c r="N312">
        <v>-2.676876984147632E-2</v>
      </c>
      <c r="O312">
        <v>0.88913063202651899</v>
      </c>
    </row>
    <row r="313" spans="1:15" x14ac:dyDescent="0.25">
      <c r="A313">
        <v>131.30775850000001</v>
      </c>
      <c r="B313">
        <v>201.44543825</v>
      </c>
      <c r="C313">
        <v>177.89507674999999</v>
      </c>
      <c r="D313">
        <v>103.9799845</v>
      </c>
      <c r="E313">
        <v>267.67359149999999</v>
      </c>
      <c r="F313">
        <v>5.2639722500000001</v>
      </c>
      <c r="G313">
        <v>272.57982650000002</v>
      </c>
      <c r="H313">
        <v>8</v>
      </c>
      <c r="I313">
        <v>4</v>
      </c>
      <c r="J313">
        <v>1.17</v>
      </c>
      <c r="K313">
        <v>21.376392249999999</v>
      </c>
      <c r="L313">
        <v>-0.31057480082316341</v>
      </c>
      <c r="M313">
        <v>0.64961661026224971</v>
      </c>
      <c r="N313">
        <v>-3.2743249431717081E-2</v>
      </c>
      <c r="O313">
        <v>0.74907434562779285</v>
      </c>
    </row>
    <row r="314" spans="1:15" x14ac:dyDescent="0.25">
      <c r="A314">
        <v>100.83930775</v>
      </c>
      <c r="B314">
        <v>194.278446</v>
      </c>
      <c r="C314">
        <v>195.46775049999999</v>
      </c>
      <c r="D314">
        <v>102.13963149999999</v>
      </c>
      <c r="E314">
        <v>259.98232999999999</v>
      </c>
      <c r="F314">
        <v>5.0690109999999997</v>
      </c>
      <c r="G314">
        <v>268.76905825</v>
      </c>
      <c r="H314">
        <v>8</v>
      </c>
      <c r="I314">
        <v>8</v>
      </c>
      <c r="J314">
        <v>1.17</v>
      </c>
      <c r="K314">
        <v>21.231322250000002</v>
      </c>
      <c r="L314">
        <v>-0.59704843116587558</v>
      </c>
      <c r="M314">
        <v>0.58133846095303321</v>
      </c>
      <c r="N314">
        <v>-5.5449935269650807E-2</v>
      </c>
      <c r="O314">
        <v>0.60837003792120437</v>
      </c>
    </row>
    <row r="315" spans="1:15" x14ac:dyDescent="0.25">
      <c r="A315">
        <v>67.843095500000004</v>
      </c>
      <c r="B315">
        <v>184.04579924999999</v>
      </c>
      <c r="C315">
        <v>208.97476925000001</v>
      </c>
      <c r="D315">
        <v>95.172577000000004</v>
      </c>
      <c r="E315">
        <v>246.43319299999999</v>
      </c>
      <c r="F315">
        <v>4.7278292500000001</v>
      </c>
      <c r="G315">
        <v>262.08483124999998</v>
      </c>
      <c r="H315">
        <v>8</v>
      </c>
      <c r="I315">
        <v>12</v>
      </c>
      <c r="J315">
        <v>1.17</v>
      </c>
      <c r="K315">
        <v>20.974422749999999</v>
      </c>
      <c r="L315">
        <v>-0.85572020976353613</v>
      </c>
      <c r="M315">
        <v>0.53888750050926471</v>
      </c>
      <c r="N315">
        <v>-9.4904392071279833E-2</v>
      </c>
      <c r="O315">
        <v>0.46554543532330062</v>
      </c>
    </row>
    <row r="316" spans="1:15" x14ac:dyDescent="0.25">
      <c r="A316">
        <v>34.846884750000001</v>
      </c>
      <c r="B316">
        <v>173.42698675</v>
      </c>
      <c r="C316">
        <v>220.9458735</v>
      </c>
      <c r="D316">
        <v>84.9629975</v>
      </c>
      <c r="E316">
        <v>229.351448</v>
      </c>
      <c r="F316">
        <v>5.1177512500000004</v>
      </c>
      <c r="G316">
        <v>259.24303424999999</v>
      </c>
      <c r="H316">
        <v>8</v>
      </c>
      <c r="I316">
        <v>16</v>
      </c>
      <c r="J316">
        <v>1.17</v>
      </c>
      <c r="K316">
        <v>20.842315249999999</v>
      </c>
      <c r="L316">
        <v>-1.0982757946687181</v>
      </c>
      <c r="M316">
        <v>0.52207753156314463</v>
      </c>
      <c r="N316">
        <v>-0.17640944822595311</v>
      </c>
      <c r="O316">
        <v>0.32332866030560092</v>
      </c>
    </row>
    <row r="317" spans="1:15" x14ac:dyDescent="0.25">
      <c r="A317">
        <v>-0.81100424999999998</v>
      </c>
      <c r="B317">
        <v>158.41751875</v>
      </c>
      <c r="C317">
        <v>229.07718650000001</v>
      </c>
      <c r="D317">
        <v>66.252736999999996</v>
      </c>
      <c r="E317">
        <v>204.98089949999999</v>
      </c>
      <c r="F317">
        <v>4.7278292500000001</v>
      </c>
      <c r="G317">
        <v>255.24053574999999</v>
      </c>
      <c r="H317">
        <v>8</v>
      </c>
      <c r="I317">
        <v>20</v>
      </c>
      <c r="J317">
        <v>1.17</v>
      </c>
      <c r="K317">
        <v>20.693632749999999</v>
      </c>
      <c r="L317">
        <v>-1.334546763647892</v>
      </c>
      <c r="M317">
        <v>0.53503442526735534</v>
      </c>
      <c r="N317">
        <v>-0.29176807536280369</v>
      </c>
      <c r="O317">
        <v>0.16250329004325029</v>
      </c>
    </row>
    <row r="318" spans="1:15" x14ac:dyDescent="0.25">
      <c r="A318">
        <v>-33.881965000000001</v>
      </c>
      <c r="B318">
        <v>142.75442525</v>
      </c>
      <c r="C318">
        <v>234.63357550000001</v>
      </c>
      <c r="D318">
        <v>41.101233499999999</v>
      </c>
      <c r="E318">
        <v>174.30532074999999</v>
      </c>
      <c r="F318">
        <v>4.5816084999999998</v>
      </c>
      <c r="G318">
        <v>250.8777925</v>
      </c>
      <c r="H318">
        <v>8</v>
      </c>
      <c r="I318">
        <v>24</v>
      </c>
      <c r="J318">
        <v>1.17</v>
      </c>
      <c r="K318">
        <v>20.518749249999999</v>
      </c>
      <c r="L318">
        <v>-1.573070893493413</v>
      </c>
      <c r="M318">
        <v>0.59552321627961358</v>
      </c>
      <c r="N318">
        <v>-0.4485976711615014</v>
      </c>
      <c r="O318">
        <v>-5.6756776425290426E-3</v>
      </c>
    </row>
    <row r="319" spans="1:15" x14ac:dyDescent="0.25">
      <c r="A319">
        <v>-69.566159999999996</v>
      </c>
      <c r="B319">
        <v>125.86639425</v>
      </c>
      <c r="C319">
        <v>238.97029125</v>
      </c>
      <c r="D319">
        <v>7.3175972500000004</v>
      </c>
      <c r="E319">
        <v>138.17430874999999</v>
      </c>
      <c r="F319">
        <v>4.4841274999999996</v>
      </c>
      <c r="G319">
        <v>248.73086549999999</v>
      </c>
      <c r="H319">
        <v>8</v>
      </c>
      <c r="I319">
        <v>28</v>
      </c>
      <c r="J319">
        <v>1.17</v>
      </c>
      <c r="K319">
        <v>20.433202250000001</v>
      </c>
      <c r="L319">
        <v>-1.8224428120878631</v>
      </c>
      <c r="M319">
        <v>0.70023605867982719</v>
      </c>
      <c r="N319">
        <v>-0.65303343147567994</v>
      </c>
      <c r="O319">
        <v>-0.21033267643916009</v>
      </c>
    </row>
    <row r="320" spans="1:15" x14ac:dyDescent="0.25">
      <c r="A320">
        <v>-104.9349615</v>
      </c>
      <c r="B320">
        <v>104.6334895</v>
      </c>
      <c r="C320">
        <v>237.93128974999999</v>
      </c>
      <c r="D320">
        <v>-28.97758125</v>
      </c>
      <c r="E320">
        <v>94.441471250000006</v>
      </c>
      <c r="F320">
        <v>4.6303487499999996</v>
      </c>
      <c r="G320">
        <v>244.32785050000001</v>
      </c>
      <c r="H320">
        <v>8</v>
      </c>
      <c r="I320">
        <v>32</v>
      </c>
      <c r="J320">
        <v>1.17</v>
      </c>
      <c r="K320">
        <v>20.242016249999999</v>
      </c>
      <c r="L320">
        <v>-2.1243674985286352</v>
      </c>
      <c r="M320">
        <v>0.82782184049450858</v>
      </c>
      <c r="N320">
        <v>-0.92868429382361373</v>
      </c>
      <c r="O320">
        <v>-0.44353557240417751</v>
      </c>
    </row>
    <row r="321" spans="1:15" x14ac:dyDescent="0.25">
      <c r="A321">
        <v>-138.88884375000001</v>
      </c>
      <c r="B321">
        <v>81.066587499999997</v>
      </c>
      <c r="C321">
        <v>235.89845274999999</v>
      </c>
      <c r="D321">
        <v>-64.161523000000003</v>
      </c>
      <c r="E321">
        <v>44.984912999999999</v>
      </c>
      <c r="F321">
        <v>4.2891655000000002</v>
      </c>
      <c r="G321">
        <v>241.37982925</v>
      </c>
      <c r="H321">
        <v>8</v>
      </c>
      <c r="I321">
        <v>36</v>
      </c>
      <c r="J321">
        <v>1.17</v>
      </c>
      <c r="K321">
        <v>20.13164475</v>
      </c>
      <c r="L321">
        <v>-2.558150852091738</v>
      </c>
      <c r="M321">
        <v>0.99124047161787165</v>
      </c>
      <c r="N321">
        <v>-1.3405365378868279</v>
      </c>
      <c r="O321">
        <v>-0.72225155563284438</v>
      </c>
    </row>
    <row r="322" spans="1:15" x14ac:dyDescent="0.25">
      <c r="A322">
        <v>-193.56669249999999</v>
      </c>
      <c r="B322">
        <v>63.943589250000002</v>
      </c>
      <c r="C322">
        <v>261.87348150000003</v>
      </c>
      <c r="D322">
        <v>-113.06938175000001</v>
      </c>
      <c r="E322">
        <v>-7.0023272499999996</v>
      </c>
      <c r="F322">
        <v>4.9227902500000003</v>
      </c>
      <c r="G322">
        <v>268.664467</v>
      </c>
      <c r="H322">
        <v>8</v>
      </c>
      <c r="I322">
        <v>40</v>
      </c>
      <c r="J322">
        <v>1.17</v>
      </c>
      <c r="K322">
        <v>21.2329455</v>
      </c>
      <c r="L322">
        <v>-3.1127940821999078</v>
      </c>
      <c r="M322">
        <v>1.209795363909437</v>
      </c>
      <c r="N322">
        <v>-1.884096239513372</v>
      </c>
      <c r="O322">
        <v>-1.0815048921503521</v>
      </c>
    </row>
    <row r="323" spans="1:15" x14ac:dyDescent="0.25">
      <c r="A323">
        <v>-254.18830875</v>
      </c>
      <c r="B323">
        <v>38.440434500000002</v>
      </c>
      <c r="C323">
        <v>284.82185375</v>
      </c>
      <c r="D323">
        <v>-172.423168</v>
      </c>
      <c r="E323">
        <v>-77.873018000000002</v>
      </c>
      <c r="F323">
        <v>5.8488559999999996</v>
      </c>
      <c r="G323">
        <v>297.96472175000002</v>
      </c>
      <c r="H323">
        <v>8</v>
      </c>
      <c r="I323">
        <v>44</v>
      </c>
      <c r="J323">
        <v>1.17</v>
      </c>
      <c r="K323">
        <v>22.345948249999999</v>
      </c>
      <c r="L323">
        <v>-3.979969737384792</v>
      </c>
      <c r="M323">
        <v>1.5569720672172429</v>
      </c>
      <c r="N323">
        <v>-2.7751461949070229</v>
      </c>
      <c r="O323">
        <v>-1.6181873967330409</v>
      </c>
    </row>
    <row r="324" spans="1:15" x14ac:dyDescent="0.25">
      <c r="A324">
        <v>284.86878174999998</v>
      </c>
      <c r="B324">
        <v>48.348046250000003</v>
      </c>
      <c r="C324">
        <v>-287.20086674999999</v>
      </c>
      <c r="D324">
        <v>-197.72937400000001</v>
      </c>
      <c r="E324">
        <v>-31.621976750000002</v>
      </c>
      <c r="F324">
        <v>5.7513757500000002</v>
      </c>
      <c r="G324">
        <v>298.96536250000003</v>
      </c>
      <c r="H324">
        <v>12</v>
      </c>
      <c r="I324">
        <v>-44</v>
      </c>
      <c r="J324">
        <v>1.17</v>
      </c>
      <c r="K324">
        <v>22.3879445</v>
      </c>
      <c r="L324">
        <v>2.7133081227949991</v>
      </c>
      <c r="M324">
        <v>1.1670947524578179</v>
      </c>
      <c r="N324">
        <v>-1.567975974954622</v>
      </c>
      <c r="O324">
        <v>-1.177271952774501</v>
      </c>
    </row>
    <row r="325" spans="1:15" x14ac:dyDescent="0.25">
      <c r="A325">
        <v>279.13619225000002</v>
      </c>
      <c r="B325">
        <v>79.467817249999996</v>
      </c>
      <c r="C325">
        <v>-235.318836</v>
      </c>
      <c r="D325">
        <v>-147.02953324999999</v>
      </c>
      <c r="E325">
        <v>24.59414275</v>
      </c>
      <c r="F325">
        <v>5.5076739999999997</v>
      </c>
      <c r="G325">
        <v>287.90111524999998</v>
      </c>
      <c r="H325">
        <v>12</v>
      </c>
      <c r="I325">
        <v>-40</v>
      </c>
      <c r="J325">
        <v>1.17</v>
      </c>
      <c r="K325">
        <v>21.970961500000001</v>
      </c>
      <c r="L325">
        <v>2.3843044988163071</v>
      </c>
      <c r="M325">
        <v>1.0497176105103201</v>
      </c>
      <c r="N325">
        <v>-1.2203304887581019</v>
      </c>
      <c r="O325">
        <v>-0.91154506009037939</v>
      </c>
    </row>
    <row r="326" spans="1:15" x14ac:dyDescent="0.25">
      <c r="A326">
        <v>271.95918999999998</v>
      </c>
      <c r="B326">
        <v>107.52004825</v>
      </c>
      <c r="C326">
        <v>-182.89542775000001</v>
      </c>
      <c r="D326">
        <v>-101.74933625</v>
      </c>
      <c r="E326">
        <v>74.632019249999999</v>
      </c>
      <c r="F326">
        <v>5.50767425</v>
      </c>
      <c r="G326">
        <v>278.95160675</v>
      </c>
      <c r="H326">
        <v>12</v>
      </c>
      <c r="I326">
        <v>-36</v>
      </c>
      <c r="J326">
        <v>1.17</v>
      </c>
      <c r="K326">
        <v>21.6200245</v>
      </c>
      <c r="L326">
        <v>2.096591558339461</v>
      </c>
      <c r="M326">
        <v>0.96455975092725754</v>
      </c>
      <c r="N326">
        <v>-0.94180155581746383</v>
      </c>
      <c r="O326">
        <v>-0.68137177452817599</v>
      </c>
    </row>
    <row r="327" spans="1:15" x14ac:dyDescent="0.25">
      <c r="A327">
        <v>264.96273074999999</v>
      </c>
      <c r="B327">
        <v>130.30463825000001</v>
      </c>
      <c r="C327">
        <v>-131.32920075000001</v>
      </c>
      <c r="D327">
        <v>-60.009381249999997</v>
      </c>
      <c r="E327">
        <v>117.15750525</v>
      </c>
      <c r="F327">
        <v>5.2152320000000003</v>
      </c>
      <c r="G327">
        <v>273.29189300000002</v>
      </c>
      <c r="H327">
        <v>12</v>
      </c>
      <c r="I327">
        <v>-32</v>
      </c>
      <c r="J327">
        <v>1.17</v>
      </c>
      <c r="K327">
        <v>21.406786749999998</v>
      </c>
      <c r="L327">
        <v>1.862037082799483</v>
      </c>
      <c r="M327">
        <v>0.89418522602002404</v>
      </c>
      <c r="N327">
        <v>-0.73362109228872252</v>
      </c>
      <c r="O327">
        <v>-0.47400309427892362</v>
      </c>
    </row>
    <row r="328" spans="1:15" x14ac:dyDescent="0.25">
      <c r="A328">
        <v>254.68784350000001</v>
      </c>
      <c r="B328">
        <v>149.21856675000001</v>
      </c>
      <c r="C328">
        <v>-80.389316750000006</v>
      </c>
      <c r="D328">
        <v>-22.028205750000001</v>
      </c>
      <c r="E328">
        <v>151.14211649999999</v>
      </c>
      <c r="F328">
        <v>5.0690109999999997</v>
      </c>
      <c r="G328">
        <v>266.51212299999997</v>
      </c>
      <c r="H328">
        <v>12</v>
      </c>
      <c r="I328">
        <v>-28</v>
      </c>
      <c r="J328">
        <v>1.17</v>
      </c>
      <c r="K328">
        <v>21.140274999999999</v>
      </c>
      <c r="L328">
        <v>1.655926866447641</v>
      </c>
      <c r="M328">
        <v>0.84630004597281883</v>
      </c>
      <c r="N328">
        <v>-0.5701547008810508</v>
      </c>
      <c r="O328">
        <v>-0.27812354200774109</v>
      </c>
    </row>
    <row r="329" spans="1:15" x14ac:dyDescent="0.25">
      <c r="A329">
        <v>243.70523075</v>
      </c>
      <c r="B329">
        <v>164.33475125000001</v>
      </c>
      <c r="C329">
        <v>-35.144433999999997</v>
      </c>
      <c r="D329">
        <v>13.010613749999999</v>
      </c>
      <c r="E329">
        <v>181.54940400000001</v>
      </c>
      <c r="F329">
        <v>4.9227902500000003</v>
      </c>
      <c r="G329">
        <v>262.45458200000002</v>
      </c>
      <c r="H329">
        <v>12</v>
      </c>
      <c r="I329">
        <v>-24</v>
      </c>
      <c r="J329">
        <v>1.17</v>
      </c>
      <c r="K329">
        <v>20.981545000000001</v>
      </c>
      <c r="L329">
        <v>1.447700207683565</v>
      </c>
      <c r="M329">
        <v>0.78562939407846066</v>
      </c>
      <c r="N329">
        <v>-0.42004072870051889</v>
      </c>
      <c r="O329">
        <v>-8.3009492181014208E-2</v>
      </c>
    </row>
    <row r="330" spans="1:15" x14ac:dyDescent="0.25">
      <c r="A330">
        <v>232.56854625</v>
      </c>
      <c r="B330">
        <v>177.49135200000001</v>
      </c>
      <c r="C330">
        <v>4.8333257500000002</v>
      </c>
      <c r="D330">
        <v>41.134583250000013</v>
      </c>
      <c r="E330">
        <v>203.86299500000001</v>
      </c>
      <c r="F330">
        <v>5.0202707499999999</v>
      </c>
      <c r="G330">
        <v>260.00351725000002</v>
      </c>
      <c r="H330">
        <v>12</v>
      </c>
      <c r="I330">
        <v>-20</v>
      </c>
      <c r="J330">
        <v>1.17</v>
      </c>
      <c r="K330">
        <v>20.877470249999998</v>
      </c>
      <c r="L330">
        <v>1.259062011373721</v>
      </c>
      <c r="M330">
        <v>0.75386148696869304</v>
      </c>
      <c r="N330">
        <v>-0.31038890013594489</v>
      </c>
      <c r="O330">
        <v>9.9319426746756367E-2</v>
      </c>
    </row>
    <row r="331" spans="1:15" x14ac:dyDescent="0.25">
      <c r="A331">
        <v>215.47409024999999</v>
      </c>
      <c r="B331">
        <v>184.62314975000001</v>
      </c>
      <c r="C331">
        <v>38.079175999999997</v>
      </c>
      <c r="D331">
        <v>54.846110500000002</v>
      </c>
      <c r="E331">
        <v>217.6357155</v>
      </c>
      <c r="F331">
        <v>4.7278292500000001</v>
      </c>
      <c r="G331">
        <v>253.89020550000001</v>
      </c>
      <c r="H331">
        <v>12</v>
      </c>
      <c r="I331">
        <v>-16</v>
      </c>
      <c r="J331">
        <v>1.17</v>
      </c>
      <c r="K331">
        <v>20.637794249999999</v>
      </c>
      <c r="L331">
        <v>1.0363473551164211</v>
      </c>
      <c r="M331">
        <v>0.75816021278817503</v>
      </c>
      <c r="N331">
        <v>-0.21180094403015781</v>
      </c>
      <c r="O331">
        <v>0.2438285638747649</v>
      </c>
    </row>
    <row r="332" spans="1:15" x14ac:dyDescent="0.25">
      <c r="A332">
        <v>198.78363425000001</v>
      </c>
      <c r="B332">
        <v>192.07927325</v>
      </c>
      <c r="C332">
        <v>67.566988250000009</v>
      </c>
      <c r="D332">
        <v>64.6588335</v>
      </c>
      <c r="E332">
        <v>228.41240675</v>
      </c>
      <c r="F332">
        <v>4.5328677500000003</v>
      </c>
      <c r="G332">
        <v>251.20882424999999</v>
      </c>
      <c r="H332">
        <v>12</v>
      </c>
      <c r="I332">
        <v>-12</v>
      </c>
      <c r="J332">
        <v>1.17</v>
      </c>
      <c r="K332">
        <v>20.534562749999999</v>
      </c>
      <c r="L332">
        <v>0.80848178485612654</v>
      </c>
      <c r="M332">
        <v>0.78510254730171947</v>
      </c>
      <c r="N332">
        <v>-0.14046369310823581</v>
      </c>
      <c r="O332">
        <v>0.37942547378508279</v>
      </c>
    </row>
    <row r="333" spans="1:15" x14ac:dyDescent="0.25">
      <c r="A333">
        <v>180.22810724999999</v>
      </c>
      <c r="B333">
        <v>197.16450524999999</v>
      </c>
      <c r="C333">
        <v>91.8717975</v>
      </c>
      <c r="D333">
        <v>66.4987165</v>
      </c>
      <c r="E333">
        <v>233.46538175000001</v>
      </c>
      <c r="F333">
        <v>4.33790575</v>
      </c>
      <c r="G333">
        <v>248.60749799999999</v>
      </c>
      <c r="H333">
        <v>12</v>
      </c>
      <c r="I333">
        <v>-8</v>
      </c>
      <c r="J333">
        <v>1.17</v>
      </c>
      <c r="K333">
        <v>20.434154500000002</v>
      </c>
      <c r="L333">
        <v>0.57269098338782376</v>
      </c>
      <c r="M333">
        <v>0.84698383464235849</v>
      </c>
      <c r="N333">
        <v>-9.8174544231948324E-2</v>
      </c>
      <c r="O333">
        <v>0.48516008565717428</v>
      </c>
    </row>
    <row r="334" spans="1:15" x14ac:dyDescent="0.25">
      <c r="A334">
        <v>157.925354</v>
      </c>
      <c r="B334">
        <v>197.35690725000001</v>
      </c>
      <c r="C334">
        <v>112.88229750000001</v>
      </c>
      <c r="D334">
        <v>64.571222250000005</v>
      </c>
      <c r="E334">
        <v>233.42066174999999</v>
      </c>
      <c r="F334">
        <v>4.33790575</v>
      </c>
      <c r="G334">
        <v>244.40533425000001</v>
      </c>
      <c r="H334">
        <v>12</v>
      </c>
      <c r="I334">
        <v>-4</v>
      </c>
      <c r="J334">
        <v>1.17</v>
      </c>
      <c r="K334">
        <v>20.257618000000001</v>
      </c>
      <c r="L334">
        <v>0.31130332952414302</v>
      </c>
      <c r="M334">
        <v>0.91769367162740956</v>
      </c>
      <c r="N334">
        <v>-7.592165167152902E-2</v>
      </c>
      <c r="O334">
        <v>0.58323156249371388</v>
      </c>
    </row>
    <row r="335" spans="1:15" x14ac:dyDescent="0.25">
      <c r="A335">
        <v>153.56101624999999</v>
      </c>
      <c r="B335">
        <v>223.33124175</v>
      </c>
      <c r="C335">
        <v>149.09983825</v>
      </c>
      <c r="D335">
        <v>70.090875499999996</v>
      </c>
      <c r="E335">
        <v>263.24663550000002</v>
      </c>
      <c r="F335">
        <v>5.4101932499999998</v>
      </c>
      <c r="G335">
        <v>274.90097824999998</v>
      </c>
      <c r="H335">
        <v>12</v>
      </c>
      <c r="I335">
        <v>0</v>
      </c>
      <c r="J335">
        <v>1.17</v>
      </c>
      <c r="K335">
        <v>21.46312825</v>
      </c>
      <c r="L335">
        <v>2.9038684405588482E-2</v>
      </c>
      <c r="M335">
        <v>0.99731999699022822</v>
      </c>
      <c r="N335">
        <v>-7.584621000800508E-2</v>
      </c>
      <c r="O335">
        <v>0.67805957139000372</v>
      </c>
    </row>
    <row r="336" spans="1:15" x14ac:dyDescent="0.25">
      <c r="A336">
        <v>141.93381099999999</v>
      </c>
      <c r="B336">
        <v>245.60184075000001</v>
      </c>
      <c r="C336">
        <v>189.479927</v>
      </c>
      <c r="D336">
        <v>80.385475249999999</v>
      </c>
      <c r="E336">
        <v>290.50492100000002</v>
      </c>
      <c r="F336">
        <v>6.0925585</v>
      </c>
      <c r="G336">
        <v>304.27604674999998</v>
      </c>
      <c r="H336">
        <v>12</v>
      </c>
      <c r="I336">
        <v>4</v>
      </c>
      <c r="J336">
        <v>1.17</v>
      </c>
      <c r="K336">
        <v>22.576841999999999</v>
      </c>
      <c r="L336">
        <v>-0.26510331355045891</v>
      </c>
      <c r="M336">
        <v>0.92121955737856298</v>
      </c>
      <c r="N336">
        <v>-7.678613730650094E-2</v>
      </c>
      <c r="O336">
        <v>0.5858437918477607</v>
      </c>
    </row>
    <row r="337" spans="1:15" x14ac:dyDescent="0.25">
      <c r="A337">
        <v>109.93377475</v>
      </c>
      <c r="B337">
        <v>238.81964875</v>
      </c>
      <c r="C337">
        <v>209.10065474999999</v>
      </c>
      <c r="D337">
        <v>80.8235435</v>
      </c>
      <c r="E337">
        <v>282.30396999999999</v>
      </c>
      <c r="F337">
        <v>5.9950774999999998</v>
      </c>
      <c r="G337">
        <v>299.91380299999997</v>
      </c>
      <c r="H337">
        <v>12</v>
      </c>
      <c r="I337">
        <v>8</v>
      </c>
      <c r="J337">
        <v>1.17</v>
      </c>
      <c r="K337">
        <v>22.414823999999999</v>
      </c>
      <c r="L337">
        <v>-0.53050996469567524</v>
      </c>
      <c r="M337">
        <v>0.84525001915366005</v>
      </c>
      <c r="N337">
        <v>-9.4216154832528612E-2</v>
      </c>
      <c r="O337">
        <v>0.47818759937947819</v>
      </c>
    </row>
    <row r="338" spans="1:15" x14ac:dyDescent="0.25">
      <c r="A338">
        <v>72.677625500000005</v>
      </c>
      <c r="B338">
        <v>224.77427299999999</v>
      </c>
      <c r="C338">
        <v>220.79763825000001</v>
      </c>
      <c r="D338">
        <v>74.077293499999996</v>
      </c>
      <c r="E338">
        <v>261.70922849999999</v>
      </c>
      <c r="F338">
        <v>5.6047554999999996</v>
      </c>
      <c r="G338">
        <v>288.7880935</v>
      </c>
      <c r="H338">
        <v>12</v>
      </c>
      <c r="I338">
        <v>12</v>
      </c>
      <c r="J338">
        <v>1.17</v>
      </c>
      <c r="K338">
        <v>22.001680749999998</v>
      </c>
      <c r="L338">
        <v>-0.78648508519684257</v>
      </c>
      <c r="M338">
        <v>0.80017643081498413</v>
      </c>
      <c r="N338">
        <v>-0.14379290943128509</v>
      </c>
      <c r="O338">
        <v>0.35986034146782792</v>
      </c>
    </row>
    <row r="339" spans="1:15" x14ac:dyDescent="0.25">
      <c r="A339">
        <v>35.212588250000003</v>
      </c>
      <c r="B339">
        <v>208.42005175</v>
      </c>
      <c r="C339">
        <v>229.25795375000001</v>
      </c>
      <c r="D339">
        <v>64.965480749999998</v>
      </c>
      <c r="E339">
        <v>236.65428175</v>
      </c>
      <c r="F339">
        <v>5.5069032499999997</v>
      </c>
      <c r="G339">
        <v>279.4232945</v>
      </c>
      <c r="H339">
        <v>12</v>
      </c>
      <c r="I339">
        <v>16</v>
      </c>
      <c r="J339">
        <v>1.17</v>
      </c>
      <c r="K339">
        <v>21.638687749999999</v>
      </c>
      <c r="L339">
        <v>-1.040089945757902</v>
      </c>
      <c r="M339">
        <v>0.76891981047394986</v>
      </c>
      <c r="N339">
        <v>-0.22924724697276741</v>
      </c>
      <c r="O339">
        <v>0.2389649785186215</v>
      </c>
    </row>
    <row r="340" spans="1:15" x14ac:dyDescent="0.25">
      <c r="A340">
        <v>0.40671075000000001</v>
      </c>
      <c r="B340">
        <v>192.83544950000001</v>
      </c>
      <c r="C340">
        <v>237.82375725</v>
      </c>
      <c r="D340">
        <v>43.938218249999998</v>
      </c>
      <c r="E340">
        <v>209.88613125000001</v>
      </c>
      <c r="F340">
        <v>5.1166502500000002</v>
      </c>
      <c r="G340">
        <v>272.45973950000001</v>
      </c>
      <c r="H340">
        <v>12</v>
      </c>
      <c r="I340">
        <v>20</v>
      </c>
      <c r="J340">
        <v>1.17</v>
      </c>
      <c r="K340">
        <v>21.377478750000002</v>
      </c>
      <c r="L340">
        <v>-1.26477493089167</v>
      </c>
      <c r="M340">
        <v>0.79321448498597669</v>
      </c>
      <c r="N340">
        <v>-0.33334292842766472</v>
      </c>
      <c r="O340">
        <v>9.0867864319981589E-2</v>
      </c>
    </row>
    <row r="341" spans="1:15" x14ac:dyDescent="0.25">
      <c r="A341">
        <v>-35.359558999999997</v>
      </c>
      <c r="B341">
        <v>176.288826</v>
      </c>
      <c r="C341">
        <v>243.43979250000001</v>
      </c>
      <c r="D341">
        <v>15.33237475</v>
      </c>
      <c r="E341">
        <v>177.8033945</v>
      </c>
      <c r="F341">
        <v>5.2148605000000003</v>
      </c>
      <c r="G341">
        <v>268.29758450000003</v>
      </c>
      <c r="H341">
        <v>12</v>
      </c>
      <c r="I341">
        <v>24</v>
      </c>
      <c r="J341">
        <v>1.17</v>
      </c>
      <c r="K341">
        <v>21.206461999999998</v>
      </c>
      <c r="L341">
        <v>-1.4844230683810189</v>
      </c>
      <c r="M341">
        <v>0.8569815595952458</v>
      </c>
      <c r="N341">
        <v>-0.48182313978804808</v>
      </c>
      <c r="O341">
        <v>-8.1080246681813156E-2</v>
      </c>
    </row>
    <row r="342" spans="1:15" x14ac:dyDescent="0.25">
      <c r="A342">
        <v>-73.331670750000001</v>
      </c>
      <c r="B342">
        <v>156.27897625</v>
      </c>
      <c r="C342">
        <v>244.50775924999999</v>
      </c>
      <c r="D342">
        <v>-25.13138575</v>
      </c>
      <c r="E342">
        <v>137.42316025</v>
      </c>
      <c r="F342">
        <v>4.9708419999999993</v>
      </c>
      <c r="G342">
        <v>261.57413450000001</v>
      </c>
      <c r="H342">
        <v>12</v>
      </c>
      <c r="I342">
        <v>28</v>
      </c>
      <c r="J342">
        <v>1.17</v>
      </c>
      <c r="K342">
        <v>20.943687499999999</v>
      </c>
      <c r="L342">
        <v>-1.702816114821879</v>
      </c>
      <c r="M342">
        <v>0.971900212463091</v>
      </c>
      <c r="N342">
        <v>-0.66513644272553774</v>
      </c>
      <c r="O342">
        <v>-0.29038730877306412</v>
      </c>
    </row>
    <row r="343" spans="1:15" x14ac:dyDescent="0.25">
      <c r="A343">
        <v>-110.58307625</v>
      </c>
      <c r="B343">
        <v>136.75012624999999</v>
      </c>
      <c r="C343">
        <v>245.59165200000001</v>
      </c>
      <c r="D343">
        <v>-67.395822249999995</v>
      </c>
      <c r="E343">
        <v>93.797199250000006</v>
      </c>
      <c r="F343">
        <v>4.77522</v>
      </c>
      <c r="G343">
        <v>258.49256924999997</v>
      </c>
      <c r="H343">
        <v>12</v>
      </c>
      <c r="I343">
        <v>32</v>
      </c>
      <c r="J343">
        <v>1.17</v>
      </c>
      <c r="K343">
        <v>20.825581</v>
      </c>
      <c r="L343">
        <v>-1.948582280228313</v>
      </c>
      <c r="M343">
        <v>1.1168550167610869</v>
      </c>
      <c r="N343">
        <v>-0.90102551800227615</v>
      </c>
      <c r="O343">
        <v>-0.51297330565811849</v>
      </c>
    </row>
    <row r="344" spans="1:15" x14ac:dyDescent="0.25">
      <c r="A344">
        <v>-145.80750275</v>
      </c>
      <c r="B344">
        <v>112.74790950000001</v>
      </c>
      <c r="C344">
        <v>243.378704</v>
      </c>
      <c r="D344">
        <v>-106.42595675</v>
      </c>
      <c r="E344">
        <v>44.30266675</v>
      </c>
      <c r="F344">
        <v>4.8733752499999996</v>
      </c>
      <c r="G344">
        <v>254.97076425</v>
      </c>
      <c r="H344">
        <v>12</v>
      </c>
      <c r="I344">
        <v>36</v>
      </c>
      <c r="J344">
        <v>1.17</v>
      </c>
      <c r="K344">
        <v>20.67647075</v>
      </c>
      <c r="L344">
        <v>-2.283764433638086</v>
      </c>
      <c r="M344">
        <v>1.286083673747773</v>
      </c>
      <c r="N344">
        <v>-1.236257060626025</v>
      </c>
      <c r="O344">
        <v>-0.76866271221657567</v>
      </c>
    </row>
    <row r="345" spans="1:15" x14ac:dyDescent="0.25">
      <c r="A345">
        <v>-178.14910875000001</v>
      </c>
      <c r="B345">
        <v>87.014076500000002</v>
      </c>
      <c r="C345">
        <v>238.00441000000001</v>
      </c>
      <c r="D345">
        <v>-143.75153</v>
      </c>
      <c r="E345">
        <v>-10.3926485</v>
      </c>
      <c r="F345">
        <v>4.6290405000000003</v>
      </c>
      <c r="G345">
        <v>250.16829675</v>
      </c>
      <c r="H345">
        <v>12</v>
      </c>
      <c r="I345">
        <v>40</v>
      </c>
      <c r="J345">
        <v>1.17</v>
      </c>
      <c r="K345">
        <v>20.48719625</v>
      </c>
      <c r="L345">
        <v>-2.7641114670082572</v>
      </c>
      <c r="M345">
        <v>1.532765315947763</v>
      </c>
      <c r="N345">
        <v>-1.73067047173763</v>
      </c>
      <c r="O345">
        <v>-1.0997862385692869</v>
      </c>
    </row>
    <row r="346" spans="1:15" x14ac:dyDescent="0.25">
      <c r="A346">
        <v>-208.10338974999999</v>
      </c>
      <c r="B346">
        <v>60.270126249999997</v>
      </c>
      <c r="C346">
        <v>230.19136399999999</v>
      </c>
      <c r="D346">
        <v>-177.2309075</v>
      </c>
      <c r="E346">
        <v>-64.411914749999994</v>
      </c>
      <c r="F346">
        <v>4.23922825</v>
      </c>
      <c r="G346">
        <v>247.8070755</v>
      </c>
      <c r="H346">
        <v>12</v>
      </c>
      <c r="I346">
        <v>44</v>
      </c>
      <c r="J346">
        <v>1.17</v>
      </c>
      <c r="K346">
        <v>20.404783500000001</v>
      </c>
      <c r="L346">
        <v>-3.4174009545615491</v>
      </c>
      <c r="M346">
        <v>1.8518004235927139</v>
      </c>
      <c r="N346">
        <v>-2.4343986566217328</v>
      </c>
      <c r="O346">
        <v>-1.5352761303044391</v>
      </c>
    </row>
    <row r="347" spans="1:15" x14ac:dyDescent="0.25">
      <c r="A347">
        <v>222.32143775</v>
      </c>
      <c r="B347">
        <v>62.819459999999999</v>
      </c>
      <c r="C347">
        <v>-235.36394125000001</v>
      </c>
      <c r="D347">
        <v>-195.98110600000001</v>
      </c>
      <c r="E347">
        <v>-33.682334750000003</v>
      </c>
      <c r="F347">
        <v>4.4341344999999999</v>
      </c>
      <c r="G347">
        <v>242.164188</v>
      </c>
      <c r="H347">
        <v>16</v>
      </c>
      <c r="I347">
        <v>-44</v>
      </c>
      <c r="J347">
        <v>1.17</v>
      </c>
      <c r="K347">
        <v>20.15877175</v>
      </c>
      <c r="L347">
        <v>2.514939847893086</v>
      </c>
      <c r="M347">
        <v>1.422063880851334</v>
      </c>
      <c r="N347">
        <v>-1.5157713562008139</v>
      </c>
      <c r="O347">
        <v>-1.209464934134338</v>
      </c>
    </row>
    <row r="348" spans="1:15" x14ac:dyDescent="0.25">
      <c r="A348">
        <v>243.83792124999999</v>
      </c>
      <c r="B348">
        <v>95.479785750000005</v>
      </c>
      <c r="C348">
        <v>-216.77664924999999</v>
      </c>
      <c r="D348">
        <v>-173.428417</v>
      </c>
      <c r="E348">
        <v>12.07036675</v>
      </c>
      <c r="F348">
        <v>4.6290405000000003</v>
      </c>
      <c r="G348">
        <v>259.4530565</v>
      </c>
      <c r="H348">
        <v>16</v>
      </c>
      <c r="I348">
        <v>-40</v>
      </c>
      <c r="J348">
        <v>1.17</v>
      </c>
      <c r="K348">
        <v>20.87088275</v>
      </c>
      <c r="L348">
        <v>2.2233408248996849</v>
      </c>
      <c r="M348">
        <v>1.297982776893178</v>
      </c>
      <c r="N348">
        <v>-1.194093655138003</v>
      </c>
      <c r="O348">
        <v>-0.96407513243913834</v>
      </c>
    </row>
    <row r="349" spans="1:15" x14ac:dyDescent="0.25">
      <c r="A349">
        <v>275.29051974999999</v>
      </c>
      <c r="B349">
        <v>136.846329</v>
      </c>
      <c r="C349">
        <v>-198.6404915</v>
      </c>
      <c r="D349">
        <v>-154.02262099999999</v>
      </c>
      <c r="E349">
        <v>63.123470249999997</v>
      </c>
      <c r="F349">
        <v>5.9446574999999999</v>
      </c>
      <c r="G349">
        <v>291.54951475000001</v>
      </c>
      <c r="H349">
        <v>16</v>
      </c>
      <c r="I349">
        <v>-36</v>
      </c>
      <c r="J349">
        <v>1.17</v>
      </c>
      <c r="K349">
        <v>22.095503749999999</v>
      </c>
      <c r="L349">
        <v>1.9792065689997489</v>
      </c>
      <c r="M349">
        <v>1.2147108252040171</v>
      </c>
      <c r="N349">
        <v>-0.95393986762772431</v>
      </c>
      <c r="O349">
        <v>-0.76120917183561654</v>
      </c>
    </row>
    <row r="350" spans="1:15" x14ac:dyDescent="0.25">
      <c r="A350">
        <v>289.47290049999998</v>
      </c>
      <c r="B350">
        <v>172.05598424999999</v>
      </c>
      <c r="C350">
        <v>-158.80412275</v>
      </c>
      <c r="D350">
        <v>-117.39635275000001</v>
      </c>
      <c r="E350">
        <v>114.31068424999999</v>
      </c>
      <c r="F350">
        <v>6.4319230000000003</v>
      </c>
      <c r="G350">
        <v>307.95792375000002</v>
      </c>
      <c r="H350">
        <v>16</v>
      </c>
      <c r="I350">
        <v>-32</v>
      </c>
      <c r="J350">
        <v>1.17</v>
      </c>
      <c r="K350">
        <v>22.703040000000001</v>
      </c>
      <c r="L350">
        <v>1.775995701342479</v>
      </c>
      <c r="M350">
        <v>1.1467673536016341</v>
      </c>
      <c r="N350">
        <v>-0.76721234164633922</v>
      </c>
      <c r="O350">
        <v>-0.57260923075896786</v>
      </c>
    </row>
    <row r="351" spans="1:15" x14ac:dyDescent="0.25">
      <c r="A351">
        <v>271.50778924999997</v>
      </c>
      <c r="B351">
        <v>186.87097175</v>
      </c>
      <c r="C351">
        <v>-98.846544499999993</v>
      </c>
      <c r="D351">
        <v>-65.03565900000001</v>
      </c>
      <c r="E351">
        <v>150.87936775</v>
      </c>
      <c r="F351">
        <v>5.9446574999999999</v>
      </c>
      <c r="G351">
        <v>293.47049724999999</v>
      </c>
      <c r="H351">
        <v>16</v>
      </c>
      <c r="I351">
        <v>-28</v>
      </c>
      <c r="J351">
        <v>1.17</v>
      </c>
      <c r="K351">
        <v>22.169727250000001</v>
      </c>
      <c r="L351">
        <v>1.590744656201333</v>
      </c>
      <c r="M351">
        <v>1.0819799847194209</v>
      </c>
      <c r="N351">
        <v>-0.61247074865601037</v>
      </c>
      <c r="O351">
        <v>-0.37748296386749969</v>
      </c>
    </row>
    <row r="352" spans="1:15" x14ac:dyDescent="0.25">
      <c r="A352">
        <v>254.03921500000001</v>
      </c>
      <c r="B352">
        <v>198.94422524999999</v>
      </c>
      <c r="C352">
        <v>-50.30301</v>
      </c>
      <c r="D352">
        <v>-24.738026250000001</v>
      </c>
      <c r="E352">
        <v>178.68587500000001</v>
      </c>
      <c r="F352">
        <v>5.6035715000000001</v>
      </c>
      <c r="G352">
        <v>284.22576125000001</v>
      </c>
      <c r="H352">
        <v>16</v>
      </c>
      <c r="I352">
        <v>-24</v>
      </c>
      <c r="J352">
        <v>1.17</v>
      </c>
      <c r="K352">
        <v>21.823769500000001</v>
      </c>
      <c r="L352">
        <v>1.4076639119885399</v>
      </c>
      <c r="M352">
        <v>1.0345811780832059</v>
      </c>
      <c r="N352">
        <v>-0.48816055787159612</v>
      </c>
      <c r="O352">
        <v>-0.19944345014733511</v>
      </c>
    </row>
    <row r="353" spans="1:15" x14ac:dyDescent="0.25">
      <c r="A353">
        <v>237.1729315</v>
      </c>
      <c r="B353">
        <v>207.50613799999999</v>
      </c>
      <c r="C353">
        <v>-5.3235472499999998</v>
      </c>
      <c r="D353">
        <v>11.873321750000001</v>
      </c>
      <c r="E353">
        <v>200.94895925</v>
      </c>
      <c r="F353">
        <v>5.4086654999999997</v>
      </c>
      <c r="G353">
        <v>275.82145700000001</v>
      </c>
      <c r="H353">
        <v>16</v>
      </c>
      <c r="I353">
        <v>-20</v>
      </c>
      <c r="J353">
        <v>1.17</v>
      </c>
      <c r="K353">
        <v>21.499861249999999</v>
      </c>
      <c r="L353">
        <v>1.2267453861960169</v>
      </c>
      <c r="M353">
        <v>0.98965758810140847</v>
      </c>
      <c r="N353">
        <v>-0.37876234153328142</v>
      </c>
      <c r="O353">
        <v>-1.078382389900018E-2</v>
      </c>
    </row>
    <row r="354" spans="1:15" x14ac:dyDescent="0.25">
      <c r="A354">
        <v>220.04995374999999</v>
      </c>
      <c r="B354">
        <v>215.82755275</v>
      </c>
      <c r="C354">
        <v>32.200611250000001</v>
      </c>
      <c r="D354">
        <v>26.504725000000001</v>
      </c>
      <c r="E354">
        <v>216.1933635</v>
      </c>
      <c r="F354">
        <v>5.2137592499999998</v>
      </c>
      <c r="G354">
        <v>270.81887825000001</v>
      </c>
      <c r="H354">
        <v>16</v>
      </c>
      <c r="I354">
        <v>-16</v>
      </c>
      <c r="J354">
        <v>1.17</v>
      </c>
      <c r="K354">
        <v>21.307882249999999</v>
      </c>
      <c r="L354">
        <v>1.0054008023675931</v>
      </c>
      <c r="M354">
        <v>1.013283044228674</v>
      </c>
      <c r="N354">
        <v>-0.29236700527874671</v>
      </c>
      <c r="O354">
        <v>0.12920379427215811</v>
      </c>
    </row>
    <row r="355" spans="1:15" x14ac:dyDescent="0.25">
      <c r="A355">
        <v>199.10570874999999</v>
      </c>
      <c r="B355">
        <v>219.40225225</v>
      </c>
      <c r="C355">
        <v>64.807666749999996</v>
      </c>
      <c r="D355">
        <v>35.2689515</v>
      </c>
      <c r="E355">
        <v>225.3578875</v>
      </c>
      <c r="F355">
        <v>4.77522</v>
      </c>
      <c r="G355">
        <v>264.45561199999997</v>
      </c>
      <c r="H355">
        <v>16</v>
      </c>
      <c r="I355">
        <v>-12</v>
      </c>
      <c r="J355">
        <v>1.17</v>
      </c>
      <c r="K355">
        <v>21.068887</v>
      </c>
      <c r="L355">
        <v>0.76601705100873874</v>
      </c>
      <c r="M355">
        <v>1.050274722113246</v>
      </c>
      <c r="N355">
        <v>-0.22301054262601039</v>
      </c>
      <c r="O355">
        <v>0.25817764569755952</v>
      </c>
    </row>
    <row r="356" spans="1:15" x14ac:dyDescent="0.25">
      <c r="A356">
        <v>178.47743975</v>
      </c>
      <c r="B356">
        <v>222.62524425000001</v>
      </c>
      <c r="C356">
        <v>87.11775025</v>
      </c>
      <c r="D356">
        <v>35.444212</v>
      </c>
      <c r="E356">
        <v>230.90131775</v>
      </c>
      <c r="F356">
        <v>4.9701259999999996</v>
      </c>
      <c r="G356">
        <v>260.893799</v>
      </c>
      <c r="H356">
        <v>16</v>
      </c>
      <c r="I356">
        <v>-8</v>
      </c>
      <c r="J356">
        <v>1.17</v>
      </c>
      <c r="K356">
        <v>20.915934750000002</v>
      </c>
      <c r="L356">
        <v>0.53860798844877122</v>
      </c>
      <c r="M356">
        <v>1.103519722682714</v>
      </c>
      <c r="N356">
        <v>-0.17682037653871929</v>
      </c>
      <c r="O356">
        <v>0.33199040321080692</v>
      </c>
    </row>
    <row r="357" spans="1:15" x14ac:dyDescent="0.25">
      <c r="A357">
        <v>157.17208099999999</v>
      </c>
      <c r="B357">
        <v>224.29325474999999</v>
      </c>
      <c r="C357">
        <v>107.214901</v>
      </c>
      <c r="D357">
        <v>33.558132999999998</v>
      </c>
      <c r="E357">
        <v>233.80712475000001</v>
      </c>
      <c r="F357">
        <v>4.77522</v>
      </c>
      <c r="G357">
        <v>258.17240924999999</v>
      </c>
      <c r="H357">
        <v>16</v>
      </c>
      <c r="I357">
        <v>-4</v>
      </c>
      <c r="J357">
        <v>1.17</v>
      </c>
      <c r="K357">
        <v>20.812437249999999</v>
      </c>
      <c r="L357">
        <v>0.30569417355768319</v>
      </c>
      <c r="M357">
        <v>1.167169835942711</v>
      </c>
      <c r="N357">
        <v>-0.1491435646830489</v>
      </c>
      <c r="O357">
        <v>0.40150488351932989</v>
      </c>
    </row>
    <row r="358" spans="1:15" x14ac:dyDescent="0.25">
      <c r="A358">
        <v>131.30775075</v>
      </c>
      <c r="B358">
        <v>219.61003124999999</v>
      </c>
      <c r="C358">
        <v>125.731369</v>
      </c>
      <c r="D358">
        <v>33.691695250000002</v>
      </c>
      <c r="E358">
        <v>230.45427325</v>
      </c>
      <c r="F358">
        <v>4.7264935000000001</v>
      </c>
      <c r="G358">
        <v>252.44946300000001</v>
      </c>
      <c r="H358">
        <v>16</v>
      </c>
      <c r="I358">
        <v>0</v>
      </c>
      <c r="J358">
        <v>1.17</v>
      </c>
      <c r="K358">
        <v>20.578095749999999</v>
      </c>
      <c r="L358">
        <v>3.6986841370770587E-2</v>
      </c>
      <c r="M358">
        <v>1.233349800343142</v>
      </c>
      <c r="N358">
        <v>-0.14591206115310801</v>
      </c>
      <c r="O358">
        <v>0.49744300426777172</v>
      </c>
    </row>
    <row r="359" spans="1:15" x14ac:dyDescent="0.25">
      <c r="A359">
        <v>108.24200075</v>
      </c>
      <c r="B359">
        <v>216.69062049999999</v>
      </c>
      <c r="C359">
        <v>143.34459699999999</v>
      </c>
      <c r="D359">
        <v>34.528540749999998</v>
      </c>
      <c r="E359">
        <v>226.96725475</v>
      </c>
      <c r="F359">
        <v>4.4828609999999998</v>
      </c>
      <c r="G359">
        <v>249.84812925</v>
      </c>
      <c r="H359">
        <v>16</v>
      </c>
      <c r="I359">
        <v>4</v>
      </c>
      <c r="J359">
        <v>1.17</v>
      </c>
      <c r="K359">
        <v>20.479936500000001</v>
      </c>
      <c r="L359">
        <v>-0.22561596913057461</v>
      </c>
      <c r="M359">
        <v>1.1708509832353211</v>
      </c>
      <c r="N359">
        <v>-0.1470709492904605</v>
      </c>
      <c r="O359">
        <v>0.43001340906868579</v>
      </c>
    </row>
    <row r="360" spans="1:15" x14ac:dyDescent="0.25">
      <c r="A360">
        <v>82.558219750000006</v>
      </c>
      <c r="B360">
        <v>212.60119624999999</v>
      </c>
      <c r="C360">
        <v>160.28039924999999</v>
      </c>
      <c r="D360">
        <v>34.616176000000003</v>
      </c>
      <c r="E360">
        <v>220.61915974999999</v>
      </c>
      <c r="F360">
        <v>4.5803140000000004</v>
      </c>
      <c r="G360">
        <v>247.446888</v>
      </c>
      <c r="H360">
        <v>16</v>
      </c>
      <c r="I360">
        <v>8</v>
      </c>
      <c r="J360">
        <v>1.17</v>
      </c>
      <c r="K360">
        <v>20.375382999999999</v>
      </c>
      <c r="L360">
        <v>-0.47967868540476449</v>
      </c>
      <c r="M360">
        <v>1.0984712683940441</v>
      </c>
      <c r="N360">
        <v>-0.16558080648837051</v>
      </c>
      <c r="O360">
        <v>0.33330465749697918</v>
      </c>
    </row>
    <row r="361" spans="1:15" x14ac:dyDescent="0.25">
      <c r="A361">
        <v>54.39182375</v>
      </c>
      <c r="B361">
        <v>204.73052999999999</v>
      </c>
      <c r="C361">
        <v>174.46130375000001</v>
      </c>
      <c r="D361">
        <v>32.250006499999998</v>
      </c>
      <c r="E361">
        <v>207.20766075</v>
      </c>
      <c r="F361">
        <v>4.385408</v>
      </c>
      <c r="G361">
        <v>242.72447199999999</v>
      </c>
      <c r="H361">
        <v>16</v>
      </c>
      <c r="I361">
        <v>12</v>
      </c>
      <c r="J361">
        <v>1.17</v>
      </c>
      <c r="K361">
        <v>20.184575500000001</v>
      </c>
      <c r="L361">
        <v>-0.73263552252930708</v>
      </c>
      <c r="M361">
        <v>1.052455346939843</v>
      </c>
      <c r="N361">
        <v>-0.21673107417705539</v>
      </c>
      <c r="O361">
        <v>0.2375720780531595</v>
      </c>
    </row>
    <row r="362" spans="1:15" x14ac:dyDescent="0.25">
      <c r="A362">
        <v>31.145519</v>
      </c>
      <c r="B362">
        <v>222.96054075000001</v>
      </c>
      <c r="C362">
        <v>212.53297425</v>
      </c>
      <c r="D362">
        <v>35.886894499999997</v>
      </c>
      <c r="E362">
        <v>218.96506875</v>
      </c>
      <c r="F362">
        <v>5.3599389999999998</v>
      </c>
      <c r="G362">
        <v>273.50025950000003</v>
      </c>
      <c r="H362">
        <v>16</v>
      </c>
      <c r="I362">
        <v>16</v>
      </c>
      <c r="J362">
        <v>1.17</v>
      </c>
      <c r="K362">
        <v>21.409263249999999</v>
      </c>
      <c r="L362">
        <v>-0.97810556178885655</v>
      </c>
      <c r="M362">
        <v>1.0087679294392109</v>
      </c>
      <c r="N362">
        <v>-0.2940681257657799</v>
      </c>
      <c r="O362">
        <v>0.15182823215924221</v>
      </c>
    </row>
    <row r="363" spans="1:15" x14ac:dyDescent="0.25">
      <c r="A363">
        <v>-4.3247564999999986</v>
      </c>
      <c r="B363">
        <v>236.2716025</v>
      </c>
      <c r="C363">
        <v>250.96593849999999</v>
      </c>
      <c r="D363">
        <v>13.6273795</v>
      </c>
      <c r="E363">
        <v>218.29449074999999</v>
      </c>
      <c r="F363">
        <v>6.2857432500000003</v>
      </c>
      <c r="G363">
        <v>303.79579174999998</v>
      </c>
      <c r="H363">
        <v>16</v>
      </c>
      <c r="I363">
        <v>20</v>
      </c>
      <c r="J363">
        <v>1.17</v>
      </c>
      <c r="K363">
        <v>22.551340499999998</v>
      </c>
      <c r="L363">
        <v>-1.1949490866478849</v>
      </c>
      <c r="M363">
        <v>1.042119172461865</v>
      </c>
      <c r="N363">
        <v>-0.40021381206607359</v>
      </c>
      <c r="O363">
        <v>-7.6414922877833984E-3</v>
      </c>
    </row>
    <row r="364" spans="1:15" x14ac:dyDescent="0.25">
      <c r="A364">
        <v>-46.764921999999999</v>
      </c>
      <c r="B364">
        <v>219.33658975</v>
      </c>
      <c r="C364">
        <v>259.50158699999997</v>
      </c>
      <c r="D364">
        <v>-22.071914</v>
      </c>
      <c r="E364">
        <v>182.53050625</v>
      </c>
      <c r="F364">
        <v>5.8959307499999998</v>
      </c>
      <c r="G364">
        <v>299.55361950000002</v>
      </c>
      <c r="H364">
        <v>16</v>
      </c>
      <c r="I364">
        <v>24</v>
      </c>
      <c r="J364">
        <v>1.17</v>
      </c>
      <c r="K364">
        <v>22.4048795</v>
      </c>
      <c r="L364">
        <v>-1.4116917720221021</v>
      </c>
      <c r="M364">
        <v>1.1127467941037159</v>
      </c>
      <c r="N364">
        <v>-0.53940160112368263</v>
      </c>
      <c r="O364">
        <v>-0.18581444781206441</v>
      </c>
    </row>
    <row r="365" spans="1:15" x14ac:dyDescent="0.25">
      <c r="A365">
        <v>-85.420232749999997</v>
      </c>
      <c r="B365">
        <v>195.39118174999999</v>
      </c>
      <c r="C365">
        <v>258.46285999999998</v>
      </c>
      <c r="D365">
        <v>-63.462211250000003</v>
      </c>
      <c r="E365">
        <v>139.88194275000001</v>
      </c>
      <c r="F365">
        <v>5.7497515000000003</v>
      </c>
      <c r="G365">
        <v>288.82811724999999</v>
      </c>
      <c r="H365">
        <v>16</v>
      </c>
      <c r="I365">
        <v>28</v>
      </c>
      <c r="J365">
        <v>1.17</v>
      </c>
      <c r="K365">
        <v>21.997603000000002</v>
      </c>
      <c r="L365">
        <v>-1.604508083137907</v>
      </c>
      <c r="M365">
        <v>1.2077703986526891</v>
      </c>
      <c r="N365">
        <v>-0.69495993825258651</v>
      </c>
      <c r="O365">
        <v>-0.3741568632558171</v>
      </c>
    </row>
    <row r="366" spans="1:15" x14ac:dyDescent="0.25">
      <c r="A366">
        <v>-124.59982675000001</v>
      </c>
      <c r="B366">
        <v>171.28604125000001</v>
      </c>
      <c r="C366">
        <v>255.79829025000001</v>
      </c>
      <c r="D366">
        <v>-110.4469775</v>
      </c>
      <c r="E366">
        <v>89.901759999999996</v>
      </c>
      <c r="F366">
        <v>5.4573919999999996</v>
      </c>
      <c r="G366">
        <v>279.74345399999999</v>
      </c>
      <c r="H366">
        <v>16</v>
      </c>
      <c r="I366">
        <v>32</v>
      </c>
      <c r="J366">
        <v>1.17</v>
      </c>
      <c r="K366">
        <v>21.653286250000001</v>
      </c>
      <c r="L366">
        <v>-1.833912150331716</v>
      </c>
      <c r="M366">
        <v>1.3582386588589039</v>
      </c>
      <c r="N366">
        <v>-0.91523702831838927</v>
      </c>
      <c r="O366">
        <v>-0.59289748741287296</v>
      </c>
    </row>
    <row r="367" spans="1:15" x14ac:dyDescent="0.25">
      <c r="A367">
        <v>-163.18143850000001</v>
      </c>
      <c r="B367">
        <v>144.94749849999999</v>
      </c>
      <c r="C367">
        <v>250.153019</v>
      </c>
      <c r="D367">
        <v>-154.15373975</v>
      </c>
      <c r="E367">
        <v>38.133379249999997</v>
      </c>
      <c r="F367">
        <v>5.1163057500000004</v>
      </c>
      <c r="G367">
        <v>273.06004324999998</v>
      </c>
      <c r="H367">
        <v>16</v>
      </c>
      <c r="I367">
        <v>36</v>
      </c>
      <c r="J367">
        <v>1.17</v>
      </c>
      <c r="K367">
        <v>21.40148125</v>
      </c>
      <c r="L367">
        <v>-2.1002814046391629</v>
      </c>
      <c r="M367">
        <v>1.5198148703157759</v>
      </c>
      <c r="N367">
        <v>-1.1937426217582221</v>
      </c>
      <c r="O367">
        <v>-0.83224093404556665</v>
      </c>
    </row>
    <row r="368" spans="1:15" x14ac:dyDescent="0.25">
      <c r="A368">
        <v>-198.77320850000001</v>
      </c>
      <c r="B368">
        <v>119.24982249999999</v>
      </c>
      <c r="C368">
        <v>244.77873600000001</v>
      </c>
      <c r="D368">
        <v>-193.14016724999999</v>
      </c>
      <c r="E368">
        <v>-14.0975065</v>
      </c>
      <c r="F368">
        <v>5.0675792499999996</v>
      </c>
      <c r="G368">
        <v>269.017967</v>
      </c>
      <c r="H368">
        <v>16</v>
      </c>
      <c r="I368">
        <v>40</v>
      </c>
      <c r="J368">
        <v>1.17</v>
      </c>
      <c r="K368">
        <v>21.241401750000001</v>
      </c>
      <c r="L368">
        <v>-2.4389978312271179</v>
      </c>
      <c r="M368">
        <v>1.71775180842811</v>
      </c>
      <c r="N368">
        <v>-1.5567902570976571</v>
      </c>
      <c r="O368">
        <v>-1.1053847906521701</v>
      </c>
    </row>
    <row r="369" spans="1:15" x14ac:dyDescent="0.25">
      <c r="A369">
        <v>-231.166256</v>
      </c>
      <c r="B369">
        <v>89.617704500000002</v>
      </c>
      <c r="C369">
        <v>233.80432525000001</v>
      </c>
      <c r="D369">
        <v>-227.537384</v>
      </c>
      <c r="E369">
        <v>-71.245943249999996</v>
      </c>
      <c r="F369">
        <v>5.0675792499999996</v>
      </c>
      <c r="G369">
        <v>262.53462200000001</v>
      </c>
      <c r="H369">
        <v>16</v>
      </c>
      <c r="I369">
        <v>44</v>
      </c>
      <c r="J369">
        <v>1.17</v>
      </c>
      <c r="K369">
        <v>20.978907</v>
      </c>
      <c r="L369">
        <v>-2.940948671757964</v>
      </c>
      <c r="M369">
        <v>2.0060013984513709</v>
      </c>
      <c r="N369">
        <v>-2.1111936211664779</v>
      </c>
      <c r="O369">
        <v>-1.4827094408095129</v>
      </c>
    </row>
    <row r="370" spans="1:15" x14ac:dyDescent="0.25">
      <c r="A370">
        <v>227.49779849999999</v>
      </c>
      <c r="B370">
        <v>90.862097000000006</v>
      </c>
      <c r="C370">
        <v>-267.63124875</v>
      </c>
      <c r="D370">
        <v>-253.93625650000001</v>
      </c>
      <c r="E370">
        <v>-48.85053825</v>
      </c>
      <c r="F370">
        <v>4.8239464999999999</v>
      </c>
      <c r="G370">
        <v>261.85427075000001</v>
      </c>
      <c r="H370">
        <v>20</v>
      </c>
      <c r="I370">
        <v>-44</v>
      </c>
      <c r="J370">
        <v>1.17</v>
      </c>
      <c r="K370">
        <v>20.96110775</v>
      </c>
      <c r="L370">
        <v>2.3362599987922241</v>
      </c>
      <c r="M370">
        <v>1.6269213453486151</v>
      </c>
      <c r="N370">
        <v>-1.4660775344042689</v>
      </c>
      <c r="O370">
        <v>-1.253264985484229</v>
      </c>
    </row>
    <row r="371" spans="1:15" x14ac:dyDescent="0.25">
      <c r="A371">
        <v>231.10887550000001</v>
      </c>
      <c r="B371">
        <v>115.7862435</v>
      </c>
      <c r="C371">
        <v>-229.69455725</v>
      </c>
      <c r="D371">
        <v>-213.72604749999999</v>
      </c>
      <c r="E371">
        <v>-2.4982915000000001</v>
      </c>
      <c r="F371">
        <v>4.7264935000000001</v>
      </c>
      <c r="G371">
        <v>258.81272899999999</v>
      </c>
      <c r="H371">
        <v>20</v>
      </c>
      <c r="I371">
        <v>-40</v>
      </c>
      <c r="J371">
        <v>1.17</v>
      </c>
      <c r="K371">
        <v>20.840713749999999</v>
      </c>
      <c r="L371">
        <v>2.1020988632997359</v>
      </c>
      <c r="M371">
        <v>1.5031703291296381</v>
      </c>
      <c r="N371">
        <v>-1.19205741362381</v>
      </c>
      <c r="O371">
        <v>-1.032961927041153</v>
      </c>
    </row>
    <row r="372" spans="1:15" x14ac:dyDescent="0.25">
      <c r="A372">
        <v>231.19915800000001</v>
      </c>
      <c r="B372">
        <v>138.73189550000001</v>
      </c>
      <c r="C372">
        <v>-188.41998325</v>
      </c>
      <c r="D372">
        <v>-172.42316049999999</v>
      </c>
      <c r="E372">
        <v>39.876873250000003</v>
      </c>
      <c r="F372">
        <v>4.5315874999999997</v>
      </c>
      <c r="G372">
        <v>256.93176299999999</v>
      </c>
      <c r="H372">
        <v>20</v>
      </c>
      <c r="I372">
        <v>-36</v>
      </c>
      <c r="J372">
        <v>1.165</v>
      </c>
      <c r="K372">
        <v>20.81611925</v>
      </c>
      <c r="L372">
        <v>1.904780749219261</v>
      </c>
      <c r="M372">
        <v>1.412416221543034</v>
      </c>
      <c r="N372">
        <v>-0.98528058918751948</v>
      </c>
      <c r="O372">
        <v>-0.83953375683718512</v>
      </c>
    </row>
    <row r="373" spans="1:15" x14ac:dyDescent="0.25">
      <c r="A373">
        <v>227.45265950000001</v>
      </c>
      <c r="B373">
        <v>159.27230825000001</v>
      </c>
      <c r="C373">
        <v>-146.79395675000001</v>
      </c>
      <c r="D373">
        <v>-132.9122505</v>
      </c>
      <c r="E373">
        <v>76.534965749999998</v>
      </c>
      <c r="F373">
        <v>4.9213994999999997</v>
      </c>
      <c r="G373">
        <v>254.49051299999999</v>
      </c>
      <c r="H373">
        <v>20</v>
      </c>
      <c r="I373">
        <v>-32</v>
      </c>
      <c r="J373">
        <v>1.1675</v>
      </c>
      <c r="K373">
        <v>20.6768535</v>
      </c>
      <c r="L373">
        <v>1.7295336901992031</v>
      </c>
      <c r="M373">
        <v>1.350292811844257</v>
      </c>
      <c r="N373">
        <v>-0.8224094397366295</v>
      </c>
      <c r="O373">
        <v>-0.66906105898783219</v>
      </c>
    </row>
    <row r="374" spans="1:15" x14ac:dyDescent="0.25">
      <c r="A374">
        <v>220.36591749999999</v>
      </c>
      <c r="B374">
        <v>173.89591225000001</v>
      </c>
      <c r="C374">
        <v>-101.623583</v>
      </c>
      <c r="D374">
        <v>-89.030666499999995</v>
      </c>
      <c r="E374">
        <v>110.15311975</v>
      </c>
      <c r="F374">
        <v>4.5803140000000004</v>
      </c>
      <c r="G374">
        <v>250.4484405</v>
      </c>
      <c r="H374">
        <v>20</v>
      </c>
      <c r="I374">
        <v>-28</v>
      </c>
      <c r="J374">
        <v>1.17</v>
      </c>
      <c r="K374">
        <v>20.500910999999999</v>
      </c>
      <c r="L374">
        <v>1.567012084412605</v>
      </c>
      <c r="M374">
        <v>1.279577002780131</v>
      </c>
      <c r="N374">
        <v>-0.68278135159858611</v>
      </c>
      <c r="O374">
        <v>-0.48621278811425322</v>
      </c>
    </row>
    <row r="375" spans="1:15" x14ac:dyDescent="0.25">
      <c r="A375">
        <v>211.24795524999999</v>
      </c>
      <c r="B375">
        <v>188.23090350000001</v>
      </c>
      <c r="C375">
        <v>-58.957365000000003</v>
      </c>
      <c r="D375">
        <v>-52.011044499999997</v>
      </c>
      <c r="E375">
        <v>137.91491675</v>
      </c>
      <c r="F375">
        <v>4.6777670000000002</v>
      </c>
      <c r="G375">
        <v>248.44741049999999</v>
      </c>
      <c r="H375">
        <v>20</v>
      </c>
      <c r="I375">
        <v>-24</v>
      </c>
      <c r="J375">
        <v>1.17</v>
      </c>
      <c r="K375">
        <v>20.413235499999999</v>
      </c>
      <c r="L375">
        <v>1.3971474059240809</v>
      </c>
      <c r="M375">
        <v>1.2422170998311171</v>
      </c>
      <c r="N375">
        <v>-0.5715358631514702</v>
      </c>
      <c r="O375">
        <v>-0.31108286577325778</v>
      </c>
    </row>
    <row r="376" spans="1:15" x14ac:dyDescent="0.25">
      <c r="A376">
        <v>201.49805474999999</v>
      </c>
      <c r="B376">
        <v>199.95431525000001</v>
      </c>
      <c r="C376">
        <v>-19.757770000000001</v>
      </c>
      <c r="D376">
        <v>-23.120875250000001</v>
      </c>
      <c r="E376">
        <v>160.49094775</v>
      </c>
      <c r="F376">
        <v>4.4828609999999998</v>
      </c>
      <c r="G376">
        <v>247.7270355</v>
      </c>
      <c r="H376">
        <v>20</v>
      </c>
      <c r="I376">
        <v>-20</v>
      </c>
      <c r="J376">
        <v>1.17</v>
      </c>
      <c r="K376">
        <v>20.391222500000001</v>
      </c>
      <c r="L376">
        <v>1.216162422743728</v>
      </c>
      <c r="M376">
        <v>1.2261741989683519</v>
      </c>
      <c r="N376">
        <v>-0.47951582785971453</v>
      </c>
      <c r="O376">
        <v>-0.14244424541256409</v>
      </c>
    </row>
    <row r="377" spans="1:15" x14ac:dyDescent="0.25">
      <c r="A377">
        <v>186.19610599999999</v>
      </c>
      <c r="B377">
        <v>207.52059925</v>
      </c>
      <c r="C377">
        <v>17.299346750000002</v>
      </c>
      <c r="D377">
        <v>-8.52281975</v>
      </c>
      <c r="E377">
        <v>176.58474375</v>
      </c>
      <c r="F377">
        <v>4.5315874999999997</v>
      </c>
      <c r="G377">
        <v>244.28528600000001</v>
      </c>
      <c r="H377">
        <v>20</v>
      </c>
      <c r="I377">
        <v>-16</v>
      </c>
      <c r="J377">
        <v>1.17</v>
      </c>
      <c r="K377">
        <v>20.244390500000002</v>
      </c>
      <c r="L377">
        <v>0.9808381336185259</v>
      </c>
      <c r="M377">
        <v>1.254647840577249</v>
      </c>
      <c r="N377">
        <v>-0.3931738549856304</v>
      </c>
      <c r="O377">
        <v>-8.3514214877891755E-4</v>
      </c>
    </row>
    <row r="378" spans="1:15" x14ac:dyDescent="0.25">
      <c r="A378">
        <v>171.75180449999999</v>
      </c>
      <c r="B378">
        <v>214.0146105</v>
      </c>
      <c r="C378">
        <v>45.803327500000002</v>
      </c>
      <c r="D378">
        <v>0.39469399999999999</v>
      </c>
      <c r="E378">
        <v>189.81742075</v>
      </c>
      <c r="F378">
        <v>4.6777670000000002</v>
      </c>
      <c r="G378">
        <v>243.56490299999999</v>
      </c>
      <c r="H378">
        <v>20</v>
      </c>
      <c r="I378">
        <v>-12</v>
      </c>
      <c r="J378">
        <v>1.1625000000000001</v>
      </c>
      <c r="K378">
        <v>20.272970000000001</v>
      </c>
      <c r="L378">
        <v>0.75547256390196416</v>
      </c>
      <c r="M378">
        <v>1.2813230932331869</v>
      </c>
      <c r="N378">
        <v>-0.32240041133761538</v>
      </c>
      <c r="O378">
        <v>0.110517291432873</v>
      </c>
    </row>
    <row r="379" spans="1:15" x14ac:dyDescent="0.25">
      <c r="A379">
        <v>153.56101225</v>
      </c>
      <c r="B379">
        <v>218.66545475000001</v>
      </c>
      <c r="C379">
        <v>66.532479999999993</v>
      </c>
      <c r="D379">
        <v>-0.34954425</v>
      </c>
      <c r="E379">
        <v>197.90901975</v>
      </c>
      <c r="F379">
        <v>4.5803140000000004</v>
      </c>
      <c r="G379">
        <v>242.64443199999999</v>
      </c>
      <c r="H379">
        <v>20</v>
      </c>
      <c r="I379">
        <v>-8</v>
      </c>
      <c r="J379">
        <v>1.17</v>
      </c>
      <c r="K379">
        <v>20.17292175</v>
      </c>
      <c r="L379">
        <v>0.52802877410829951</v>
      </c>
      <c r="M379">
        <v>1.328853906267262</v>
      </c>
      <c r="N379">
        <v>-0.27144291275622312</v>
      </c>
      <c r="O379">
        <v>0.17298003933670189</v>
      </c>
    </row>
    <row r="380" spans="1:15" x14ac:dyDescent="0.25">
      <c r="A380">
        <v>152.25199125</v>
      </c>
      <c r="B380">
        <v>252.19158575</v>
      </c>
      <c r="C380">
        <v>95.988324750000004</v>
      </c>
      <c r="D380">
        <v>-3.1905942500000002</v>
      </c>
      <c r="E380">
        <v>229.51545325000001</v>
      </c>
      <c r="F380">
        <v>5.5548450000000003</v>
      </c>
      <c r="G380">
        <v>275.38122575</v>
      </c>
      <c r="H380">
        <v>20</v>
      </c>
      <c r="I380">
        <v>-4</v>
      </c>
      <c r="J380">
        <v>1.17</v>
      </c>
      <c r="K380">
        <v>21.476479000000001</v>
      </c>
      <c r="L380">
        <v>0.30724000028681459</v>
      </c>
      <c r="M380">
        <v>1.3946616083315411</v>
      </c>
      <c r="N380">
        <v>-0.25050217030201999</v>
      </c>
      <c r="O380">
        <v>0.2230767506089962</v>
      </c>
    </row>
    <row r="381" spans="1:15" x14ac:dyDescent="0.25">
      <c r="A381">
        <v>143.314583</v>
      </c>
      <c r="B381">
        <v>283.26459525000001</v>
      </c>
      <c r="C381">
        <v>132.20680625</v>
      </c>
      <c r="D381">
        <v>-1.7482712499999999</v>
      </c>
      <c r="E381">
        <v>259.28897825000001</v>
      </c>
      <c r="F381">
        <v>6.3831965000000004</v>
      </c>
      <c r="G381">
        <v>307.87789125</v>
      </c>
      <c r="H381">
        <v>20</v>
      </c>
      <c r="I381">
        <v>0</v>
      </c>
      <c r="J381">
        <v>1.1625000000000001</v>
      </c>
      <c r="K381">
        <v>22.775000500000001</v>
      </c>
      <c r="L381">
        <v>5.7243954982060537E-2</v>
      </c>
      <c r="M381">
        <v>1.4687430521071749</v>
      </c>
      <c r="N381">
        <v>-0.25041870286135698</v>
      </c>
      <c r="O381">
        <v>0.30324264444941379</v>
      </c>
    </row>
    <row r="382" spans="1:15" x14ac:dyDescent="0.25">
      <c r="A382">
        <v>111.58224675</v>
      </c>
      <c r="B382">
        <v>275.18368525</v>
      </c>
      <c r="C382">
        <v>153.0042</v>
      </c>
      <c r="D382">
        <v>-0.17382700000000001</v>
      </c>
      <c r="E382">
        <v>251.6891325</v>
      </c>
      <c r="F382">
        <v>6.1395635000000004</v>
      </c>
      <c r="G382">
        <v>301.27449799999999</v>
      </c>
      <c r="H382">
        <v>20</v>
      </c>
      <c r="I382">
        <v>4</v>
      </c>
      <c r="J382">
        <v>1.1625000000000001</v>
      </c>
      <c r="K382">
        <v>22.53364075</v>
      </c>
      <c r="L382">
        <v>-0.21135352003931029</v>
      </c>
      <c r="M382">
        <v>1.405001827930993</v>
      </c>
      <c r="N382">
        <v>-0.25301349435829729</v>
      </c>
      <c r="O382">
        <v>0.25289683647495881</v>
      </c>
    </row>
    <row r="383" spans="1:15" x14ac:dyDescent="0.25">
      <c r="A383">
        <v>80.526990999999995</v>
      </c>
      <c r="B383">
        <v>265.13066099999998</v>
      </c>
      <c r="C383">
        <v>171.16413499999999</v>
      </c>
      <c r="D383">
        <v>-1.0489630000000001</v>
      </c>
      <c r="E383">
        <v>238.85880275</v>
      </c>
      <c r="F383">
        <v>5.6522982499999994</v>
      </c>
      <c r="G383">
        <v>291.62956224999999</v>
      </c>
      <c r="H383">
        <v>20</v>
      </c>
      <c r="I383">
        <v>8</v>
      </c>
      <c r="J383">
        <v>1.165</v>
      </c>
      <c r="K383">
        <v>22.157516749999999</v>
      </c>
      <c r="L383">
        <v>-0.45518281315623838</v>
      </c>
      <c r="M383">
        <v>1.336787997072024</v>
      </c>
      <c r="N383">
        <v>-0.26503467206696268</v>
      </c>
      <c r="O383">
        <v>0.17119175781519061</v>
      </c>
    </row>
    <row r="384" spans="1:15" x14ac:dyDescent="0.25">
      <c r="A384">
        <v>49.246039250000003</v>
      </c>
      <c r="B384">
        <v>256.66494775000001</v>
      </c>
      <c r="C384">
        <v>188.73680874999999</v>
      </c>
      <c r="D384">
        <v>-3.3654212499999998</v>
      </c>
      <c r="E384">
        <v>223.39087674999999</v>
      </c>
      <c r="F384">
        <v>5.5548452499999996</v>
      </c>
      <c r="G384">
        <v>285.98666350000002</v>
      </c>
      <c r="H384">
        <v>20</v>
      </c>
      <c r="I384">
        <v>12</v>
      </c>
      <c r="J384">
        <v>1.17</v>
      </c>
      <c r="K384">
        <v>21.894531499999999</v>
      </c>
      <c r="L384">
        <v>-0.69588563853986274</v>
      </c>
      <c r="M384">
        <v>1.2972485036463079</v>
      </c>
      <c r="N384">
        <v>-0.31229205330787468</v>
      </c>
      <c r="O384">
        <v>8.6727563928250831E-2</v>
      </c>
    </row>
    <row r="385" spans="1:15" x14ac:dyDescent="0.25">
      <c r="A385">
        <v>18.326197749999999</v>
      </c>
      <c r="B385">
        <v>243.00436400000001</v>
      </c>
      <c r="C385">
        <v>202.74073799999999</v>
      </c>
      <c r="D385">
        <v>-1.7919782500000001</v>
      </c>
      <c r="E385">
        <v>203.36303325</v>
      </c>
      <c r="F385">
        <v>5.262486</v>
      </c>
      <c r="G385">
        <v>279.24697874999998</v>
      </c>
      <c r="H385">
        <v>20</v>
      </c>
      <c r="I385">
        <v>16</v>
      </c>
      <c r="J385">
        <v>1.17</v>
      </c>
      <c r="K385">
        <v>21.641382</v>
      </c>
      <c r="L385">
        <v>-0.94525899371055555</v>
      </c>
      <c r="M385">
        <v>1.254746817579379</v>
      </c>
      <c r="N385">
        <v>-0.3889624367844135</v>
      </c>
      <c r="O385">
        <v>1.5399467993033079E-2</v>
      </c>
    </row>
    <row r="386" spans="1:15" x14ac:dyDescent="0.25">
      <c r="A386">
        <v>-17.076148750000002</v>
      </c>
      <c r="B386">
        <v>229.584293</v>
      </c>
      <c r="C386">
        <v>214.07941025</v>
      </c>
      <c r="D386">
        <v>-26.2677625</v>
      </c>
      <c r="E386">
        <v>176.40591825000001</v>
      </c>
      <c r="F386">
        <v>4.8726732500000001</v>
      </c>
      <c r="G386">
        <v>275.26921099999998</v>
      </c>
      <c r="H386">
        <v>20</v>
      </c>
      <c r="I386">
        <v>20</v>
      </c>
      <c r="J386">
        <v>1.17</v>
      </c>
      <c r="K386">
        <v>21.499213000000001</v>
      </c>
      <c r="L386">
        <v>-1.1670174490787559</v>
      </c>
      <c r="M386">
        <v>1.291674545833629</v>
      </c>
      <c r="N386">
        <v>-0.49913882707350732</v>
      </c>
      <c r="O386">
        <v>-0.13401058464565671</v>
      </c>
    </row>
    <row r="387" spans="1:15" x14ac:dyDescent="0.25">
      <c r="A387">
        <v>-50.868004999999997</v>
      </c>
      <c r="B387">
        <v>216.59712200000001</v>
      </c>
      <c r="C387">
        <v>222.88833224999999</v>
      </c>
      <c r="D387">
        <v>-55.594998500000003</v>
      </c>
      <c r="E387">
        <v>148.0182495</v>
      </c>
      <c r="F387">
        <v>5.2624857499999997</v>
      </c>
      <c r="G387">
        <v>273.08419800000001</v>
      </c>
      <c r="H387">
        <v>20</v>
      </c>
      <c r="I387">
        <v>24</v>
      </c>
      <c r="J387">
        <v>1.17</v>
      </c>
      <c r="K387">
        <v>21.39660825</v>
      </c>
      <c r="L387">
        <v>-1.360276914096112</v>
      </c>
      <c r="M387">
        <v>1.352508699644847</v>
      </c>
      <c r="N387">
        <v>-0.62144532255251395</v>
      </c>
      <c r="O387">
        <v>-0.29065195647083403</v>
      </c>
    </row>
    <row r="388" spans="1:15" x14ac:dyDescent="0.25">
      <c r="A388">
        <v>-90.562168</v>
      </c>
      <c r="B388">
        <v>198.31888975000001</v>
      </c>
      <c r="C388">
        <v>226.18603125000001</v>
      </c>
      <c r="D388">
        <v>-95.193315750000011</v>
      </c>
      <c r="E388">
        <v>110.15312375000001</v>
      </c>
      <c r="F388">
        <v>5.1163057500000004</v>
      </c>
      <c r="G388">
        <v>268.16195675</v>
      </c>
      <c r="H388">
        <v>20</v>
      </c>
      <c r="I388">
        <v>28</v>
      </c>
      <c r="J388">
        <v>1.1625000000000001</v>
      </c>
      <c r="K388">
        <v>21.273360499999999</v>
      </c>
      <c r="L388">
        <v>-1.5600960529206001</v>
      </c>
      <c r="M388">
        <v>1.445648048878402</v>
      </c>
      <c r="N388">
        <v>-0.77824894047559812</v>
      </c>
      <c r="O388">
        <v>-0.48265305896226718</v>
      </c>
    </row>
    <row r="389" spans="1:15" x14ac:dyDescent="0.25">
      <c r="A389">
        <v>-130.52666500000001</v>
      </c>
      <c r="B389">
        <v>180.52166349999999</v>
      </c>
      <c r="C389">
        <v>228.89646925</v>
      </c>
      <c r="D389">
        <v>-136.67103599999999</v>
      </c>
      <c r="E389">
        <v>70.76802275</v>
      </c>
      <c r="F389">
        <v>5.2137592499999998</v>
      </c>
      <c r="G389">
        <v>266.36114474999999</v>
      </c>
      <c r="H389">
        <v>20</v>
      </c>
      <c r="I389">
        <v>32</v>
      </c>
      <c r="J389">
        <v>1.1599999999999999</v>
      </c>
      <c r="K389">
        <v>21.219190999999999</v>
      </c>
      <c r="L389">
        <v>-1.7587137071934</v>
      </c>
      <c r="M389">
        <v>1.552071034528185</v>
      </c>
      <c r="N389">
        <v>-0.95707281008841116</v>
      </c>
      <c r="O389">
        <v>-0.67923039278228448</v>
      </c>
    </row>
    <row r="390" spans="1:15" x14ac:dyDescent="0.25">
      <c r="A390">
        <v>-171.16699600000001</v>
      </c>
      <c r="B390">
        <v>158.01056274999999</v>
      </c>
      <c r="C390">
        <v>227.58641424999999</v>
      </c>
      <c r="D390">
        <v>-180.20296124999999</v>
      </c>
      <c r="E390">
        <v>24.900699500000002</v>
      </c>
      <c r="F390">
        <v>4.5803140000000004</v>
      </c>
      <c r="G390">
        <v>263.68933850000002</v>
      </c>
      <c r="H390">
        <v>20</v>
      </c>
      <c r="I390">
        <v>36</v>
      </c>
      <c r="J390">
        <v>1.1599999999999999</v>
      </c>
      <c r="K390">
        <v>21.136215</v>
      </c>
      <c r="L390">
        <v>-1.987949337978737</v>
      </c>
      <c r="M390">
        <v>1.6861415336689769</v>
      </c>
      <c r="N390">
        <v>-1.190470297470311</v>
      </c>
      <c r="O390">
        <v>-0.89869573839700534</v>
      </c>
    </row>
    <row r="391" spans="1:15" x14ac:dyDescent="0.25">
      <c r="A391">
        <v>-208.11275875000001</v>
      </c>
      <c r="B391">
        <v>134.922268</v>
      </c>
      <c r="C391">
        <v>223.70146174999999</v>
      </c>
      <c r="D391">
        <v>-221.54955674999999</v>
      </c>
      <c r="E391">
        <v>-24.581412</v>
      </c>
      <c r="F391">
        <v>4.9701259999999996</v>
      </c>
      <c r="G391">
        <v>260.72832499999998</v>
      </c>
      <c r="H391">
        <v>20</v>
      </c>
      <c r="I391">
        <v>40</v>
      </c>
      <c r="J391">
        <v>1.1599999999999999</v>
      </c>
      <c r="K391">
        <v>20.9991035</v>
      </c>
      <c r="L391">
        <v>-2.269726384815729</v>
      </c>
      <c r="M391">
        <v>1.8737132006581849</v>
      </c>
      <c r="N391">
        <v>-1.4996646690350941</v>
      </c>
      <c r="O391">
        <v>-1.155334287343067</v>
      </c>
    </row>
    <row r="392" spans="1:15" x14ac:dyDescent="0.25">
      <c r="A392">
        <v>-242.17494174999999</v>
      </c>
      <c r="B392">
        <v>109.71753875</v>
      </c>
      <c r="C392">
        <v>217.28676225000001</v>
      </c>
      <c r="D392">
        <v>-258.26322924999999</v>
      </c>
      <c r="E392">
        <v>-76.867100000000008</v>
      </c>
      <c r="F392">
        <v>4.77522</v>
      </c>
      <c r="G392">
        <v>259.36785900000001</v>
      </c>
      <c r="H392">
        <v>20</v>
      </c>
      <c r="I392">
        <v>44</v>
      </c>
      <c r="J392">
        <v>1.1625000000000001</v>
      </c>
      <c r="K392">
        <v>20.928775999999999</v>
      </c>
      <c r="L392">
        <v>-2.6504788398699661</v>
      </c>
      <c r="M392">
        <v>2.1227486376689488</v>
      </c>
      <c r="N392">
        <v>-1.939635504990934</v>
      </c>
      <c r="O392">
        <v>-1.4709708107876349</v>
      </c>
    </row>
    <row r="393" spans="1:15" x14ac:dyDescent="0.25">
      <c r="A393">
        <v>206.4181365</v>
      </c>
      <c r="B393">
        <v>106.59100125000001</v>
      </c>
      <c r="C393">
        <v>-273.18885775000001</v>
      </c>
      <c r="D393">
        <v>-279.98548875</v>
      </c>
      <c r="E393">
        <v>-62.948043749999997</v>
      </c>
      <c r="F393">
        <v>4.8239464999999999</v>
      </c>
      <c r="G393">
        <v>255.20645149999999</v>
      </c>
      <c r="H393">
        <v>24</v>
      </c>
      <c r="I393">
        <v>-44</v>
      </c>
      <c r="J393">
        <v>1.1675</v>
      </c>
      <c r="K393">
        <v>20.710502000000002</v>
      </c>
      <c r="L393">
        <v>2.244943315477681</v>
      </c>
      <c r="M393">
        <v>1.8094900460347441</v>
      </c>
      <c r="N393">
        <v>-1.4892231115242971</v>
      </c>
      <c r="O393">
        <v>-1.3172337206552669</v>
      </c>
    </row>
    <row r="394" spans="1:15" x14ac:dyDescent="0.25">
      <c r="A394">
        <v>211.38337325000001</v>
      </c>
      <c r="B394">
        <v>130.35270700000001</v>
      </c>
      <c r="C394">
        <v>-240.66959</v>
      </c>
      <c r="D394">
        <v>-244.49560925</v>
      </c>
      <c r="E394">
        <v>-20.209399749999999</v>
      </c>
      <c r="F394">
        <v>4.5315874999999997</v>
      </c>
      <c r="G394">
        <v>253.87127649999999</v>
      </c>
      <c r="H394">
        <v>24</v>
      </c>
      <c r="I394">
        <v>-40</v>
      </c>
      <c r="J394">
        <v>1.1625000000000001</v>
      </c>
      <c r="K394">
        <v>20.711734249999999</v>
      </c>
      <c r="L394">
        <v>2.0328710262151031</v>
      </c>
      <c r="M394">
        <v>1.685652615580171</v>
      </c>
      <c r="N394">
        <v>-1.2325375436097319</v>
      </c>
      <c r="O394">
        <v>-1.1112461005755161</v>
      </c>
    </row>
    <row r="395" spans="1:15" x14ac:dyDescent="0.25">
      <c r="A395">
        <v>212.10558725000001</v>
      </c>
      <c r="B395">
        <v>152.04608899999999</v>
      </c>
      <c r="C395">
        <v>-204.90291199999999</v>
      </c>
      <c r="D395">
        <v>-206.2521935</v>
      </c>
      <c r="E395">
        <v>19.714921</v>
      </c>
      <c r="F395">
        <v>4.5315874999999997</v>
      </c>
      <c r="G395">
        <v>252.51088300000001</v>
      </c>
      <c r="H395">
        <v>24</v>
      </c>
      <c r="I395">
        <v>-36</v>
      </c>
      <c r="J395">
        <v>1.1675</v>
      </c>
      <c r="K395">
        <v>20.610865749999999</v>
      </c>
      <c r="L395">
        <v>1.8509658995668941</v>
      </c>
      <c r="M395">
        <v>1.5903680623744161</v>
      </c>
      <c r="N395">
        <v>-1.033306260138749</v>
      </c>
      <c r="O395">
        <v>-0.93260466949032828</v>
      </c>
    </row>
    <row r="396" spans="1:15" x14ac:dyDescent="0.25">
      <c r="A396">
        <v>207.81742449999999</v>
      </c>
      <c r="B396">
        <v>169.2180175</v>
      </c>
      <c r="C396">
        <v>-166.43006124999999</v>
      </c>
      <c r="D396">
        <v>-165.82344449999999</v>
      </c>
      <c r="E396">
        <v>53.5565985</v>
      </c>
      <c r="F396">
        <v>4.5803140000000004</v>
      </c>
      <c r="G396">
        <v>249.55006025</v>
      </c>
      <c r="H396">
        <v>24</v>
      </c>
      <c r="I396">
        <v>-32</v>
      </c>
      <c r="J396">
        <v>1.17</v>
      </c>
      <c r="K396">
        <v>20.463421499999999</v>
      </c>
      <c r="L396">
        <v>1.703578541779649</v>
      </c>
      <c r="M396">
        <v>1.525114528036575</v>
      </c>
      <c r="N396">
        <v>-0.89216715852483142</v>
      </c>
      <c r="O396">
        <v>-0.77704824392020655</v>
      </c>
    </row>
    <row r="397" spans="1:15" x14ac:dyDescent="0.25">
      <c r="A397">
        <v>231.69567474999999</v>
      </c>
      <c r="B397">
        <v>211.78706349999999</v>
      </c>
      <c r="C397">
        <v>-146.40431975000001</v>
      </c>
      <c r="D397">
        <v>-147.07324224999999</v>
      </c>
      <c r="E397">
        <v>97.94865974999999</v>
      </c>
      <c r="F397">
        <v>5.6522982499999994</v>
      </c>
      <c r="G397">
        <v>282.71935274999998</v>
      </c>
      <c r="H397">
        <v>24</v>
      </c>
      <c r="I397">
        <v>-28</v>
      </c>
      <c r="J397">
        <v>1.17</v>
      </c>
      <c r="K397">
        <v>21.762716999999999</v>
      </c>
      <c r="L397">
        <v>1.545231649855713</v>
      </c>
      <c r="M397">
        <v>1.4666133744345731</v>
      </c>
      <c r="N397">
        <v>-0.755133736222112</v>
      </c>
      <c r="O397">
        <v>-0.62280144188935782</v>
      </c>
    </row>
    <row r="398" spans="1:15" x14ac:dyDescent="0.25">
      <c r="A398">
        <v>246.41080500000001</v>
      </c>
      <c r="B398">
        <v>251.22957249999999</v>
      </c>
      <c r="C398">
        <v>-109.60028275000001</v>
      </c>
      <c r="D398">
        <v>-121.50478375</v>
      </c>
      <c r="E398">
        <v>142.11719525000001</v>
      </c>
      <c r="F398">
        <v>6.1882900000000003</v>
      </c>
      <c r="G398">
        <v>311.30547324999998</v>
      </c>
      <c r="H398">
        <v>24</v>
      </c>
      <c r="I398">
        <v>-24</v>
      </c>
      <c r="J398">
        <v>1.17</v>
      </c>
      <c r="K398">
        <v>22.83785675</v>
      </c>
      <c r="L398">
        <v>1.381666008126385</v>
      </c>
      <c r="M398">
        <v>1.4465608354109849</v>
      </c>
      <c r="N398">
        <v>-0.65661927452916247</v>
      </c>
      <c r="O398">
        <v>-0.4724645143405527</v>
      </c>
    </row>
    <row r="399" spans="1:15" x14ac:dyDescent="0.25">
      <c r="A399">
        <v>225.28601474999999</v>
      </c>
      <c r="B399">
        <v>255.17382449999999</v>
      </c>
      <c r="C399">
        <v>-52.725404750000003</v>
      </c>
      <c r="D399">
        <v>-83.042843000000005</v>
      </c>
      <c r="E399">
        <v>164.20145775</v>
      </c>
      <c r="F399">
        <v>5.8959312500000003</v>
      </c>
      <c r="G399">
        <v>298.74119574999997</v>
      </c>
      <c r="H399">
        <v>24</v>
      </c>
      <c r="I399">
        <v>-20</v>
      </c>
      <c r="J399">
        <v>1.17</v>
      </c>
      <c r="K399">
        <v>22.373867749999999</v>
      </c>
      <c r="L399">
        <v>1.19788856859415</v>
      </c>
      <c r="M399">
        <v>1.457297139211871</v>
      </c>
      <c r="N399">
        <v>-0.57970056546815263</v>
      </c>
      <c r="O399">
        <v>-0.31789039579991829</v>
      </c>
    </row>
    <row r="400" spans="1:15" x14ac:dyDescent="0.25">
      <c r="A400">
        <v>205.51537325000001</v>
      </c>
      <c r="B400">
        <v>260.70540599999998</v>
      </c>
      <c r="C400">
        <v>-7.4870977500000002</v>
      </c>
      <c r="D400">
        <v>-56.906200249999998</v>
      </c>
      <c r="E400">
        <v>182.75402825</v>
      </c>
      <c r="F400">
        <v>5.7984782499999996</v>
      </c>
      <c r="G400">
        <v>291.23556524999998</v>
      </c>
      <c r="H400">
        <v>24</v>
      </c>
      <c r="I400">
        <v>-16</v>
      </c>
      <c r="J400">
        <v>1.1625000000000001</v>
      </c>
      <c r="K400">
        <v>22.160322749999999</v>
      </c>
      <c r="L400">
        <v>0.99095717438006137</v>
      </c>
      <c r="M400">
        <v>1.4776295193043469</v>
      </c>
      <c r="N400">
        <v>-0.50470170254481006</v>
      </c>
      <c r="O400">
        <v>-0.17676330138440011</v>
      </c>
    </row>
    <row r="401" spans="1:15" x14ac:dyDescent="0.25">
      <c r="A401">
        <v>181.86281575000001</v>
      </c>
      <c r="B401">
        <v>259.40666950000002</v>
      </c>
      <c r="C401">
        <v>23.354907499999999</v>
      </c>
      <c r="D401">
        <v>-46.2854575</v>
      </c>
      <c r="E401">
        <v>190.66681299999999</v>
      </c>
      <c r="F401">
        <v>5.6035717500000004</v>
      </c>
      <c r="G401">
        <v>281.61540200000002</v>
      </c>
      <c r="H401">
        <v>24</v>
      </c>
      <c r="I401">
        <v>-12</v>
      </c>
      <c r="J401">
        <v>1.1675</v>
      </c>
      <c r="K401">
        <v>21.744639249999999</v>
      </c>
      <c r="L401">
        <v>0.78418483210221945</v>
      </c>
      <c r="M401">
        <v>1.5123628839277761</v>
      </c>
      <c r="N401">
        <v>-0.44996896712454132</v>
      </c>
      <c r="O401">
        <v>-8.4445584328939394E-2</v>
      </c>
    </row>
    <row r="402" spans="1:15" x14ac:dyDescent="0.25">
      <c r="A402">
        <v>158.07485600000001</v>
      </c>
      <c r="B402">
        <v>258.34846525</v>
      </c>
      <c r="C402">
        <v>49.284766249999997</v>
      </c>
      <c r="D402">
        <v>-40.690994250000003</v>
      </c>
      <c r="E402">
        <v>197.34060675000001</v>
      </c>
      <c r="F402">
        <v>5.5061184999999986</v>
      </c>
      <c r="G402">
        <v>274.90907299999998</v>
      </c>
      <c r="H402">
        <v>24</v>
      </c>
      <c r="I402">
        <v>-8</v>
      </c>
      <c r="J402">
        <v>1.1675</v>
      </c>
      <c r="K402">
        <v>21.48276925</v>
      </c>
      <c r="L402">
        <v>0.56355601444797632</v>
      </c>
      <c r="M402">
        <v>1.5490817493580871</v>
      </c>
      <c r="N402">
        <v>-0.40182783440476372</v>
      </c>
      <c r="O402">
        <v>-6.2543589046727306E-3</v>
      </c>
    </row>
    <row r="403" spans="1:15" x14ac:dyDescent="0.25">
      <c r="A403">
        <v>134.5577165</v>
      </c>
      <c r="B403">
        <v>259.83959199999998</v>
      </c>
      <c r="C403">
        <v>71.781400749999989</v>
      </c>
      <c r="D403">
        <v>-38.02488125</v>
      </c>
      <c r="E403">
        <v>201.66424175</v>
      </c>
      <c r="F403">
        <v>5.1650325000000006</v>
      </c>
      <c r="G403">
        <v>272.56400324999998</v>
      </c>
      <c r="H403">
        <v>24</v>
      </c>
      <c r="I403">
        <v>-4</v>
      </c>
      <c r="J403">
        <v>1.165</v>
      </c>
      <c r="K403">
        <v>21.425699000000002</v>
      </c>
      <c r="L403">
        <v>0.33972659859376281</v>
      </c>
      <c r="M403">
        <v>1.6119581543008761</v>
      </c>
      <c r="N403">
        <v>-0.38369310731134121</v>
      </c>
      <c r="O403">
        <v>6.3390682719825009E-2</v>
      </c>
    </row>
    <row r="404" spans="1:15" x14ac:dyDescent="0.25">
      <c r="A404">
        <v>107.023264</v>
      </c>
      <c r="B404">
        <v>256.183941</v>
      </c>
      <c r="C404">
        <v>92.742124249999989</v>
      </c>
      <c r="D404">
        <v>-35.271356750000002</v>
      </c>
      <c r="E404">
        <v>199.75487150000001</v>
      </c>
      <c r="F404">
        <v>5.2137592499999998</v>
      </c>
      <c r="G404">
        <v>267.72176350000001</v>
      </c>
      <c r="H404">
        <v>24</v>
      </c>
      <c r="I404">
        <v>0</v>
      </c>
      <c r="J404">
        <v>1.165</v>
      </c>
      <c r="K404">
        <v>21.228843250000001</v>
      </c>
      <c r="L404">
        <v>8.3495790099387346E-2</v>
      </c>
      <c r="M404">
        <v>1.7042224253628231</v>
      </c>
      <c r="N404">
        <v>-0.39742209500275533</v>
      </c>
      <c r="O404">
        <v>0.1375444629080261</v>
      </c>
    </row>
    <row r="405" spans="1:15" x14ac:dyDescent="0.25">
      <c r="A405">
        <v>80.12074475</v>
      </c>
      <c r="B405">
        <v>252.576393</v>
      </c>
      <c r="C405">
        <v>115.10324300000001</v>
      </c>
      <c r="D405">
        <v>-34.834286749999997</v>
      </c>
      <c r="E405">
        <v>195.910042</v>
      </c>
      <c r="F405">
        <v>5.1650325000000006</v>
      </c>
      <c r="G405">
        <v>264.66500074999999</v>
      </c>
      <c r="H405">
        <v>24</v>
      </c>
      <c r="I405">
        <v>4</v>
      </c>
      <c r="J405">
        <v>1.17</v>
      </c>
      <c r="K405">
        <v>21.061561000000001</v>
      </c>
      <c r="L405">
        <v>-0.20190162589178509</v>
      </c>
      <c r="M405">
        <v>1.6587674752351089</v>
      </c>
      <c r="N405">
        <v>-0.39681353149420268</v>
      </c>
      <c r="O405">
        <v>0.10087903948963479</v>
      </c>
    </row>
    <row r="406" spans="1:15" x14ac:dyDescent="0.25">
      <c r="A406">
        <v>51.593238999999997</v>
      </c>
      <c r="B406">
        <v>246.38515100000001</v>
      </c>
      <c r="C406">
        <v>135.70257175</v>
      </c>
      <c r="D406">
        <v>-35.402474499999997</v>
      </c>
      <c r="E406">
        <v>187.65118025000001</v>
      </c>
      <c r="F406">
        <v>4.77522</v>
      </c>
      <c r="G406">
        <v>259.98315450000001</v>
      </c>
      <c r="H406">
        <v>24</v>
      </c>
      <c r="I406">
        <v>8</v>
      </c>
      <c r="J406">
        <v>1.165</v>
      </c>
      <c r="K406">
        <v>20.9315645</v>
      </c>
      <c r="L406">
        <v>-0.46843832925968792</v>
      </c>
      <c r="M406">
        <v>1.569369895825548</v>
      </c>
      <c r="N406">
        <v>-0.40284667793524559</v>
      </c>
      <c r="O406">
        <v>1.8486102413798122E-2</v>
      </c>
    </row>
    <row r="407" spans="1:15" x14ac:dyDescent="0.25">
      <c r="A407">
        <v>22.117828500000002</v>
      </c>
      <c r="B407">
        <v>238.2738645</v>
      </c>
      <c r="C407">
        <v>150.88101975000001</v>
      </c>
      <c r="D407">
        <v>-39.467204250000002</v>
      </c>
      <c r="E407">
        <v>174.32743825</v>
      </c>
      <c r="F407">
        <v>4.77522</v>
      </c>
      <c r="G407">
        <v>254.7158585</v>
      </c>
      <c r="H407">
        <v>24</v>
      </c>
      <c r="I407">
        <v>12</v>
      </c>
      <c r="J407">
        <v>1.1625000000000001</v>
      </c>
      <c r="K407">
        <v>20.736690249999999</v>
      </c>
      <c r="L407">
        <v>-0.70362718921801837</v>
      </c>
      <c r="M407">
        <v>1.517690532532125</v>
      </c>
      <c r="N407">
        <v>-0.43928005514648111</v>
      </c>
      <c r="O407">
        <v>-7.3491882958329369E-2</v>
      </c>
    </row>
    <row r="408" spans="1:15" x14ac:dyDescent="0.25">
      <c r="A408">
        <v>-8.7408254999999997</v>
      </c>
      <c r="B408">
        <v>229.79259475000001</v>
      </c>
      <c r="C408">
        <v>166.78226075000001</v>
      </c>
      <c r="D408">
        <v>-42.745209750000001</v>
      </c>
      <c r="E408">
        <v>158.83686075</v>
      </c>
      <c r="F408">
        <v>4.7264935000000001</v>
      </c>
      <c r="G408">
        <v>252.10002875000001</v>
      </c>
      <c r="H408">
        <v>24</v>
      </c>
      <c r="I408">
        <v>16</v>
      </c>
      <c r="J408">
        <v>1.17</v>
      </c>
      <c r="K408">
        <v>20.563577250000002</v>
      </c>
      <c r="L408">
        <v>-0.95093075607054889</v>
      </c>
      <c r="M408">
        <v>1.4765269988721881</v>
      </c>
      <c r="N408">
        <v>-0.50527055281168698</v>
      </c>
      <c r="O408">
        <v>-0.16506995944412489</v>
      </c>
    </row>
    <row r="409" spans="1:15" x14ac:dyDescent="0.25">
      <c r="A409">
        <v>-40.279890000000002</v>
      </c>
      <c r="B409">
        <v>218.00962849999999</v>
      </c>
      <c r="C409">
        <v>176.90123</v>
      </c>
      <c r="D409">
        <v>-55.682414000000001</v>
      </c>
      <c r="E409">
        <v>136.32328774999999</v>
      </c>
      <c r="F409">
        <v>4.5318664999999996</v>
      </c>
      <c r="G409">
        <v>247.27248374999999</v>
      </c>
      <c r="H409">
        <v>24</v>
      </c>
      <c r="I409">
        <v>20</v>
      </c>
      <c r="J409">
        <v>1.17</v>
      </c>
      <c r="K409">
        <v>20.37010325</v>
      </c>
      <c r="L409">
        <v>-1.1783835672674261</v>
      </c>
      <c r="M409">
        <v>1.4849980813192969</v>
      </c>
      <c r="N409">
        <v>-0.60198738866951196</v>
      </c>
      <c r="O409">
        <v>-0.28491903641609762</v>
      </c>
    </row>
    <row r="410" spans="1:15" x14ac:dyDescent="0.25">
      <c r="A410">
        <v>-72.720067999999998</v>
      </c>
      <c r="B410">
        <v>204.88000875</v>
      </c>
      <c r="C410">
        <v>183.81284324999999</v>
      </c>
      <c r="D410">
        <v>-82.562068750000009</v>
      </c>
      <c r="E410">
        <v>109.5486105</v>
      </c>
      <c r="F410">
        <v>4.4831677499999998</v>
      </c>
      <c r="G410">
        <v>244.005146</v>
      </c>
      <c r="H410">
        <v>24</v>
      </c>
      <c r="I410">
        <v>24</v>
      </c>
      <c r="J410">
        <v>1.165</v>
      </c>
      <c r="K410">
        <v>20.278132500000002</v>
      </c>
      <c r="L410">
        <v>-1.370442085886638</v>
      </c>
      <c r="M410">
        <v>1.535562101276698</v>
      </c>
      <c r="N410">
        <v>-0.7182884388777161</v>
      </c>
      <c r="O410">
        <v>-0.43871976348553421</v>
      </c>
    </row>
    <row r="411" spans="1:15" x14ac:dyDescent="0.25">
      <c r="A411">
        <v>-105.6108035</v>
      </c>
      <c r="B411">
        <v>190.40378575</v>
      </c>
      <c r="C411">
        <v>188.58891675000001</v>
      </c>
      <c r="D411">
        <v>-115.38583975</v>
      </c>
      <c r="E411">
        <v>79.595560000000006</v>
      </c>
      <c r="F411">
        <v>4.3859940000000002</v>
      </c>
      <c r="G411">
        <v>242.12417600000001</v>
      </c>
      <c r="H411">
        <v>24</v>
      </c>
      <c r="I411">
        <v>28</v>
      </c>
      <c r="J411">
        <v>1.17</v>
      </c>
      <c r="K411">
        <v>20.159117500000001</v>
      </c>
      <c r="L411">
        <v>-1.54766798884616</v>
      </c>
      <c r="M411">
        <v>1.608632720795427</v>
      </c>
      <c r="N411">
        <v>-0.85500296018727329</v>
      </c>
      <c r="O411">
        <v>-0.60435604264195164</v>
      </c>
    </row>
    <row r="412" spans="1:15" x14ac:dyDescent="0.25">
      <c r="A412">
        <v>-139.62793350000001</v>
      </c>
      <c r="B412">
        <v>171.8636515</v>
      </c>
      <c r="C412">
        <v>188.6341285</v>
      </c>
      <c r="D412">
        <v>-149.73935324999999</v>
      </c>
      <c r="E412">
        <v>44.668980500000004</v>
      </c>
      <c r="F412">
        <v>4.2885270000000002</v>
      </c>
      <c r="G412">
        <v>237.36174025</v>
      </c>
      <c r="H412">
        <v>24</v>
      </c>
      <c r="I412">
        <v>32</v>
      </c>
      <c r="J412">
        <v>1.1599999999999999</v>
      </c>
      <c r="K412">
        <v>20.04620375</v>
      </c>
      <c r="L412">
        <v>-1.733610941762793</v>
      </c>
      <c r="M412">
        <v>1.698442832735547</v>
      </c>
      <c r="N412">
        <v>-1.0176478397049351</v>
      </c>
      <c r="O412">
        <v>-0.78674368844936682</v>
      </c>
    </row>
    <row r="413" spans="1:15" x14ac:dyDescent="0.25">
      <c r="A413">
        <v>-184.72554</v>
      </c>
      <c r="B413">
        <v>162.23210125</v>
      </c>
      <c r="C413">
        <v>197.66822400000001</v>
      </c>
      <c r="D413">
        <v>-199.08428950000001</v>
      </c>
      <c r="E413">
        <v>5.9473164999999986</v>
      </c>
      <c r="F413">
        <v>4.4350550000000002</v>
      </c>
      <c r="G413">
        <v>248.52746550000001</v>
      </c>
      <c r="H413">
        <v>24</v>
      </c>
      <c r="I413">
        <v>36</v>
      </c>
      <c r="J413">
        <v>1.1599999999999999</v>
      </c>
      <c r="K413">
        <v>20.514537749999999</v>
      </c>
      <c r="L413">
        <v>-1.932720919924475</v>
      </c>
      <c r="M413">
        <v>1.826207729669534</v>
      </c>
      <c r="N413">
        <v>-1.226061124789277</v>
      </c>
      <c r="O413">
        <v>-0.99235033765902569</v>
      </c>
    </row>
    <row r="414" spans="1:15" x14ac:dyDescent="0.25">
      <c r="A414">
        <v>-247.74565125000001</v>
      </c>
      <c r="B414">
        <v>161.48822025000001</v>
      </c>
      <c r="C414">
        <v>221.17172249999999</v>
      </c>
      <c r="D414">
        <v>-268.00984199999999</v>
      </c>
      <c r="E414">
        <v>-40.14073175</v>
      </c>
      <c r="F414">
        <v>5.6035717500000004</v>
      </c>
      <c r="G414">
        <v>280.66394824999998</v>
      </c>
      <c r="H414">
        <v>24</v>
      </c>
      <c r="I414">
        <v>40</v>
      </c>
      <c r="J414">
        <v>1.1599999999999999</v>
      </c>
      <c r="K414">
        <v>21.777039250000001</v>
      </c>
      <c r="L414">
        <v>-2.1535951803120592</v>
      </c>
      <c r="M414">
        <v>1.972585343445004</v>
      </c>
      <c r="N414">
        <v>-1.4733788909500269</v>
      </c>
      <c r="O414">
        <v>-1.210102178275015</v>
      </c>
    </row>
    <row r="415" spans="1:15" x14ac:dyDescent="0.25">
      <c r="A415">
        <v>-312.44165774999999</v>
      </c>
      <c r="B415">
        <v>149.99454499999999</v>
      </c>
      <c r="C415">
        <v>236.69609075</v>
      </c>
      <c r="D415">
        <v>-340.86901125000003</v>
      </c>
      <c r="E415">
        <v>-103.91989125000001</v>
      </c>
      <c r="F415">
        <v>6.0437789999999998</v>
      </c>
      <c r="G415">
        <v>308.1580505</v>
      </c>
      <c r="H415">
        <v>24</v>
      </c>
      <c r="I415">
        <v>44</v>
      </c>
      <c r="J415">
        <v>1.1625000000000001</v>
      </c>
      <c r="K415">
        <v>22.798394250000001</v>
      </c>
      <c r="L415">
        <v>-2.465455219524598</v>
      </c>
      <c r="M415">
        <v>2.2038167553162551</v>
      </c>
      <c r="N415">
        <v>-1.850120889215741</v>
      </c>
      <c r="O415">
        <v>-1.4937200545773399</v>
      </c>
    </row>
    <row r="416" spans="1:15" x14ac:dyDescent="0.25">
      <c r="A416">
        <v>215.85207750000001</v>
      </c>
      <c r="B416">
        <v>138.82775125000001</v>
      </c>
      <c r="C416">
        <v>-342.55674749999997</v>
      </c>
      <c r="D416">
        <v>-358.26428974999999</v>
      </c>
      <c r="E416">
        <v>-98.077186749999996</v>
      </c>
      <c r="F416">
        <v>5.3614145000000004</v>
      </c>
      <c r="G416">
        <v>293.35044850000003</v>
      </c>
      <c r="H416">
        <v>28</v>
      </c>
      <c r="I416">
        <v>-44</v>
      </c>
      <c r="J416">
        <v>1.1625000000000001</v>
      </c>
      <c r="K416">
        <v>22.259156000000001</v>
      </c>
      <c r="L416">
        <v>2.2130104194657312</v>
      </c>
      <c r="M416">
        <v>1.9699947455755309</v>
      </c>
      <c r="N416">
        <v>-1.551263338132451</v>
      </c>
      <c r="O416">
        <v>-1.409936290452019</v>
      </c>
    </row>
    <row r="417" spans="1:15" x14ac:dyDescent="0.25">
      <c r="A417">
        <v>214.45278949999999</v>
      </c>
      <c r="B417">
        <v>160.9591025</v>
      </c>
      <c r="C417">
        <v>-294.50946049999999</v>
      </c>
      <c r="D417">
        <v>-309.53125775000001</v>
      </c>
      <c r="E417">
        <v>-47.856672250000003</v>
      </c>
      <c r="F417">
        <v>5.4097790000000003</v>
      </c>
      <c r="G417">
        <v>282.90509025</v>
      </c>
      <c r="H417">
        <v>28</v>
      </c>
      <c r="I417">
        <v>-40</v>
      </c>
      <c r="J417">
        <v>1.1599999999999999</v>
      </c>
      <c r="K417">
        <v>21.87327325</v>
      </c>
      <c r="L417">
        <v>2.002497968556546</v>
      </c>
      <c r="M417">
        <v>1.8511388311550889</v>
      </c>
      <c r="N417">
        <v>-1.301380840821224</v>
      </c>
      <c r="O417">
        <v>-1.209574566706451</v>
      </c>
    </row>
    <row r="418" spans="1:15" x14ac:dyDescent="0.25">
      <c r="A418">
        <v>210.02922075000001</v>
      </c>
      <c r="B418">
        <v>178.45159924999999</v>
      </c>
      <c r="C418">
        <v>-251.78574750000001</v>
      </c>
      <c r="D418">
        <v>-263.46433999999999</v>
      </c>
      <c r="E418">
        <v>-6.82392325</v>
      </c>
      <c r="F418">
        <v>5.020232</v>
      </c>
      <c r="G418">
        <v>274.90098575000002</v>
      </c>
      <c r="H418">
        <v>28</v>
      </c>
      <c r="I418">
        <v>-36</v>
      </c>
      <c r="J418">
        <v>1.1625000000000001</v>
      </c>
      <c r="K418">
        <v>21.547995</v>
      </c>
      <c r="L418">
        <v>1.841358798966751</v>
      </c>
      <c r="M418">
        <v>1.762011198527563</v>
      </c>
      <c r="N418">
        <v>-1.123300733107699</v>
      </c>
      <c r="O418">
        <v>-1.0472192875927431</v>
      </c>
    </row>
    <row r="419" spans="1:15" x14ac:dyDescent="0.25">
      <c r="A419">
        <v>205.01884849999999</v>
      </c>
      <c r="B419">
        <v>194.62252025000001</v>
      </c>
      <c r="C419">
        <v>-212.31028749999999</v>
      </c>
      <c r="D419">
        <v>-220.19464500000001</v>
      </c>
      <c r="E419">
        <v>29.378814999999999</v>
      </c>
      <c r="F419">
        <v>4.9711432499999999</v>
      </c>
      <c r="G419">
        <v>270.01849325000001</v>
      </c>
      <c r="H419">
        <v>28</v>
      </c>
      <c r="I419">
        <v>-32</v>
      </c>
      <c r="J419">
        <v>1.165</v>
      </c>
      <c r="K419">
        <v>21.331283249999998</v>
      </c>
      <c r="L419">
        <v>1.699005419574475</v>
      </c>
      <c r="M419">
        <v>1.688783484859651</v>
      </c>
      <c r="N419">
        <v>-0.97969071219123249</v>
      </c>
      <c r="O419">
        <v>-0.90062866806195552</v>
      </c>
    </row>
    <row r="420" spans="1:15" x14ac:dyDescent="0.25">
      <c r="A420">
        <v>196.93906000000001</v>
      </c>
      <c r="B420">
        <v>206.82304400000001</v>
      </c>
      <c r="C420">
        <v>-165.97737875000001</v>
      </c>
      <c r="D420">
        <v>-175.57004524999999</v>
      </c>
      <c r="E420">
        <v>61.619484749999998</v>
      </c>
      <c r="F420">
        <v>4.8740110000000003</v>
      </c>
      <c r="G420">
        <v>263.49515550000001</v>
      </c>
      <c r="H420">
        <v>28</v>
      </c>
      <c r="I420">
        <v>-28</v>
      </c>
      <c r="J420">
        <v>1.1599999999999999</v>
      </c>
      <c r="K420">
        <v>21.116304750000001</v>
      </c>
      <c r="L420">
        <v>1.5616417489942891</v>
      </c>
      <c r="M420">
        <v>1.6454457689976589</v>
      </c>
      <c r="N420">
        <v>-0.8686746198542753</v>
      </c>
      <c r="O420">
        <v>-0.7557965268850283</v>
      </c>
    </row>
    <row r="421" spans="1:15" x14ac:dyDescent="0.25">
      <c r="A421">
        <v>187.098873</v>
      </c>
      <c r="B421">
        <v>216.96944425000001</v>
      </c>
      <c r="C421">
        <v>-117.569193</v>
      </c>
      <c r="D421">
        <v>-134.48569075</v>
      </c>
      <c r="E421">
        <v>87.510395000000003</v>
      </c>
      <c r="F421">
        <v>4.6790497499999999</v>
      </c>
      <c r="G421">
        <v>257.89227299999999</v>
      </c>
      <c r="H421">
        <v>28</v>
      </c>
      <c r="I421">
        <v>-24</v>
      </c>
      <c r="J421">
        <v>1.1599999999999999</v>
      </c>
      <c r="K421">
        <v>20.894361750000002</v>
      </c>
      <c r="L421">
        <v>1.4267645839013741</v>
      </c>
      <c r="M421">
        <v>1.645876824639009</v>
      </c>
      <c r="N421">
        <v>-0.79791073663882117</v>
      </c>
      <c r="O421">
        <v>-0.61210129361587429</v>
      </c>
    </row>
    <row r="422" spans="1:15" x14ac:dyDescent="0.25">
      <c r="A422">
        <v>174.55038074999999</v>
      </c>
      <c r="B422">
        <v>224.96763999999999</v>
      </c>
      <c r="C422">
        <v>-75.341729999999998</v>
      </c>
      <c r="D422">
        <v>-106.16371125000001</v>
      </c>
      <c r="E422">
        <v>108.48248100000001</v>
      </c>
      <c r="F422">
        <v>4.4840882500000001</v>
      </c>
      <c r="G422">
        <v>253.89022800000001</v>
      </c>
      <c r="H422">
        <v>28</v>
      </c>
      <c r="I422">
        <v>-20</v>
      </c>
      <c r="J422">
        <v>1.1599999999999999</v>
      </c>
      <c r="K422">
        <v>20.736692000000001</v>
      </c>
      <c r="L422">
        <v>1.254246835914216</v>
      </c>
      <c r="M422">
        <v>1.66201120268838</v>
      </c>
      <c r="N422">
        <v>-0.72982678984232163</v>
      </c>
      <c r="O422">
        <v>-0.47799453153175081</v>
      </c>
    </row>
    <row r="423" spans="1:15" x14ac:dyDescent="0.25">
      <c r="A423">
        <v>157.93943400000001</v>
      </c>
      <c r="B423">
        <v>229.35989749999999</v>
      </c>
      <c r="C423">
        <v>-41.054473000000002</v>
      </c>
      <c r="D423">
        <v>-88.156528499999993</v>
      </c>
      <c r="E423">
        <v>123.73083674999999</v>
      </c>
      <c r="F423">
        <v>4.43534775</v>
      </c>
      <c r="G423">
        <v>248.2873305</v>
      </c>
      <c r="H423">
        <v>28</v>
      </c>
      <c r="I423">
        <v>-16</v>
      </c>
      <c r="J423">
        <v>1.1599999999999999</v>
      </c>
      <c r="K423">
        <v>20.504496499999998</v>
      </c>
      <c r="L423">
        <v>1.056578935841809</v>
      </c>
      <c r="M423">
        <v>1.6859033731215829</v>
      </c>
      <c r="N423">
        <v>-0.6613529006419816</v>
      </c>
      <c r="O423">
        <v>-0.36657467925666282</v>
      </c>
    </row>
    <row r="424" spans="1:15" x14ac:dyDescent="0.25">
      <c r="A424">
        <v>141.77987300000001</v>
      </c>
      <c r="B424">
        <v>233.25545500000001</v>
      </c>
      <c r="C424">
        <v>-10.692209999999999</v>
      </c>
      <c r="D424">
        <v>-78.584750999999997</v>
      </c>
      <c r="E424">
        <v>136.78809325</v>
      </c>
      <c r="F424">
        <v>4.3866075000000002</v>
      </c>
      <c r="G424">
        <v>245.68601624999999</v>
      </c>
      <c r="H424">
        <v>28</v>
      </c>
      <c r="I424">
        <v>-12</v>
      </c>
      <c r="J424">
        <v>1.1599999999999999</v>
      </c>
      <c r="K424">
        <v>20.396896250000001</v>
      </c>
      <c r="L424">
        <v>0.84040334909664427</v>
      </c>
      <c r="M424">
        <v>1.71882001721454</v>
      </c>
      <c r="N424">
        <v>-0.60023594814685255</v>
      </c>
      <c r="O424">
        <v>-0.27021306968554371</v>
      </c>
    </row>
    <row r="425" spans="1:15" x14ac:dyDescent="0.25">
      <c r="A425">
        <v>121.78353300000001</v>
      </c>
      <c r="B425">
        <v>233.92881775000001</v>
      </c>
      <c r="C425">
        <v>14.3615525</v>
      </c>
      <c r="D425">
        <v>-72.465805000000003</v>
      </c>
      <c r="E425">
        <v>144.47934375</v>
      </c>
      <c r="F425">
        <v>4.0941650000000003</v>
      </c>
      <c r="G425">
        <v>241.80401599999999</v>
      </c>
      <c r="H425">
        <v>28</v>
      </c>
      <c r="I425">
        <v>-8</v>
      </c>
      <c r="J425">
        <v>1.1599999999999999</v>
      </c>
      <c r="K425">
        <v>20.24461475</v>
      </c>
      <c r="L425">
        <v>0.61903942181942462</v>
      </c>
      <c r="M425">
        <v>1.7656575476794929</v>
      </c>
      <c r="N425">
        <v>-0.56085809188590552</v>
      </c>
      <c r="O425">
        <v>-0.19101152929339649</v>
      </c>
    </row>
    <row r="426" spans="1:15" x14ac:dyDescent="0.25">
      <c r="A426">
        <v>111.71764775</v>
      </c>
      <c r="B426">
        <v>262.49654375</v>
      </c>
      <c r="C426">
        <v>40.962042749999988</v>
      </c>
      <c r="D426">
        <v>-76.268297249999989</v>
      </c>
      <c r="E426">
        <v>165.71972650000001</v>
      </c>
      <c r="F426">
        <v>4.9227512500000001</v>
      </c>
      <c r="G426">
        <v>268.33762350000001</v>
      </c>
      <c r="H426">
        <v>28</v>
      </c>
      <c r="I426">
        <v>-4</v>
      </c>
      <c r="J426">
        <v>1.1599999999999999</v>
      </c>
      <c r="K426">
        <v>21.311053999999999</v>
      </c>
      <c r="L426">
        <v>0.38585911042724702</v>
      </c>
      <c r="M426">
        <v>1.847438183288318</v>
      </c>
      <c r="N426">
        <v>-0.55962839196164604</v>
      </c>
      <c r="O426">
        <v>-0.1231336858874135</v>
      </c>
    </row>
    <row r="427" spans="1:15" x14ac:dyDescent="0.25">
      <c r="A427">
        <v>94.565044499999999</v>
      </c>
      <c r="B427">
        <v>293.22869874999998</v>
      </c>
      <c r="C427">
        <v>72.936826499999995</v>
      </c>
      <c r="D427">
        <v>-84.572580500000001</v>
      </c>
      <c r="E427">
        <v>185.08201575000001</v>
      </c>
      <c r="F427">
        <v>5.7025965000000003</v>
      </c>
      <c r="G427">
        <v>298.87328350000001</v>
      </c>
      <c r="H427">
        <v>28</v>
      </c>
      <c r="I427">
        <v>0</v>
      </c>
      <c r="J427">
        <v>1.1599999999999999</v>
      </c>
      <c r="K427">
        <v>22.482538999999999</v>
      </c>
      <c r="L427">
        <v>0.1132803083554402</v>
      </c>
      <c r="M427">
        <v>1.9790663292176041</v>
      </c>
      <c r="N427">
        <v>-0.59608943704070816</v>
      </c>
      <c r="O427">
        <v>-6.0338895590954587E-2</v>
      </c>
    </row>
    <row r="428" spans="1:15" x14ac:dyDescent="0.25">
      <c r="A428">
        <v>61.298002250000003</v>
      </c>
      <c r="B428">
        <v>294.30720524999998</v>
      </c>
      <c r="C428">
        <v>101.88574975</v>
      </c>
      <c r="D428">
        <v>-87.894298500000005</v>
      </c>
      <c r="E428">
        <v>183.15920249999999</v>
      </c>
      <c r="F428">
        <v>5.7513369999999986</v>
      </c>
      <c r="G428">
        <v>301.31452949999999</v>
      </c>
      <c r="H428">
        <v>28</v>
      </c>
      <c r="I428">
        <v>4</v>
      </c>
      <c r="J428">
        <v>1.1599999999999999</v>
      </c>
      <c r="K428">
        <v>22.574124000000001</v>
      </c>
      <c r="L428">
        <v>-0.20659736226090741</v>
      </c>
      <c r="M428">
        <v>1.945471567273573</v>
      </c>
      <c r="N428">
        <v>-0.60142858667369492</v>
      </c>
      <c r="O428">
        <v>-9.6964767401188659E-2</v>
      </c>
    </row>
    <row r="429" spans="1:15" x14ac:dyDescent="0.25">
      <c r="A429">
        <v>26.676800249999999</v>
      </c>
      <c r="B429">
        <v>281.28169224999999</v>
      </c>
      <c r="C429">
        <v>125.77651400000001</v>
      </c>
      <c r="D429">
        <v>-86.932743000000002</v>
      </c>
      <c r="E429">
        <v>171.71175375000001</v>
      </c>
      <c r="F429">
        <v>5.3614142500000002</v>
      </c>
      <c r="G429">
        <v>288.50797249999999</v>
      </c>
      <c r="H429">
        <v>28</v>
      </c>
      <c r="I429">
        <v>8</v>
      </c>
      <c r="J429">
        <v>1.1599999999999999</v>
      </c>
      <c r="K429">
        <v>22.094864250000001</v>
      </c>
      <c r="L429">
        <v>-0.49096640505609329</v>
      </c>
      <c r="M429">
        <v>1.8242867617635941</v>
      </c>
      <c r="N429">
        <v>-0.57865544879386133</v>
      </c>
      <c r="O429">
        <v>-0.17581945059992449</v>
      </c>
    </row>
    <row r="430" spans="1:15" x14ac:dyDescent="0.25">
      <c r="A430">
        <v>-7.9727917499999998</v>
      </c>
      <c r="B430">
        <v>270.36507425000002</v>
      </c>
      <c r="C430">
        <v>144.74460625</v>
      </c>
      <c r="D430">
        <v>-89.380317500000004</v>
      </c>
      <c r="E430">
        <v>157.3577195</v>
      </c>
      <c r="F430">
        <v>5.16645325</v>
      </c>
      <c r="G430">
        <v>281.18421174999997</v>
      </c>
      <c r="H430">
        <v>28</v>
      </c>
      <c r="I430">
        <v>12</v>
      </c>
      <c r="J430">
        <v>1.1599999999999999</v>
      </c>
      <c r="K430">
        <v>21.81496375</v>
      </c>
      <c r="L430">
        <v>-0.74122804329565195</v>
      </c>
      <c r="M430">
        <v>1.7460415372736009</v>
      </c>
      <c r="N430">
        <v>-0.60099991200386405</v>
      </c>
      <c r="O430">
        <v>-0.2613302291140237</v>
      </c>
    </row>
    <row r="431" spans="1:15" x14ac:dyDescent="0.25">
      <c r="A431">
        <v>-44.593583000000002</v>
      </c>
      <c r="B431">
        <v>257.22415925000001</v>
      </c>
      <c r="C431">
        <v>158.51905074999999</v>
      </c>
      <c r="D431">
        <v>-95.149612500000003</v>
      </c>
      <c r="E431">
        <v>136.6002885</v>
      </c>
      <c r="F431">
        <v>5.0689722499999998</v>
      </c>
      <c r="G431">
        <v>272.41972349999998</v>
      </c>
      <c r="H431">
        <v>28</v>
      </c>
      <c r="I431">
        <v>16</v>
      </c>
      <c r="J431">
        <v>1.1625000000000001</v>
      </c>
      <c r="K431">
        <v>21.446769249999999</v>
      </c>
      <c r="L431">
        <v>-0.98373302863408929</v>
      </c>
      <c r="M431">
        <v>1.7066382914001801</v>
      </c>
      <c r="N431">
        <v>-0.65781232044144844</v>
      </c>
      <c r="O431">
        <v>-0.36295168150573359</v>
      </c>
    </row>
    <row r="432" spans="1:15" x14ac:dyDescent="0.25">
      <c r="A432">
        <v>-78.691905750000004</v>
      </c>
      <c r="B432">
        <v>245.10376725</v>
      </c>
      <c r="C432">
        <v>168.996666</v>
      </c>
      <c r="D432">
        <v>-102.92941675</v>
      </c>
      <c r="E432">
        <v>114.19142925</v>
      </c>
      <c r="F432">
        <v>5.2151934999999998</v>
      </c>
      <c r="G432">
        <v>267.53722399999998</v>
      </c>
      <c r="H432">
        <v>28</v>
      </c>
      <c r="I432">
        <v>20</v>
      </c>
      <c r="J432">
        <v>1.17</v>
      </c>
      <c r="K432">
        <v>21.17578</v>
      </c>
      <c r="L432">
        <v>-1.2082242310499629</v>
      </c>
      <c r="M432">
        <v>1.697698660955242</v>
      </c>
      <c r="N432">
        <v>-0.74801874621639852</v>
      </c>
      <c r="O432">
        <v>-0.46841020053461663</v>
      </c>
    </row>
    <row r="433" spans="1:15" x14ac:dyDescent="0.25">
      <c r="A433">
        <v>-113.25543424999999</v>
      </c>
      <c r="B433">
        <v>231.26783750000001</v>
      </c>
      <c r="C433">
        <v>177.93876624999999</v>
      </c>
      <c r="D433">
        <v>-126.2688235</v>
      </c>
      <c r="E433">
        <v>88.923971249999994</v>
      </c>
      <c r="F433">
        <v>4.7765302500000004</v>
      </c>
      <c r="G433">
        <v>263.61521175000001</v>
      </c>
      <c r="H433">
        <v>28</v>
      </c>
      <c r="I433">
        <v>24</v>
      </c>
      <c r="J433">
        <v>1.1625000000000001</v>
      </c>
      <c r="K433">
        <v>21.1025305</v>
      </c>
      <c r="L433">
        <v>-1.3953706876157059</v>
      </c>
      <c r="M433">
        <v>1.7132651982736331</v>
      </c>
      <c r="N433">
        <v>-0.83710292803661379</v>
      </c>
      <c r="O433">
        <v>-0.59677628245334247</v>
      </c>
    </row>
    <row r="434" spans="1:15" x14ac:dyDescent="0.25">
      <c r="A434">
        <v>-147.564224</v>
      </c>
      <c r="B434">
        <v>212.4123955</v>
      </c>
      <c r="C434">
        <v>181.19042949999999</v>
      </c>
      <c r="D434">
        <v>-157.1257895</v>
      </c>
      <c r="E434">
        <v>57.900452250000001</v>
      </c>
      <c r="F434">
        <v>4.4840885000000004</v>
      </c>
      <c r="G434">
        <v>257.69216175000003</v>
      </c>
      <c r="H434">
        <v>28</v>
      </c>
      <c r="I434">
        <v>28</v>
      </c>
      <c r="J434">
        <v>1.1599999999999999</v>
      </c>
      <c r="K434">
        <v>20.894148749999999</v>
      </c>
      <c r="L434">
        <v>-1.5636680527662521</v>
      </c>
      <c r="M434">
        <v>1.757648481439936</v>
      </c>
      <c r="N434">
        <v>-0.95027627269643722</v>
      </c>
      <c r="O434">
        <v>-0.7459303994650206</v>
      </c>
    </row>
    <row r="435" spans="1:15" x14ac:dyDescent="0.25">
      <c r="A435">
        <v>-182.92378249999999</v>
      </c>
      <c r="B435">
        <v>194.99997350000001</v>
      </c>
      <c r="C435">
        <v>182.1388475</v>
      </c>
      <c r="D435">
        <v>-191.52301424999999</v>
      </c>
      <c r="E435">
        <v>24.191689499999999</v>
      </c>
      <c r="F435">
        <v>4.6790500000000002</v>
      </c>
      <c r="G435">
        <v>254.9307555</v>
      </c>
      <c r="H435">
        <v>28</v>
      </c>
      <c r="I435">
        <v>32</v>
      </c>
      <c r="J435">
        <v>1.1625000000000001</v>
      </c>
      <c r="K435">
        <v>20.749575750000002</v>
      </c>
      <c r="L435">
        <v>-1.7267592077113589</v>
      </c>
      <c r="M435">
        <v>1.828265057251599</v>
      </c>
      <c r="N435">
        <v>-1.09140398904311</v>
      </c>
      <c r="O435">
        <v>-0.90770256744307365</v>
      </c>
    </row>
    <row r="436" spans="1:15" x14ac:dyDescent="0.25">
      <c r="A436">
        <v>-213.95911025000001</v>
      </c>
      <c r="B436">
        <v>175.13441474999999</v>
      </c>
      <c r="C436">
        <v>179.97106550000001</v>
      </c>
      <c r="D436">
        <v>-225.614296</v>
      </c>
      <c r="E436">
        <v>-13.603247</v>
      </c>
      <c r="F436">
        <v>4.3378670000000001</v>
      </c>
      <c r="G436">
        <v>250.44845175</v>
      </c>
      <c r="H436">
        <v>28</v>
      </c>
      <c r="I436">
        <v>36</v>
      </c>
      <c r="J436">
        <v>1.1599999999999999</v>
      </c>
      <c r="K436">
        <v>20.599236749999999</v>
      </c>
      <c r="L436">
        <v>-1.910581115340015</v>
      </c>
      <c r="M436">
        <v>1.94365875204548</v>
      </c>
      <c r="N436">
        <v>-1.2806689488345839</v>
      </c>
      <c r="O436">
        <v>-1.087013502841752</v>
      </c>
    </row>
    <row r="437" spans="1:15" x14ac:dyDescent="0.25">
      <c r="A437">
        <v>-239.58914575</v>
      </c>
      <c r="B437">
        <v>154.162533</v>
      </c>
      <c r="C437">
        <v>175.95162975</v>
      </c>
      <c r="D437">
        <v>-255.24747875</v>
      </c>
      <c r="E437">
        <v>-51.915346999999997</v>
      </c>
      <c r="F437">
        <v>4.3375762499999997</v>
      </c>
      <c r="G437">
        <v>246.88661925</v>
      </c>
      <c r="H437">
        <v>28</v>
      </c>
      <c r="I437">
        <v>40</v>
      </c>
      <c r="J437">
        <v>1.17</v>
      </c>
      <c r="K437">
        <v>20.362065250000001</v>
      </c>
      <c r="L437">
        <v>-2.1254982360080601</v>
      </c>
      <c r="M437">
        <v>2.0941415263716752</v>
      </c>
      <c r="N437">
        <v>-1.5283799960470299</v>
      </c>
      <c r="O437">
        <v>-1.287735215398911</v>
      </c>
    </row>
    <row r="438" spans="1:15" x14ac:dyDescent="0.25">
      <c r="A438">
        <v>-265.89486675000001</v>
      </c>
      <c r="B438">
        <v>132.27675224999999</v>
      </c>
      <c r="C438">
        <v>168.49988174999999</v>
      </c>
      <c r="D438">
        <v>-286.27928924999998</v>
      </c>
      <c r="E438">
        <v>-96.159353250000009</v>
      </c>
      <c r="F438">
        <v>4.5328284999999999</v>
      </c>
      <c r="G438">
        <v>244.88559699999999</v>
      </c>
      <c r="H438">
        <v>28</v>
      </c>
      <c r="I438">
        <v>44</v>
      </c>
      <c r="J438">
        <v>1.165</v>
      </c>
      <c r="K438">
        <v>20.3132515</v>
      </c>
      <c r="L438">
        <v>-2.4142721711346948</v>
      </c>
      <c r="M438">
        <v>2.326242988636086</v>
      </c>
      <c r="N438">
        <v>-1.89545430154175</v>
      </c>
      <c r="O438">
        <v>-1.5596238254590331</v>
      </c>
    </row>
    <row r="439" spans="1:15" x14ac:dyDescent="0.25">
      <c r="A439">
        <v>155.81792100000001</v>
      </c>
      <c r="B439">
        <v>124.0034505</v>
      </c>
      <c r="C439">
        <v>-293.06580350000002</v>
      </c>
      <c r="D439">
        <v>-307.47705074999999</v>
      </c>
      <c r="E439">
        <v>-98.879999249999997</v>
      </c>
      <c r="F439">
        <v>4.1916460000000004</v>
      </c>
      <c r="G439">
        <v>238.92252375000001</v>
      </c>
      <c r="H439">
        <v>32</v>
      </c>
      <c r="I439">
        <v>-44</v>
      </c>
      <c r="J439">
        <v>1.1599999999999999</v>
      </c>
      <c r="K439">
        <v>20.117363749999999</v>
      </c>
      <c r="L439">
        <v>2.2289369804428518</v>
      </c>
      <c r="M439">
        <v>2.1425274258005298</v>
      </c>
      <c r="N439">
        <v>-1.6773868756344239</v>
      </c>
      <c r="O439">
        <v>-1.511822345499434</v>
      </c>
    </row>
    <row r="440" spans="1:15" x14ac:dyDescent="0.25">
      <c r="A440">
        <v>175.63370524999999</v>
      </c>
      <c r="B440">
        <v>157.33717725</v>
      </c>
      <c r="C440">
        <v>-291.26120750000001</v>
      </c>
      <c r="D440">
        <v>-302.93154149999998</v>
      </c>
      <c r="E440">
        <v>-69.889476999999999</v>
      </c>
      <c r="F440">
        <v>4.8246062500000004</v>
      </c>
      <c r="G440">
        <v>260.77374275</v>
      </c>
      <c r="H440">
        <v>32</v>
      </c>
      <c r="I440">
        <v>-40</v>
      </c>
      <c r="J440">
        <v>1.1599999999999999</v>
      </c>
      <c r="K440">
        <v>21.006856249999998</v>
      </c>
      <c r="L440">
        <v>2.0549505020713839</v>
      </c>
      <c r="M440">
        <v>2.025777736378628</v>
      </c>
      <c r="N440">
        <v>-1.4553548078445231</v>
      </c>
      <c r="O440">
        <v>-1.328852126172402</v>
      </c>
    </row>
    <row r="441" spans="1:15" x14ac:dyDescent="0.25">
      <c r="A441">
        <v>197.39044175000001</v>
      </c>
      <c r="B441">
        <v>197.741703</v>
      </c>
      <c r="C441">
        <v>-295.41177349999998</v>
      </c>
      <c r="D441">
        <v>-301.970009</v>
      </c>
      <c r="E441">
        <v>-38.802707499999997</v>
      </c>
      <c r="F441">
        <v>5.5559882500000004</v>
      </c>
      <c r="G441">
        <v>289.38842</v>
      </c>
      <c r="H441">
        <v>32</v>
      </c>
      <c r="I441">
        <v>-36</v>
      </c>
      <c r="J441">
        <v>1.1675</v>
      </c>
      <c r="K441">
        <v>22.05059125</v>
      </c>
      <c r="L441">
        <v>1.8962080977040561</v>
      </c>
      <c r="M441">
        <v>1.922808337229529</v>
      </c>
      <c r="N441">
        <v>-1.2628294275173211</v>
      </c>
      <c r="O441">
        <v>-1.170690023115684</v>
      </c>
    </row>
    <row r="442" spans="1:15" x14ac:dyDescent="0.25">
      <c r="A442">
        <v>209.62295549999999</v>
      </c>
      <c r="B442">
        <v>231.50833925000001</v>
      </c>
      <c r="C442">
        <v>-279.44111624999999</v>
      </c>
      <c r="D442">
        <v>-282.21455400000002</v>
      </c>
      <c r="E442">
        <v>-2.5422457500000002</v>
      </c>
      <c r="F442">
        <v>6.0916892499999999</v>
      </c>
      <c r="G442">
        <v>308.71833025000001</v>
      </c>
      <c r="H442">
        <v>32</v>
      </c>
      <c r="I442">
        <v>-32</v>
      </c>
      <c r="J442">
        <v>1.1599999999999999</v>
      </c>
      <c r="K442">
        <v>22.84225975</v>
      </c>
      <c r="L442">
        <v>1.75742330774738</v>
      </c>
      <c r="M442">
        <v>1.8460322993220839</v>
      </c>
      <c r="N442">
        <v>-1.1185031775303429</v>
      </c>
      <c r="O442">
        <v>-1.0310329383882419</v>
      </c>
    </row>
    <row r="443" spans="1:15" x14ac:dyDescent="0.25">
      <c r="A443">
        <v>195.44949750000001</v>
      </c>
      <c r="B443">
        <v>238.050026</v>
      </c>
      <c r="C443">
        <v>-222.95739</v>
      </c>
      <c r="D443">
        <v>-228.80489349999999</v>
      </c>
      <c r="E443">
        <v>30.444121249999998</v>
      </c>
      <c r="F443">
        <v>5.8480014999999996</v>
      </c>
      <c r="G443">
        <v>293.75065599999999</v>
      </c>
      <c r="H443">
        <v>32</v>
      </c>
      <c r="I443">
        <v>-28</v>
      </c>
      <c r="J443">
        <v>1.1599999999999999</v>
      </c>
      <c r="K443">
        <v>22.279662250000001</v>
      </c>
      <c r="L443">
        <v>1.6323317386468621</v>
      </c>
      <c r="M443">
        <v>1.8213422887023321</v>
      </c>
      <c r="N443">
        <v>-1.0272369516932429</v>
      </c>
      <c r="O443">
        <v>-0.90404159836665221</v>
      </c>
    </row>
    <row r="444" spans="1:15" x14ac:dyDescent="0.25">
      <c r="A444">
        <v>180.05726999999999</v>
      </c>
      <c r="B444">
        <v>245.31322850000001</v>
      </c>
      <c r="C444">
        <v>-169.045185</v>
      </c>
      <c r="D444">
        <v>-186.49673075000001</v>
      </c>
      <c r="E444">
        <v>56.328310999999999</v>
      </c>
      <c r="F444">
        <v>5.3606807500000002</v>
      </c>
      <c r="G444">
        <v>283.58544174999997</v>
      </c>
      <c r="H444">
        <v>32</v>
      </c>
      <c r="I444">
        <v>-24</v>
      </c>
      <c r="J444">
        <v>1.1599999999999999</v>
      </c>
      <c r="K444">
        <v>21.901999750000002</v>
      </c>
      <c r="L444">
        <v>1.491254383107609</v>
      </c>
      <c r="M444">
        <v>1.8445605865787089</v>
      </c>
      <c r="N444">
        <v>-0.97076924546561028</v>
      </c>
      <c r="O444">
        <v>-0.78226755764165745</v>
      </c>
    </row>
    <row r="445" spans="1:15" x14ac:dyDescent="0.25">
      <c r="A445">
        <v>164.84561550000001</v>
      </c>
      <c r="B445">
        <v>251.08529675</v>
      </c>
      <c r="C445">
        <v>-121.088144</v>
      </c>
      <c r="D445">
        <v>-157.781395</v>
      </c>
      <c r="E445">
        <v>79.172560000000004</v>
      </c>
      <c r="F445">
        <v>5.2144735000000004</v>
      </c>
      <c r="G445">
        <v>275.6613845</v>
      </c>
      <c r="H445">
        <v>32</v>
      </c>
      <c r="I445">
        <v>-20</v>
      </c>
      <c r="J445">
        <v>1.1599999999999999</v>
      </c>
      <c r="K445">
        <v>21.59369525</v>
      </c>
      <c r="L445">
        <v>1.307983916390459</v>
      </c>
      <c r="M445">
        <v>1.870341732158213</v>
      </c>
      <c r="N445">
        <v>-0.89884555710826308</v>
      </c>
      <c r="O445">
        <v>-0.6616890289004651</v>
      </c>
    </row>
    <row r="446" spans="1:15" x14ac:dyDescent="0.25">
      <c r="A446">
        <v>148.82146424999999</v>
      </c>
      <c r="B446">
        <v>255.70295325000001</v>
      </c>
      <c r="C446">
        <v>-82.966133249999999</v>
      </c>
      <c r="D446">
        <v>-140.2549855</v>
      </c>
      <c r="E446">
        <v>96.205165500000007</v>
      </c>
      <c r="F446">
        <v>5.2144735000000004</v>
      </c>
      <c r="G446">
        <v>270.61878949999999</v>
      </c>
      <c r="H446">
        <v>32</v>
      </c>
      <c r="I446">
        <v>-16</v>
      </c>
      <c r="J446">
        <v>1.1599999999999999</v>
      </c>
      <c r="K446">
        <v>21.391436500000001</v>
      </c>
      <c r="L446">
        <v>1.115350999632654</v>
      </c>
      <c r="M446">
        <v>1.905333228779053</v>
      </c>
      <c r="N446">
        <v>-0.83927481150132521</v>
      </c>
      <c r="O446">
        <v>-0.56215513087505575</v>
      </c>
    </row>
    <row r="447" spans="1:15" x14ac:dyDescent="0.25">
      <c r="A447">
        <v>129.95359049999999</v>
      </c>
      <c r="B447">
        <v>255.51055525000001</v>
      </c>
      <c r="C447">
        <v>-49.310483750000003</v>
      </c>
      <c r="D447">
        <v>-127.7111415</v>
      </c>
      <c r="E447">
        <v>107.962574</v>
      </c>
      <c r="F447">
        <v>4.9704672499999996</v>
      </c>
      <c r="G447">
        <v>263.81530800000002</v>
      </c>
      <c r="H447">
        <v>32</v>
      </c>
      <c r="I447">
        <v>-12</v>
      </c>
      <c r="J447">
        <v>1.1599999999999999</v>
      </c>
      <c r="K447">
        <v>21.125436000000001</v>
      </c>
      <c r="L447">
        <v>0.91241114685183</v>
      </c>
      <c r="M447">
        <v>1.9504976470962889</v>
      </c>
      <c r="N447">
        <v>-0.79325129001580807</v>
      </c>
      <c r="O447">
        <v>-0.47579502106796551</v>
      </c>
    </row>
    <row r="448" spans="1:15" x14ac:dyDescent="0.25">
      <c r="A448">
        <v>107.2489435</v>
      </c>
      <c r="B448">
        <v>255.51054775</v>
      </c>
      <c r="C448">
        <v>-19.715170499999999</v>
      </c>
      <c r="D448">
        <v>-120.58694475</v>
      </c>
      <c r="E448">
        <v>115.38360775</v>
      </c>
      <c r="F448">
        <v>4.5806269999999998</v>
      </c>
      <c r="G448">
        <v>260.17344674999998</v>
      </c>
      <c r="H448">
        <v>32</v>
      </c>
      <c r="I448">
        <v>-8</v>
      </c>
      <c r="J448">
        <v>1.1599999999999999</v>
      </c>
      <c r="K448">
        <v>20.992312500000001</v>
      </c>
      <c r="L448">
        <v>0.6843084690923209</v>
      </c>
      <c r="M448">
        <v>2.0271071688906561</v>
      </c>
      <c r="N448">
        <v>-0.78040710239259237</v>
      </c>
      <c r="O448">
        <v>-0.40279593300329508</v>
      </c>
    </row>
    <row r="449" spans="1:15" x14ac:dyDescent="0.25">
      <c r="A449">
        <v>83.912361250000004</v>
      </c>
      <c r="B449">
        <v>255.173855</v>
      </c>
      <c r="C449">
        <v>6.8646395</v>
      </c>
      <c r="D449">
        <v>-114.0746345</v>
      </c>
      <c r="E449">
        <v>119.138828</v>
      </c>
      <c r="F449">
        <v>4.6780937499999986</v>
      </c>
      <c r="G449">
        <v>257.69217674999999</v>
      </c>
      <c r="H449">
        <v>32</v>
      </c>
      <c r="I449">
        <v>-4</v>
      </c>
      <c r="J449">
        <v>1.1599999999999999</v>
      </c>
      <c r="K449">
        <v>20.886144000000002</v>
      </c>
      <c r="L449">
        <v>0.44602574700978209</v>
      </c>
      <c r="M449">
        <v>2.1375522903605049</v>
      </c>
      <c r="N449">
        <v>-0.8020766952633448</v>
      </c>
      <c r="O449">
        <v>-0.33739918702626143</v>
      </c>
    </row>
    <row r="450" spans="1:15" x14ac:dyDescent="0.25">
      <c r="A450">
        <v>55.836243750000001</v>
      </c>
      <c r="B450">
        <v>249.88278550000001</v>
      </c>
      <c r="C450">
        <v>36.445829500000002</v>
      </c>
      <c r="D450">
        <v>-107.86827649999999</v>
      </c>
      <c r="E450">
        <v>118.60236525000001</v>
      </c>
      <c r="F450">
        <v>4.5315962499999998</v>
      </c>
      <c r="G450">
        <v>251.72910675</v>
      </c>
      <c r="H450">
        <v>32</v>
      </c>
      <c r="I450">
        <v>0</v>
      </c>
      <c r="J450">
        <v>1.1625000000000001</v>
      </c>
      <c r="K450">
        <v>20.622563</v>
      </c>
      <c r="L450">
        <v>0.12564369639979789</v>
      </c>
      <c r="M450">
        <v>2.3183310094668208</v>
      </c>
      <c r="N450">
        <v>-0.86271137545249577</v>
      </c>
      <c r="O450">
        <v>-0.26077519432936508</v>
      </c>
    </row>
    <row r="451" spans="1:15" x14ac:dyDescent="0.25">
      <c r="A451">
        <v>27.895537749999999</v>
      </c>
      <c r="B451">
        <v>247.14104825000001</v>
      </c>
      <c r="C451">
        <v>61.420482500000013</v>
      </c>
      <c r="D451">
        <v>-107.3437995</v>
      </c>
      <c r="E451">
        <v>116.4118215</v>
      </c>
      <c r="F451">
        <v>4.5809457499999997</v>
      </c>
      <c r="G451">
        <v>249.36789675</v>
      </c>
      <c r="H451">
        <v>32</v>
      </c>
      <c r="I451">
        <v>4</v>
      </c>
      <c r="J451">
        <v>1.1675</v>
      </c>
      <c r="K451">
        <v>20.477781</v>
      </c>
      <c r="L451">
        <v>-0.21471425510509171</v>
      </c>
      <c r="M451">
        <v>2.2704011910071711</v>
      </c>
      <c r="N451">
        <v>-0.85156590321622305</v>
      </c>
      <c r="O451">
        <v>-0.28376615747141348</v>
      </c>
    </row>
    <row r="452" spans="1:15" x14ac:dyDescent="0.25">
      <c r="A452">
        <v>-2.6125530000000001</v>
      </c>
      <c r="B452">
        <v>243.05249774999999</v>
      </c>
      <c r="C452">
        <v>83.007980250000003</v>
      </c>
      <c r="D452">
        <v>-111.75817675</v>
      </c>
      <c r="E452">
        <v>109.03550174999999</v>
      </c>
      <c r="F452">
        <v>4.4341427500000004</v>
      </c>
      <c r="G452">
        <v>245.80607225</v>
      </c>
      <c r="H452">
        <v>32</v>
      </c>
      <c r="I452">
        <v>8</v>
      </c>
      <c r="J452">
        <v>1.17</v>
      </c>
      <c r="K452">
        <v>20.312589249999998</v>
      </c>
      <c r="L452">
        <v>-0.51510145263229046</v>
      </c>
      <c r="M452">
        <v>2.1345781765487861</v>
      </c>
      <c r="N452">
        <v>-0.82282541790576202</v>
      </c>
      <c r="O452">
        <v>-0.37070762855206002</v>
      </c>
    </row>
    <row r="453" spans="1:15" x14ac:dyDescent="0.25">
      <c r="A453">
        <v>-34.5037205</v>
      </c>
      <c r="B453">
        <v>236.22220225000001</v>
      </c>
      <c r="C453">
        <v>102.9244805</v>
      </c>
      <c r="D453">
        <v>-114.162048</v>
      </c>
      <c r="E453">
        <v>99.692153750000003</v>
      </c>
      <c r="F453">
        <v>4.0930569999999999</v>
      </c>
      <c r="G453">
        <v>241.84404000000001</v>
      </c>
      <c r="H453">
        <v>32</v>
      </c>
      <c r="I453">
        <v>12</v>
      </c>
      <c r="J453">
        <v>1.1599999999999999</v>
      </c>
      <c r="K453">
        <v>20.2463695</v>
      </c>
      <c r="L453">
        <v>-0.78970221990999301</v>
      </c>
      <c r="M453">
        <v>2.0134122806002428</v>
      </c>
      <c r="N453">
        <v>-0.81684643767110621</v>
      </c>
      <c r="O453">
        <v>-0.45065667047927299</v>
      </c>
    </row>
    <row r="454" spans="1:15" x14ac:dyDescent="0.25">
      <c r="A454">
        <v>-72.025392499999995</v>
      </c>
      <c r="B454">
        <v>247.42965699999999</v>
      </c>
      <c r="C454">
        <v>124.7377815</v>
      </c>
      <c r="D454">
        <v>-129.45941149999999</v>
      </c>
      <c r="E454">
        <v>90.572334249999997</v>
      </c>
      <c r="F454">
        <v>4.8239555000000003</v>
      </c>
      <c r="G454">
        <v>257.21192174999999</v>
      </c>
      <c r="H454">
        <v>32</v>
      </c>
      <c r="I454">
        <v>16</v>
      </c>
      <c r="J454">
        <v>1.1599999999999999</v>
      </c>
      <c r="K454">
        <v>20.86019675</v>
      </c>
      <c r="L454">
        <v>-1.028491413892334</v>
      </c>
      <c r="M454">
        <v>1.9699800296029819</v>
      </c>
      <c r="N454">
        <v>-0.87101686292363523</v>
      </c>
      <c r="O454">
        <v>-0.5517920735592744</v>
      </c>
    </row>
    <row r="455" spans="1:15" x14ac:dyDescent="0.25">
      <c r="A455">
        <v>-119.5918865</v>
      </c>
      <c r="B455">
        <v>270.22934700000002</v>
      </c>
      <c r="C455">
        <v>155.13189324999999</v>
      </c>
      <c r="D455">
        <v>-156.86354800000001</v>
      </c>
      <c r="E455">
        <v>82.838367500000004</v>
      </c>
      <c r="F455">
        <v>5.7010335000000003</v>
      </c>
      <c r="G455">
        <v>288.42791725000001</v>
      </c>
      <c r="H455">
        <v>32</v>
      </c>
      <c r="I455">
        <v>20</v>
      </c>
      <c r="J455">
        <v>1.1599999999999999</v>
      </c>
      <c r="K455">
        <v>22.078440749999999</v>
      </c>
      <c r="L455">
        <v>-1.242699635101316</v>
      </c>
      <c r="M455">
        <v>1.9319869360143609</v>
      </c>
      <c r="N455">
        <v>-0.93000056682521592</v>
      </c>
      <c r="O455">
        <v>-0.65106208841369306</v>
      </c>
    </row>
    <row r="456" spans="1:15" x14ac:dyDescent="0.25">
      <c r="A456">
        <v>-172.56366349999999</v>
      </c>
      <c r="B456">
        <v>277.01153575000001</v>
      </c>
      <c r="C456">
        <v>177.5323065</v>
      </c>
      <c r="D456">
        <v>-196.98635874999999</v>
      </c>
      <c r="E456">
        <v>61.022337999999998</v>
      </c>
      <c r="F456">
        <v>6.09126075</v>
      </c>
      <c r="G456">
        <v>309.27861775000002</v>
      </c>
      <c r="H456">
        <v>32</v>
      </c>
      <c r="I456">
        <v>24</v>
      </c>
      <c r="J456">
        <v>1.1599999999999999</v>
      </c>
      <c r="K456">
        <v>22.863417250000001</v>
      </c>
      <c r="L456">
        <v>-1.424327657924392</v>
      </c>
      <c r="M456">
        <v>1.9283985137623989</v>
      </c>
      <c r="N456">
        <v>-1.010019121308938</v>
      </c>
      <c r="O456">
        <v>-0.77651393151956105</v>
      </c>
    </row>
    <row r="457" spans="1:15" x14ac:dyDescent="0.25">
      <c r="A457">
        <v>-205.71606424999999</v>
      </c>
      <c r="B457">
        <v>250.70049675000001</v>
      </c>
      <c r="C457">
        <v>178.16457725000001</v>
      </c>
      <c r="D457">
        <v>-219.71387849999999</v>
      </c>
      <c r="E457">
        <v>28.253575250000001</v>
      </c>
      <c r="F457">
        <v>5.6523067500000002</v>
      </c>
      <c r="G457">
        <v>294.75118250000003</v>
      </c>
      <c r="H457">
        <v>32</v>
      </c>
      <c r="I457">
        <v>28</v>
      </c>
      <c r="J457">
        <v>1.1599999999999999</v>
      </c>
      <c r="K457">
        <v>22.325908250000001</v>
      </c>
      <c r="L457">
        <v>-1.5930770043563851</v>
      </c>
      <c r="M457">
        <v>1.952210565986908</v>
      </c>
      <c r="N457">
        <v>-1.1059645934376821</v>
      </c>
      <c r="O457">
        <v>-0.90620992047328841</v>
      </c>
    </row>
    <row r="458" spans="1:15" x14ac:dyDescent="0.25">
      <c r="A458">
        <v>-238.28287524999999</v>
      </c>
      <c r="B458">
        <v>225.447666</v>
      </c>
      <c r="C458">
        <v>174.777412</v>
      </c>
      <c r="D458">
        <v>-245.1949195</v>
      </c>
      <c r="E458">
        <v>-7.0469274999999998</v>
      </c>
      <c r="F458">
        <v>5.359947</v>
      </c>
      <c r="G458">
        <v>282.82505824999998</v>
      </c>
      <c r="H458">
        <v>32</v>
      </c>
      <c r="I458">
        <v>32</v>
      </c>
      <c r="J458">
        <v>1.1599999999999999</v>
      </c>
      <c r="K458">
        <v>21.872070749999999</v>
      </c>
      <c r="L458">
        <v>-1.760007999452269</v>
      </c>
      <c r="M458">
        <v>2.0053590152536449</v>
      </c>
      <c r="N458">
        <v>-1.235118297354455</v>
      </c>
      <c r="O458">
        <v>-1.052859687305729</v>
      </c>
    </row>
    <row r="459" spans="1:15" x14ac:dyDescent="0.25">
      <c r="A459">
        <v>-264.45345325</v>
      </c>
      <c r="B459">
        <v>199.71383299999999</v>
      </c>
      <c r="C459">
        <v>170.80315400000001</v>
      </c>
      <c r="D459">
        <v>-268.66545100000002</v>
      </c>
      <c r="E459">
        <v>-42.682976750000002</v>
      </c>
      <c r="F459">
        <v>5.2624940000000002</v>
      </c>
      <c r="G459">
        <v>273.02003450000001</v>
      </c>
      <c r="H459">
        <v>32</v>
      </c>
      <c r="I459">
        <v>36</v>
      </c>
      <c r="J459">
        <v>1.1675</v>
      </c>
      <c r="K459">
        <v>21.417072000000001</v>
      </c>
      <c r="L459">
        <v>-1.9441857032774199</v>
      </c>
      <c r="M459">
        <v>2.0921477478297161</v>
      </c>
      <c r="N459">
        <v>-1.4101748856362719</v>
      </c>
      <c r="O459">
        <v>-1.2141662912564559</v>
      </c>
    </row>
    <row r="460" spans="1:15" x14ac:dyDescent="0.25">
      <c r="A460">
        <v>-286.84033175000002</v>
      </c>
      <c r="B460">
        <v>176.19262325</v>
      </c>
      <c r="C460">
        <v>165.29337325</v>
      </c>
      <c r="D460">
        <v>-294.53985575000002</v>
      </c>
      <c r="E460">
        <v>-81.441087499999995</v>
      </c>
      <c r="F460">
        <v>4.9701347499999997</v>
      </c>
      <c r="G460">
        <v>266.97693650000002</v>
      </c>
      <c r="H460">
        <v>32</v>
      </c>
      <c r="I460">
        <v>40</v>
      </c>
      <c r="J460">
        <v>1.17</v>
      </c>
      <c r="K460">
        <v>21.16304525</v>
      </c>
      <c r="L460">
        <v>-2.1607644443950629</v>
      </c>
      <c r="M460">
        <v>2.2496487599399901</v>
      </c>
      <c r="N460">
        <v>-1.6651147890206259</v>
      </c>
      <c r="O460">
        <v>-1.412970742697941</v>
      </c>
    </row>
    <row r="461" spans="1:15" x14ac:dyDescent="0.25">
      <c r="A461">
        <v>-304.54263324999999</v>
      </c>
      <c r="B461">
        <v>153.58533474999999</v>
      </c>
      <c r="C461">
        <v>157.66096874999999</v>
      </c>
      <c r="D461">
        <v>-319.45272075000003</v>
      </c>
      <c r="E461">
        <v>-120.86820225</v>
      </c>
      <c r="F461">
        <v>4.7752284999999999</v>
      </c>
      <c r="G461">
        <v>262.37455725000001</v>
      </c>
      <c r="H461">
        <v>32</v>
      </c>
      <c r="I461">
        <v>44</v>
      </c>
      <c r="J461">
        <v>1.1625000000000001</v>
      </c>
      <c r="K461">
        <v>21.051975500000001</v>
      </c>
      <c r="L461">
        <v>-2.4182876220019769</v>
      </c>
      <c r="M461">
        <v>2.4749687293823301</v>
      </c>
      <c r="N461">
        <v>-2.0051636044169201</v>
      </c>
      <c r="O461">
        <v>-1.657380404564891</v>
      </c>
    </row>
    <row r="462" spans="1:15" x14ac:dyDescent="0.25">
      <c r="A462">
        <v>145.16524125000001</v>
      </c>
      <c r="B462">
        <v>142.81079099999999</v>
      </c>
      <c r="C462">
        <v>-340.16564925</v>
      </c>
      <c r="D462">
        <v>-349.30442049999999</v>
      </c>
      <c r="E462">
        <v>-133.62403125</v>
      </c>
      <c r="F462">
        <v>4.5803224999999994</v>
      </c>
      <c r="G462">
        <v>260.41357425000001</v>
      </c>
      <c r="H462">
        <v>36</v>
      </c>
      <c r="I462">
        <v>-44</v>
      </c>
      <c r="J462">
        <v>1.1599999999999999</v>
      </c>
      <c r="K462">
        <v>21.002185749999999</v>
      </c>
      <c r="L462">
        <v>2.298951828049411</v>
      </c>
      <c r="M462">
        <v>2.3311089033079169</v>
      </c>
      <c r="N462">
        <v>-1.8665358183056311</v>
      </c>
      <c r="O462">
        <v>-1.6546715326096451</v>
      </c>
    </row>
    <row r="463" spans="1:15" x14ac:dyDescent="0.25">
      <c r="A463">
        <v>147.60272599999999</v>
      </c>
      <c r="B463">
        <v>160.46372224999999</v>
      </c>
      <c r="C463">
        <v>-306.28443900000002</v>
      </c>
      <c r="D463">
        <v>-312.94040675000002</v>
      </c>
      <c r="E463">
        <v>-97.8987865</v>
      </c>
      <c r="F463">
        <v>4.6777749999999996</v>
      </c>
      <c r="G463">
        <v>255.7311555</v>
      </c>
      <c r="H463">
        <v>36</v>
      </c>
      <c r="I463">
        <v>-40</v>
      </c>
      <c r="J463">
        <v>1.1599999999999999</v>
      </c>
      <c r="K463">
        <v>20.805063000000001</v>
      </c>
      <c r="L463">
        <v>2.1438967312583062</v>
      </c>
      <c r="M463">
        <v>2.2360831186086978</v>
      </c>
      <c r="N463">
        <v>-1.670360369130957</v>
      </c>
      <c r="O463">
        <v>-1.484517824813941</v>
      </c>
    </row>
    <row r="464" spans="1:15" x14ac:dyDescent="0.25">
      <c r="A464">
        <v>148.82146075</v>
      </c>
      <c r="B464">
        <v>178.30905575</v>
      </c>
      <c r="C464">
        <v>-281.83221450000002</v>
      </c>
      <c r="D464">
        <v>-283.78800200000001</v>
      </c>
      <c r="E464">
        <v>-66.990423249999992</v>
      </c>
      <c r="F464">
        <v>4.6777755000000001</v>
      </c>
      <c r="G464">
        <v>254.29042050000001</v>
      </c>
      <c r="H464">
        <v>36</v>
      </c>
      <c r="I464">
        <v>-36</v>
      </c>
      <c r="J464">
        <v>1.1599999999999999</v>
      </c>
      <c r="K464">
        <v>20.745278500000001</v>
      </c>
      <c r="L464">
        <v>1.995466841673273</v>
      </c>
      <c r="M464">
        <v>2.1411688900219938</v>
      </c>
      <c r="N464">
        <v>-1.488709397282074</v>
      </c>
      <c r="O464">
        <v>-1.3321097071999031</v>
      </c>
    </row>
    <row r="465" spans="1:15" x14ac:dyDescent="0.25">
      <c r="A465">
        <v>145.84232324999999</v>
      </c>
      <c r="B465">
        <v>192.88354100000001</v>
      </c>
      <c r="C465">
        <v>-251.46993624999999</v>
      </c>
      <c r="D465">
        <v>-248.60405349999999</v>
      </c>
      <c r="E465">
        <v>-35.368444250000003</v>
      </c>
      <c r="F465">
        <v>4.4341427500000004</v>
      </c>
      <c r="G465">
        <v>250.84865550000001</v>
      </c>
      <c r="H465">
        <v>36</v>
      </c>
      <c r="I465">
        <v>-32</v>
      </c>
      <c r="J465">
        <v>1.1625000000000001</v>
      </c>
      <c r="K465">
        <v>20.5898845</v>
      </c>
      <c r="L465">
        <v>1.8508169810154169</v>
      </c>
      <c r="M465">
        <v>2.056598449432995</v>
      </c>
      <c r="N465">
        <v>-1.3332971315354469</v>
      </c>
      <c r="O465">
        <v>-1.1854086350474511</v>
      </c>
    </row>
    <row r="466" spans="1:15" x14ac:dyDescent="0.25">
      <c r="A466">
        <v>140.24515500000001</v>
      </c>
      <c r="B466">
        <v>204.42769225000001</v>
      </c>
      <c r="C466">
        <v>-216.64131549999999</v>
      </c>
      <c r="D466">
        <v>-218.577507</v>
      </c>
      <c r="E466">
        <v>-10.124383</v>
      </c>
      <c r="F466">
        <v>4.5803219999999998</v>
      </c>
      <c r="G466">
        <v>247.76706675</v>
      </c>
      <c r="H466">
        <v>36</v>
      </c>
      <c r="I466">
        <v>-28</v>
      </c>
      <c r="J466">
        <v>1.1675</v>
      </c>
      <c r="K466">
        <v>20.410735500000001</v>
      </c>
      <c r="L466">
        <v>1.7200572532185709</v>
      </c>
      <c r="M466">
        <v>2.0387306024272762</v>
      </c>
      <c r="N466">
        <v>-1.242950478752725</v>
      </c>
      <c r="O466">
        <v>-1.070863174458685</v>
      </c>
    </row>
    <row r="467" spans="1:15" x14ac:dyDescent="0.25">
      <c r="A467">
        <v>145.21038425</v>
      </c>
      <c r="B467">
        <v>236.22219849999999</v>
      </c>
      <c r="C467">
        <v>-195.03131875</v>
      </c>
      <c r="D467">
        <v>-210.36062625</v>
      </c>
      <c r="E467">
        <v>15.02089825</v>
      </c>
      <c r="F467">
        <v>4.82395525</v>
      </c>
      <c r="G467">
        <v>268.73783125</v>
      </c>
      <c r="H467">
        <v>36</v>
      </c>
      <c r="I467">
        <v>-24</v>
      </c>
      <c r="J467">
        <v>1.1599999999999999</v>
      </c>
      <c r="K467">
        <v>21.331206000000002</v>
      </c>
      <c r="L467">
        <v>1.562775444497382</v>
      </c>
      <c r="M467">
        <v>2.0512314136140239</v>
      </c>
      <c r="N467">
        <v>-1.165374733021421</v>
      </c>
      <c r="O467">
        <v>-0.95318416213907908</v>
      </c>
    </row>
    <row r="468" spans="1:15" x14ac:dyDescent="0.25">
      <c r="A468">
        <v>151.34920875</v>
      </c>
      <c r="B468">
        <v>278.40644850000001</v>
      </c>
      <c r="C468">
        <v>-180.36900700000001</v>
      </c>
      <c r="D468">
        <v>-219.75759099999999</v>
      </c>
      <c r="E468">
        <v>37.775738750000002</v>
      </c>
      <c r="F468">
        <v>5.7497600000000002</v>
      </c>
      <c r="G468">
        <v>302.39508825000001</v>
      </c>
      <c r="H468">
        <v>36</v>
      </c>
      <c r="I468">
        <v>-20</v>
      </c>
      <c r="J468">
        <v>1.1599999999999999</v>
      </c>
      <c r="K468">
        <v>22.615371750000001</v>
      </c>
      <c r="L468">
        <v>1.3946787102423359</v>
      </c>
      <c r="M468">
        <v>2.0945721515694351</v>
      </c>
      <c r="N468">
        <v>-1.112612188214092</v>
      </c>
      <c r="O468">
        <v>-0.86532658728208856</v>
      </c>
    </row>
    <row r="469" spans="1:15" x14ac:dyDescent="0.25">
      <c r="A469">
        <v>136.04727550000001</v>
      </c>
      <c r="B469">
        <v>289.8544005</v>
      </c>
      <c r="C469">
        <v>-141.29957974999999</v>
      </c>
      <c r="D469">
        <v>-206.25219325</v>
      </c>
      <c r="E469">
        <v>55.300095499999998</v>
      </c>
      <c r="F469">
        <v>5.8959394999999999</v>
      </c>
      <c r="G469">
        <v>303.91587075000001</v>
      </c>
      <c r="H469">
        <v>36</v>
      </c>
      <c r="I469">
        <v>-16</v>
      </c>
      <c r="J469">
        <v>1.165</v>
      </c>
      <c r="K469">
        <v>22.619263749999998</v>
      </c>
      <c r="L469">
        <v>1.210721483331938</v>
      </c>
      <c r="M469">
        <v>2.1656883669069358</v>
      </c>
      <c r="N469">
        <v>-1.0853000131979851</v>
      </c>
      <c r="O469">
        <v>-0.78433570688622645</v>
      </c>
    </row>
    <row r="470" spans="1:15" x14ac:dyDescent="0.25">
      <c r="A470">
        <v>113.56832300000001</v>
      </c>
      <c r="B470">
        <v>287.06455999999997</v>
      </c>
      <c r="C470">
        <v>-101.91435250000001</v>
      </c>
      <c r="D470">
        <v>-193.227577</v>
      </c>
      <c r="E470">
        <v>66.163408000000004</v>
      </c>
      <c r="F470">
        <v>5.847213</v>
      </c>
      <c r="G470">
        <v>293.99078350000002</v>
      </c>
      <c r="H470">
        <v>36</v>
      </c>
      <c r="I470">
        <v>-12</v>
      </c>
      <c r="J470">
        <v>1.1625000000000001</v>
      </c>
      <c r="K470">
        <v>22.265101749999999</v>
      </c>
      <c r="L470">
        <v>1.008174285401233</v>
      </c>
      <c r="M470">
        <v>2.2471870911931582</v>
      </c>
      <c r="N470">
        <v>-1.0659636847288221</v>
      </c>
      <c r="O470">
        <v>-0.71781036794933328</v>
      </c>
    </row>
    <row r="471" spans="1:15" x14ac:dyDescent="0.25">
      <c r="A471">
        <v>89.328977499999993</v>
      </c>
      <c r="B471">
        <v>284.22662350000002</v>
      </c>
      <c r="C471">
        <v>-65.596933000000007</v>
      </c>
      <c r="D471">
        <v>-182.91277700000001</v>
      </c>
      <c r="E471">
        <v>74.478540250000009</v>
      </c>
      <c r="F471">
        <v>5.5061270000000002</v>
      </c>
      <c r="G471">
        <v>287.02721400000001</v>
      </c>
      <c r="H471">
        <v>36</v>
      </c>
      <c r="I471">
        <v>-8</v>
      </c>
      <c r="J471">
        <v>1.1599999999999999</v>
      </c>
      <c r="K471">
        <v>22.031360750000001</v>
      </c>
      <c r="L471">
        <v>0.77956605989569017</v>
      </c>
      <c r="M471">
        <v>2.3505888851635759</v>
      </c>
      <c r="N471">
        <v>-1.069520978005909</v>
      </c>
      <c r="O471">
        <v>-0.65294166423095479</v>
      </c>
    </row>
    <row r="472" spans="1:15" x14ac:dyDescent="0.25">
      <c r="A472">
        <v>61.2528595</v>
      </c>
      <c r="B472">
        <v>279.32035825000003</v>
      </c>
      <c r="C472">
        <v>-29.730656499999998</v>
      </c>
      <c r="D472">
        <v>-171.94238675</v>
      </c>
      <c r="E472">
        <v>78.144348500000007</v>
      </c>
      <c r="F472">
        <v>5.2137675000000003</v>
      </c>
      <c r="G472">
        <v>280.14366949999999</v>
      </c>
      <c r="H472">
        <v>36</v>
      </c>
      <c r="I472">
        <v>-4</v>
      </c>
      <c r="J472">
        <v>1.1625000000000001</v>
      </c>
      <c r="K472">
        <v>21.748630500000001</v>
      </c>
      <c r="L472">
        <v>0.50832108773284068</v>
      </c>
      <c r="M472">
        <v>2.5213058554176189</v>
      </c>
      <c r="N472">
        <v>-1.1286316777904639</v>
      </c>
      <c r="O472">
        <v>-0.59250866110032685</v>
      </c>
    </row>
    <row r="473" spans="1:15" x14ac:dyDescent="0.25">
      <c r="A473">
        <v>31.371200000000002</v>
      </c>
      <c r="B473">
        <v>275.81865699999997</v>
      </c>
      <c r="C473">
        <v>5.3291275000000002</v>
      </c>
      <c r="D473">
        <v>-165.342659</v>
      </c>
      <c r="E473">
        <v>79.753726999999998</v>
      </c>
      <c r="F473">
        <v>5.359947</v>
      </c>
      <c r="G473">
        <v>276.86199950000002</v>
      </c>
      <c r="H473">
        <v>36</v>
      </c>
      <c r="I473">
        <v>0</v>
      </c>
      <c r="J473">
        <v>1.1675</v>
      </c>
      <c r="K473">
        <v>21.566285499999999</v>
      </c>
      <c r="L473">
        <v>0.16300125079543179</v>
      </c>
      <c r="M473">
        <v>2.761424507950204</v>
      </c>
      <c r="N473">
        <v>-1.233796047718021</v>
      </c>
      <c r="O473">
        <v>-0.53434757222861307</v>
      </c>
    </row>
    <row r="474" spans="1:15" x14ac:dyDescent="0.25">
      <c r="A474">
        <v>-1.216188</v>
      </c>
      <c r="B474">
        <v>270.46984850000001</v>
      </c>
      <c r="C474">
        <v>33.736103</v>
      </c>
      <c r="D474">
        <v>-164.07516849999999</v>
      </c>
      <c r="E474">
        <v>75.059702000000001</v>
      </c>
      <c r="F474">
        <v>5.2137675000000003</v>
      </c>
      <c r="G474">
        <v>271.69934074999998</v>
      </c>
      <c r="H474">
        <v>36</v>
      </c>
      <c r="I474">
        <v>4</v>
      </c>
      <c r="J474">
        <v>1.1599999999999999</v>
      </c>
      <c r="K474">
        <v>21.434968250000001</v>
      </c>
      <c r="L474">
        <v>-0.22163088037758349</v>
      </c>
      <c r="M474">
        <v>2.7554273280596822</v>
      </c>
      <c r="N474">
        <v>-1.246883990106862</v>
      </c>
      <c r="O474">
        <v>-0.55711424177941227</v>
      </c>
    </row>
    <row r="475" spans="1:15" x14ac:dyDescent="0.25">
      <c r="A475">
        <v>-34.278501749999997</v>
      </c>
      <c r="B475">
        <v>267.51711275000002</v>
      </c>
      <c r="C475">
        <v>60.426918000000001</v>
      </c>
      <c r="D475">
        <v>-165.64860949999999</v>
      </c>
      <c r="E475">
        <v>71.125664</v>
      </c>
      <c r="F475">
        <v>5.1163144999999997</v>
      </c>
      <c r="G475">
        <v>269.0579985</v>
      </c>
      <c r="H475">
        <v>36</v>
      </c>
      <c r="I475">
        <v>8</v>
      </c>
      <c r="J475">
        <v>1.1625000000000001</v>
      </c>
      <c r="K475">
        <v>21.309582750000001</v>
      </c>
      <c r="L475">
        <v>-0.55353856560820369</v>
      </c>
      <c r="M475">
        <v>2.5318304379741812</v>
      </c>
      <c r="N475">
        <v>-1.156904751732222</v>
      </c>
      <c r="O475">
        <v>-0.6141870767956471</v>
      </c>
    </row>
    <row r="476" spans="1:15" x14ac:dyDescent="0.25">
      <c r="A476">
        <v>-71.439823000000004</v>
      </c>
      <c r="B476">
        <v>264.17981724999999</v>
      </c>
      <c r="C476">
        <v>80.659551749999991</v>
      </c>
      <c r="D476">
        <v>-171.89868150000001</v>
      </c>
      <c r="E476">
        <v>60.038825750000001</v>
      </c>
      <c r="F476">
        <v>4.970135</v>
      </c>
      <c r="G476">
        <v>267.49720000000002</v>
      </c>
      <c r="H476">
        <v>36</v>
      </c>
      <c r="I476">
        <v>12</v>
      </c>
      <c r="J476">
        <v>1.1625000000000001</v>
      </c>
      <c r="K476">
        <v>21.252394750000001</v>
      </c>
      <c r="L476">
        <v>-0.83704007179819517</v>
      </c>
      <c r="M476">
        <v>2.399898924546751</v>
      </c>
      <c r="N476">
        <v>-1.141722718990432</v>
      </c>
      <c r="O476">
        <v>-0.69692903503935888</v>
      </c>
    </row>
    <row r="477" spans="1:15" x14ac:dyDescent="0.25">
      <c r="A477">
        <v>-105.58319299999999</v>
      </c>
      <c r="B477">
        <v>255.23441725000001</v>
      </c>
      <c r="C477">
        <v>98.092130749999995</v>
      </c>
      <c r="D477">
        <v>-170.41264724999999</v>
      </c>
      <c r="E477">
        <v>48.415528250000001</v>
      </c>
      <c r="F477">
        <v>4.5803224999999994</v>
      </c>
      <c r="G477">
        <v>262.59942599999999</v>
      </c>
      <c r="H477">
        <v>36</v>
      </c>
      <c r="I477">
        <v>16</v>
      </c>
      <c r="J477">
        <v>1.1599999999999999</v>
      </c>
      <c r="K477">
        <v>21.091715000000001</v>
      </c>
      <c r="L477">
        <v>-1.0925958041693291</v>
      </c>
      <c r="M477">
        <v>2.2833546046027169</v>
      </c>
      <c r="N477">
        <v>-1.1489750403668999</v>
      </c>
      <c r="O477">
        <v>-0.76485186899408608</v>
      </c>
    </row>
    <row r="478" spans="1:15" x14ac:dyDescent="0.25">
      <c r="A478">
        <v>-139.96084974999999</v>
      </c>
      <c r="B478">
        <v>246.88328150000001</v>
      </c>
      <c r="C478">
        <v>111.595606</v>
      </c>
      <c r="D478">
        <v>-178.89175775000001</v>
      </c>
      <c r="E478">
        <v>33.126419249999998</v>
      </c>
      <c r="F478">
        <v>4.6290487499999999</v>
      </c>
      <c r="G478">
        <v>260.9338305</v>
      </c>
      <c r="H478">
        <v>36</v>
      </c>
      <c r="I478">
        <v>20</v>
      </c>
      <c r="J478">
        <v>1.1599999999999999</v>
      </c>
      <c r="K478">
        <v>21.021531</v>
      </c>
      <c r="L478">
        <v>-1.306409396087362</v>
      </c>
      <c r="M478">
        <v>2.2112642062718568</v>
      </c>
      <c r="N478">
        <v>-1.183117581932831</v>
      </c>
      <c r="O478">
        <v>-0.85200816562478132</v>
      </c>
    </row>
    <row r="479" spans="1:15" x14ac:dyDescent="0.25">
      <c r="A479">
        <v>-174.91745374999999</v>
      </c>
      <c r="B479">
        <v>235.62853625</v>
      </c>
      <c r="C479">
        <v>121.30546200000001</v>
      </c>
      <c r="D479">
        <v>-197.55454624999999</v>
      </c>
      <c r="E479">
        <v>12.29389325</v>
      </c>
      <c r="F479">
        <v>4.5803224999999994</v>
      </c>
      <c r="G479">
        <v>258.6626435</v>
      </c>
      <c r="H479">
        <v>36</v>
      </c>
      <c r="I479">
        <v>24</v>
      </c>
      <c r="J479">
        <v>1.1599999999999999</v>
      </c>
      <c r="K479">
        <v>20.930187</v>
      </c>
      <c r="L479">
        <v>-1.4920803629421531</v>
      </c>
      <c r="M479">
        <v>2.181976819186382</v>
      </c>
      <c r="N479">
        <v>-1.2409788798550829</v>
      </c>
      <c r="O479">
        <v>-0.96115137422967278</v>
      </c>
    </row>
    <row r="480" spans="1:15" x14ac:dyDescent="0.25">
      <c r="A480">
        <v>-209.37833424999999</v>
      </c>
      <c r="B480">
        <v>220.78372175000001</v>
      </c>
      <c r="C480">
        <v>126.815237</v>
      </c>
      <c r="D480">
        <v>-217.92190925</v>
      </c>
      <c r="E480">
        <v>-12.845034</v>
      </c>
      <c r="F480">
        <v>4.43414325</v>
      </c>
      <c r="G480">
        <v>255.25091549999999</v>
      </c>
      <c r="H480">
        <v>36</v>
      </c>
      <c r="I480">
        <v>28</v>
      </c>
      <c r="J480">
        <v>1.1599999999999999</v>
      </c>
      <c r="K480">
        <v>20.795256250000001</v>
      </c>
      <c r="L480">
        <v>-1.674226073043287</v>
      </c>
      <c r="M480">
        <v>2.184748540386614</v>
      </c>
      <c r="N480">
        <v>-1.335117866097109</v>
      </c>
      <c r="O480">
        <v>-1.0860549121135581</v>
      </c>
    </row>
    <row r="481" spans="1:15" x14ac:dyDescent="0.25">
      <c r="A481">
        <v>-241.2874185</v>
      </c>
      <c r="B481">
        <v>206.40466699999999</v>
      </c>
      <c r="C481">
        <v>129.66045025</v>
      </c>
      <c r="D481">
        <v>-242.004322</v>
      </c>
      <c r="E481">
        <v>-40.185331499999997</v>
      </c>
      <c r="F481">
        <v>4.3854164999999998</v>
      </c>
      <c r="G481">
        <v>254.00603849999999</v>
      </c>
      <c r="H481">
        <v>36</v>
      </c>
      <c r="I481">
        <v>32</v>
      </c>
      <c r="J481">
        <v>1.1675</v>
      </c>
      <c r="K481">
        <v>20.678981749999998</v>
      </c>
      <c r="L481">
        <v>-1.8413028467146331</v>
      </c>
      <c r="M481">
        <v>2.225811053812611</v>
      </c>
      <c r="N481">
        <v>-1.4603148769779819</v>
      </c>
      <c r="O481">
        <v>-1.2212437017179889</v>
      </c>
    </row>
    <row r="482" spans="1:15" x14ac:dyDescent="0.25">
      <c r="A482">
        <v>-268.69519074999999</v>
      </c>
      <c r="B482">
        <v>189.16660300000001</v>
      </c>
      <c r="C482">
        <v>129.29915650000001</v>
      </c>
      <c r="D482">
        <v>-266.34899875000002</v>
      </c>
      <c r="E482">
        <v>-70.51388725000001</v>
      </c>
      <c r="F482">
        <v>4.5315962499999998</v>
      </c>
      <c r="G482">
        <v>250.83407199999999</v>
      </c>
      <c r="H482">
        <v>36</v>
      </c>
      <c r="I482">
        <v>36</v>
      </c>
      <c r="J482">
        <v>1.1625000000000001</v>
      </c>
      <c r="K482">
        <v>20.5852045</v>
      </c>
      <c r="L482">
        <v>-2.0201912045085142</v>
      </c>
      <c r="M482">
        <v>2.3121647274146051</v>
      </c>
      <c r="N482">
        <v>-1.631145327936574</v>
      </c>
      <c r="O482">
        <v>-1.380924217271438</v>
      </c>
    </row>
    <row r="483" spans="1:15" x14ac:dyDescent="0.25">
      <c r="A483">
        <v>-290.75213624999998</v>
      </c>
      <c r="B483">
        <v>170.24050149999999</v>
      </c>
      <c r="C483">
        <v>126.77007875</v>
      </c>
      <c r="D483">
        <v>-290.73737349999999</v>
      </c>
      <c r="E483">
        <v>-102.76027474999999</v>
      </c>
      <c r="F483">
        <v>4.4828700000000001</v>
      </c>
      <c r="G483">
        <v>248.80426399999999</v>
      </c>
      <c r="H483">
        <v>36</v>
      </c>
      <c r="I483">
        <v>40</v>
      </c>
      <c r="J483">
        <v>1.1599999999999999</v>
      </c>
      <c r="K483">
        <v>20.524223750000001</v>
      </c>
      <c r="L483">
        <v>-2.2210475890502881</v>
      </c>
      <c r="M483">
        <v>2.4522178228687448</v>
      </c>
      <c r="N483">
        <v>-1.8701830812549489</v>
      </c>
      <c r="O483">
        <v>-1.570492009812668</v>
      </c>
    </row>
    <row r="484" spans="1:15" x14ac:dyDescent="0.25">
      <c r="A484">
        <v>-306.47460174999998</v>
      </c>
      <c r="B484">
        <v>152.01417925000001</v>
      </c>
      <c r="C484">
        <v>122.56999974999999</v>
      </c>
      <c r="D484">
        <v>-316.48065150000002</v>
      </c>
      <c r="E484">
        <v>-137.5043105</v>
      </c>
      <c r="F484">
        <v>4.5315962499999998</v>
      </c>
      <c r="G484">
        <v>247.93835824999999</v>
      </c>
      <c r="H484">
        <v>36</v>
      </c>
      <c r="I484">
        <v>44</v>
      </c>
      <c r="J484">
        <v>1.1599999999999999</v>
      </c>
      <c r="K484">
        <v>20.485771499999998</v>
      </c>
      <c r="L484">
        <v>-2.4661892095604361</v>
      </c>
      <c r="M484">
        <v>2.6930151592791618</v>
      </c>
      <c r="N484">
        <v>-2.215605603939244</v>
      </c>
      <c r="O484">
        <v>-1.8164643211789</v>
      </c>
    </row>
    <row r="485" spans="1:15" x14ac:dyDescent="0.25">
      <c r="A485">
        <v>110.45377550000001</v>
      </c>
      <c r="B485">
        <v>135.759636</v>
      </c>
      <c r="C485">
        <v>-335.04576150000003</v>
      </c>
      <c r="D485">
        <v>-340.82531775000001</v>
      </c>
      <c r="E485">
        <v>-153.64979925</v>
      </c>
      <c r="F485">
        <v>4.3366897500000006</v>
      </c>
      <c r="G485">
        <v>243.69667799999999</v>
      </c>
      <c r="H485">
        <v>40</v>
      </c>
      <c r="I485">
        <v>-44</v>
      </c>
      <c r="J485">
        <v>1.1599999999999999</v>
      </c>
      <c r="K485">
        <v>20.314763249999999</v>
      </c>
      <c r="L485">
        <v>2.417508527247147</v>
      </c>
      <c r="M485">
        <v>2.5862083237507081</v>
      </c>
      <c r="N485">
        <v>-2.1562670405459698</v>
      </c>
      <c r="O485">
        <v>-1.857362933784676</v>
      </c>
    </row>
    <row r="486" spans="1:15" x14ac:dyDescent="0.25">
      <c r="A486">
        <v>114.0197105</v>
      </c>
      <c r="B486">
        <v>154.84075150000001</v>
      </c>
      <c r="C486">
        <v>-314.43360124999998</v>
      </c>
      <c r="D486">
        <v>-315.34426875000003</v>
      </c>
      <c r="E486">
        <v>-124.34706875000001</v>
      </c>
      <c r="F486">
        <v>4.2879635</v>
      </c>
      <c r="G486">
        <v>242.84224699999999</v>
      </c>
      <c r="H486">
        <v>40</v>
      </c>
      <c r="I486">
        <v>-40</v>
      </c>
      <c r="J486">
        <v>1.1599999999999999</v>
      </c>
      <c r="K486">
        <v>20.28054375</v>
      </c>
      <c r="L486">
        <v>2.2486209730497282</v>
      </c>
      <c r="M486">
        <v>2.4676505875078032</v>
      </c>
      <c r="N486">
        <v>-1.9271102770968009</v>
      </c>
      <c r="O486">
        <v>-1.675120296731142</v>
      </c>
    </row>
    <row r="487" spans="1:15" x14ac:dyDescent="0.25">
      <c r="A487">
        <v>125.80084225</v>
      </c>
      <c r="B487">
        <v>187.21636225</v>
      </c>
      <c r="C487">
        <v>-319.68667625</v>
      </c>
      <c r="D487">
        <v>-316.5243605</v>
      </c>
      <c r="E487">
        <v>-105.88233375</v>
      </c>
      <c r="F487">
        <v>4.6290487499999999</v>
      </c>
      <c r="G487">
        <v>263.72005474999997</v>
      </c>
      <c r="H487">
        <v>40</v>
      </c>
      <c r="I487">
        <v>-36</v>
      </c>
      <c r="J487">
        <v>1.1599999999999999</v>
      </c>
      <c r="K487">
        <v>21.1354215</v>
      </c>
      <c r="L487">
        <v>2.0991643587525428</v>
      </c>
      <c r="M487">
        <v>2.373663352401727</v>
      </c>
      <c r="N487">
        <v>-1.741621448691687</v>
      </c>
      <c r="O487">
        <v>-1.520755392155527</v>
      </c>
    </row>
    <row r="488" spans="1:15" x14ac:dyDescent="0.25">
      <c r="A488">
        <v>139.02641650000001</v>
      </c>
      <c r="B488">
        <v>228.12564474999999</v>
      </c>
      <c r="C488">
        <v>-332.02472699999998</v>
      </c>
      <c r="D488">
        <v>-326.83914924999999</v>
      </c>
      <c r="E488">
        <v>-89.781432999999993</v>
      </c>
      <c r="F488">
        <v>5.7497600000000002</v>
      </c>
      <c r="G488">
        <v>295.63724500000001</v>
      </c>
      <c r="H488">
        <v>40</v>
      </c>
      <c r="I488">
        <v>-32</v>
      </c>
      <c r="J488">
        <v>1.1599999999999999</v>
      </c>
      <c r="K488">
        <v>22.3562975</v>
      </c>
      <c r="L488">
        <v>1.9655882625951531</v>
      </c>
      <c r="M488">
        <v>2.315732782856514</v>
      </c>
      <c r="N488">
        <v>-1.608264892310034</v>
      </c>
      <c r="O488">
        <v>-1.3986360192721949</v>
      </c>
    </row>
    <row r="489" spans="1:15" x14ac:dyDescent="0.25">
      <c r="A489">
        <v>138.981281</v>
      </c>
      <c r="B489">
        <v>255.39108275000001</v>
      </c>
      <c r="C489">
        <v>-306.9208375</v>
      </c>
      <c r="D489">
        <v>-308.22006199999998</v>
      </c>
      <c r="E489">
        <v>-62.887144999999997</v>
      </c>
      <c r="F489">
        <v>6.1395724999999999</v>
      </c>
      <c r="G489">
        <v>307.20191949999997</v>
      </c>
      <c r="H489">
        <v>40</v>
      </c>
      <c r="I489">
        <v>-28</v>
      </c>
      <c r="J489">
        <v>1.165</v>
      </c>
      <c r="K489">
        <v>22.7343835</v>
      </c>
      <c r="L489">
        <v>1.82235831242614</v>
      </c>
      <c r="M489">
        <v>2.3034475646465888</v>
      </c>
      <c r="N489">
        <v>-1.512532884211927</v>
      </c>
      <c r="O489">
        <v>-1.2820922137617869</v>
      </c>
    </row>
    <row r="490" spans="1:15" x14ac:dyDescent="0.25">
      <c r="A490">
        <v>124.67238625</v>
      </c>
      <c r="B490">
        <v>258.70910624999999</v>
      </c>
      <c r="C490">
        <v>-258.35559875000001</v>
      </c>
      <c r="D490">
        <v>-273.07984175000001</v>
      </c>
      <c r="E490">
        <v>-38.222896499999997</v>
      </c>
      <c r="F490">
        <v>5.847213</v>
      </c>
      <c r="G490">
        <v>294.61979674999998</v>
      </c>
      <c r="H490">
        <v>40</v>
      </c>
      <c r="I490">
        <v>-24</v>
      </c>
      <c r="J490">
        <v>1.1599999999999999</v>
      </c>
      <c r="K490">
        <v>22.313296749999999</v>
      </c>
      <c r="L490">
        <v>1.683675550990045</v>
      </c>
      <c r="M490">
        <v>2.337600469014085</v>
      </c>
      <c r="N490">
        <v>-1.463095755251492</v>
      </c>
      <c r="O490">
        <v>-1.193725206914213</v>
      </c>
    </row>
    <row r="491" spans="1:15" x14ac:dyDescent="0.25">
      <c r="A491">
        <v>110.99543925</v>
      </c>
      <c r="B491">
        <v>261.78668249999998</v>
      </c>
      <c r="C491">
        <v>-208.55221175</v>
      </c>
      <c r="D491">
        <v>-245.1512185</v>
      </c>
      <c r="E491">
        <v>-14.629065750000001</v>
      </c>
      <c r="F491">
        <v>5.4086734999999999</v>
      </c>
      <c r="G491">
        <v>284.39981849999998</v>
      </c>
      <c r="H491">
        <v>40</v>
      </c>
      <c r="I491">
        <v>-20</v>
      </c>
      <c r="J491">
        <v>1.1599999999999999</v>
      </c>
      <c r="K491">
        <v>21.932137749999999</v>
      </c>
      <c r="L491">
        <v>1.5057159715707129</v>
      </c>
      <c r="M491">
        <v>2.388714168853237</v>
      </c>
      <c r="N491">
        <v>-1.4090381397968139</v>
      </c>
      <c r="O491">
        <v>-1.0944124216732769</v>
      </c>
    </row>
    <row r="492" spans="1:15" x14ac:dyDescent="0.25">
      <c r="A492">
        <v>93.752546249999995</v>
      </c>
      <c r="B492">
        <v>266.25878925000001</v>
      </c>
      <c r="C492">
        <v>-170.7822535</v>
      </c>
      <c r="D492">
        <v>-231.6021235</v>
      </c>
      <c r="E492">
        <v>-1.8732335</v>
      </c>
      <c r="F492">
        <v>5.2624940000000002</v>
      </c>
      <c r="G492">
        <v>280.11859900000002</v>
      </c>
      <c r="H492">
        <v>40</v>
      </c>
      <c r="I492">
        <v>-16</v>
      </c>
      <c r="J492">
        <v>1.1599999999999999</v>
      </c>
      <c r="K492">
        <v>21.76901075</v>
      </c>
      <c r="L492">
        <v>1.3272053792012111</v>
      </c>
      <c r="M492">
        <v>2.4978430362071018</v>
      </c>
      <c r="N492">
        <v>-1.4148251899122251</v>
      </c>
      <c r="O492">
        <v>-1.0358147243339551</v>
      </c>
    </row>
    <row r="493" spans="1:15" x14ac:dyDescent="0.25">
      <c r="A493">
        <v>74.297872499999997</v>
      </c>
      <c r="B493">
        <v>267.04679125000001</v>
      </c>
      <c r="C493">
        <v>-133.567421</v>
      </c>
      <c r="D493">
        <v>-223.29784000000001</v>
      </c>
      <c r="E493">
        <v>8.8516089999999998</v>
      </c>
      <c r="F493">
        <v>5.0675879999999998</v>
      </c>
      <c r="G493">
        <v>273.97278575000001</v>
      </c>
      <c r="H493">
        <v>40</v>
      </c>
      <c r="I493">
        <v>-12</v>
      </c>
      <c r="J493">
        <v>1.1599999999999999</v>
      </c>
      <c r="K493">
        <v>21.532053999999999</v>
      </c>
      <c r="L493">
        <v>1.109857918630742</v>
      </c>
      <c r="M493">
        <v>2.6182072414860609</v>
      </c>
      <c r="N493">
        <v>-1.4156300418582439</v>
      </c>
      <c r="O493">
        <v>-0.97979050718768435</v>
      </c>
    </row>
    <row r="494" spans="1:15" x14ac:dyDescent="0.25">
      <c r="A494">
        <v>52.54113675</v>
      </c>
      <c r="B494">
        <v>266.53643775</v>
      </c>
      <c r="C494">
        <v>-97.673559249999997</v>
      </c>
      <c r="D494">
        <v>-215.12467574999999</v>
      </c>
      <c r="E494">
        <v>16.496163500000002</v>
      </c>
      <c r="F494">
        <v>4.9701347499999997</v>
      </c>
      <c r="G494">
        <v>269.39559174999999</v>
      </c>
      <c r="H494">
        <v>40</v>
      </c>
      <c r="I494">
        <v>-8</v>
      </c>
      <c r="J494">
        <v>1.1599999999999999</v>
      </c>
      <c r="K494">
        <v>21.35195225</v>
      </c>
      <c r="L494">
        <v>0.86882307078711352</v>
      </c>
      <c r="M494">
        <v>2.7858605245340828</v>
      </c>
      <c r="N494">
        <v>-1.462742967130287</v>
      </c>
      <c r="O494">
        <v>-0.93333587937214979</v>
      </c>
    </row>
    <row r="495" spans="1:15" x14ac:dyDescent="0.25">
      <c r="A495">
        <v>28.346924250000001</v>
      </c>
      <c r="B495">
        <v>266.68064099999998</v>
      </c>
      <c r="C495">
        <v>-61.885388249999998</v>
      </c>
      <c r="D495">
        <v>-207.65080624999999</v>
      </c>
      <c r="E495">
        <v>22.218401249999999</v>
      </c>
      <c r="F495">
        <v>5.0188614999999999</v>
      </c>
      <c r="G495">
        <v>268.210846</v>
      </c>
      <c r="H495">
        <v>40</v>
      </c>
      <c r="I495">
        <v>-4</v>
      </c>
      <c r="J495">
        <v>1.1599999999999999</v>
      </c>
      <c r="K495">
        <v>21.302088999999999</v>
      </c>
      <c r="L495">
        <v>0.57476451817526963</v>
      </c>
      <c r="M495">
        <v>3.0215429511792999</v>
      </c>
      <c r="N495">
        <v>-1.567019047456037</v>
      </c>
      <c r="O495">
        <v>-0.89046413826261883</v>
      </c>
    </row>
    <row r="496" spans="1:15" x14ac:dyDescent="0.25">
      <c r="A496">
        <v>9.0889500000000012E-2</v>
      </c>
      <c r="B496">
        <v>262.26754749999998</v>
      </c>
      <c r="C496">
        <v>-29.228536999999999</v>
      </c>
      <c r="D496">
        <v>-200.91997499999999</v>
      </c>
      <c r="E496">
        <v>22.66545275</v>
      </c>
      <c r="F496">
        <v>4.7752287500000001</v>
      </c>
      <c r="G496">
        <v>263.28918475</v>
      </c>
      <c r="H496">
        <v>40</v>
      </c>
      <c r="I496">
        <v>0</v>
      </c>
      <c r="J496">
        <v>1.1599999999999999</v>
      </c>
      <c r="K496">
        <v>21.111930000000001</v>
      </c>
      <c r="L496">
        <v>0.21284201895747171</v>
      </c>
      <c r="M496">
        <v>3.3627708068290509</v>
      </c>
      <c r="N496">
        <v>-1.746938176994407</v>
      </c>
      <c r="O496">
        <v>-0.87010005308119187</v>
      </c>
    </row>
    <row r="497" spans="1:15" x14ac:dyDescent="0.25">
      <c r="A497">
        <v>-29.1002525</v>
      </c>
      <c r="B497">
        <v>259.82146475000002</v>
      </c>
      <c r="C497">
        <v>-0.63114799999999993</v>
      </c>
      <c r="D497">
        <v>-198.07902150000001</v>
      </c>
      <c r="E497">
        <v>21.681941250000001</v>
      </c>
      <c r="F497">
        <v>4.6290492499999996</v>
      </c>
      <c r="G497">
        <v>260.96839899999998</v>
      </c>
      <c r="H497">
        <v>40</v>
      </c>
      <c r="I497">
        <v>4</v>
      </c>
      <c r="J497">
        <v>1.1599999999999999</v>
      </c>
      <c r="K497">
        <v>21.022947250000001</v>
      </c>
      <c r="L497">
        <v>-0.21039521435426989</v>
      </c>
      <c r="M497">
        <v>3.3851791638130102</v>
      </c>
      <c r="N497">
        <v>-1.7690370694541111</v>
      </c>
      <c r="O497">
        <v>-0.87397546454921826</v>
      </c>
    </row>
    <row r="498" spans="1:15" x14ac:dyDescent="0.25">
      <c r="A498">
        <v>-61.357960749999997</v>
      </c>
      <c r="B498">
        <v>256.72521225000003</v>
      </c>
      <c r="C498">
        <v>24.660102500000001</v>
      </c>
      <c r="D498">
        <v>-198.42866925000001</v>
      </c>
      <c r="E498">
        <v>17.747902249999999</v>
      </c>
      <c r="F498">
        <v>4.4828694999999996</v>
      </c>
      <c r="G498">
        <v>258.3525085</v>
      </c>
      <c r="H498">
        <v>40</v>
      </c>
      <c r="I498">
        <v>8</v>
      </c>
      <c r="J498">
        <v>1.1599999999999999</v>
      </c>
      <c r="K498">
        <v>20.921429</v>
      </c>
      <c r="L498">
        <v>-0.58259642636215148</v>
      </c>
      <c r="M498">
        <v>3.0829996450284209</v>
      </c>
      <c r="N498">
        <v>-1.6297597380876481</v>
      </c>
      <c r="O498">
        <v>-0.91017981481939481</v>
      </c>
    </row>
    <row r="499" spans="1:15" x14ac:dyDescent="0.25">
      <c r="A499">
        <v>-96.677020749999997</v>
      </c>
      <c r="B499">
        <v>252.37924949999999</v>
      </c>
      <c r="C499">
        <v>44.493355749999999</v>
      </c>
      <c r="D499">
        <v>-199.52135475</v>
      </c>
      <c r="E499">
        <v>8.7174945000000008</v>
      </c>
      <c r="F499">
        <v>4.4828694999999996</v>
      </c>
      <c r="G499">
        <v>255.99183650000001</v>
      </c>
      <c r="H499">
        <v>40</v>
      </c>
      <c r="I499">
        <v>12</v>
      </c>
      <c r="J499">
        <v>1.1625000000000001</v>
      </c>
      <c r="K499">
        <v>20.801636999999999</v>
      </c>
      <c r="L499">
        <v>-0.90021559562606557</v>
      </c>
      <c r="M499">
        <v>2.8818285662638119</v>
      </c>
      <c r="N499">
        <v>-1.5769319170485681</v>
      </c>
      <c r="O499">
        <v>-0.97302867078625377</v>
      </c>
    </row>
    <row r="500" spans="1:15" x14ac:dyDescent="0.25">
      <c r="A500">
        <v>-131.41921625000001</v>
      </c>
      <c r="B500">
        <v>247.4912415</v>
      </c>
      <c r="C500">
        <v>61.789907249999999</v>
      </c>
      <c r="D500">
        <v>-202.31858449999999</v>
      </c>
      <c r="E500">
        <v>-2.2300392499999999</v>
      </c>
      <c r="F500">
        <v>4.6290487499999999</v>
      </c>
      <c r="G500">
        <v>254.99155049999999</v>
      </c>
      <c r="H500">
        <v>40</v>
      </c>
      <c r="I500">
        <v>16</v>
      </c>
      <c r="J500">
        <v>1.17</v>
      </c>
      <c r="K500">
        <v>20.68743675</v>
      </c>
      <c r="L500">
        <v>-1.1735275356235411</v>
      </c>
      <c r="M500">
        <v>2.7321396408849452</v>
      </c>
      <c r="N500">
        <v>-1.562372006510669</v>
      </c>
      <c r="O500">
        <v>-1.0416736152177519</v>
      </c>
    </row>
    <row r="501" spans="1:15" x14ac:dyDescent="0.25">
      <c r="A501">
        <v>-165.28804400000001</v>
      </c>
      <c r="B501">
        <v>237.7282295</v>
      </c>
      <c r="C501">
        <v>75.796936000000002</v>
      </c>
      <c r="D501">
        <v>-208.78717800000001</v>
      </c>
      <c r="E501">
        <v>-15.253477500000001</v>
      </c>
      <c r="F501">
        <v>4.3366902500000002</v>
      </c>
      <c r="G501">
        <v>251.63061525000001</v>
      </c>
      <c r="H501">
        <v>40</v>
      </c>
      <c r="I501">
        <v>20</v>
      </c>
      <c r="J501">
        <v>1.165</v>
      </c>
      <c r="K501">
        <v>20.604467499999998</v>
      </c>
      <c r="L501">
        <v>-1.4034278279600401</v>
      </c>
      <c r="M501">
        <v>2.599296783596396</v>
      </c>
      <c r="N501">
        <v>-1.553625059805043</v>
      </c>
      <c r="O501">
        <v>-1.114050196749127</v>
      </c>
    </row>
    <row r="502" spans="1:15" x14ac:dyDescent="0.25">
      <c r="A502">
        <v>-206.08524324999999</v>
      </c>
      <c r="B502">
        <v>238.9139405</v>
      </c>
      <c r="C502">
        <v>88.586147249999996</v>
      </c>
      <c r="D502">
        <v>-232.95703125</v>
      </c>
      <c r="E502">
        <v>-34.164221750000003</v>
      </c>
      <c r="F502">
        <v>4.726502</v>
      </c>
      <c r="G502">
        <v>261.23331424999998</v>
      </c>
      <c r="H502">
        <v>40</v>
      </c>
      <c r="I502">
        <v>24</v>
      </c>
      <c r="J502">
        <v>1.1599999999999999</v>
      </c>
      <c r="K502">
        <v>21.029734749999999</v>
      </c>
      <c r="L502">
        <v>-1.589753175201674</v>
      </c>
      <c r="M502">
        <v>2.545770530943043</v>
      </c>
      <c r="N502">
        <v>-1.593672937454365</v>
      </c>
      <c r="O502">
        <v>-1.209813941662202</v>
      </c>
    </row>
    <row r="503" spans="1:15" x14ac:dyDescent="0.25">
      <c r="A503">
        <v>-274.53410324999999</v>
      </c>
      <c r="B503">
        <v>258.71526349999999</v>
      </c>
      <c r="C503">
        <v>108.041832</v>
      </c>
      <c r="D503">
        <v>-287.28453825000003</v>
      </c>
      <c r="E503">
        <v>-64.849584749999991</v>
      </c>
      <c r="F503">
        <v>5.7984865000000001</v>
      </c>
      <c r="G503">
        <v>296.44318375</v>
      </c>
      <c r="H503">
        <v>40</v>
      </c>
      <c r="I503">
        <v>28</v>
      </c>
      <c r="J503">
        <v>1.1599999999999999</v>
      </c>
      <c r="K503">
        <v>22.3854595</v>
      </c>
      <c r="L503">
        <v>-1.7707008213885569</v>
      </c>
      <c r="M503">
        <v>2.5270994242445939</v>
      </c>
      <c r="N503">
        <v>-1.6721993202437251</v>
      </c>
      <c r="O503">
        <v>-1.326994922671288</v>
      </c>
    </row>
    <row r="504" spans="1:15" x14ac:dyDescent="0.25">
      <c r="A504">
        <v>-322.55450450000001</v>
      </c>
      <c r="B504">
        <v>251.03275675</v>
      </c>
      <c r="C504">
        <v>117.000576</v>
      </c>
      <c r="D504">
        <v>-321.68174749999997</v>
      </c>
      <c r="E504">
        <v>-96.38235675</v>
      </c>
      <c r="F504">
        <v>5.9933924999999997</v>
      </c>
      <c r="G504">
        <v>306.32595800000001</v>
      </c>
      <c r="H504">
        <v>40</v>
      </c>
      <c r="I504">
        <v>32</v>
      </c>
      <c r="J504">
        <v>1.1599999999999999</v>
      </c>
      <c r="K504">
        <v>22.7555345</v>
      </c>
      <c r="L504">
        <v>-1.9472067915917619</v>
      </c>
      <c r="M504">
        <v>2.5370975308824701</v>
      </c>
      <c r="N504">
        <v>-1.783982194773319</v>
      </c>
      <c r="O504">
        <v>-1.453514650953674</v>
      </c>
    </row>
    <row r="505" spans="1:15" x14ac:dyDescent="0.25">
      <c r="A505">
        <v>-344.81204224999999</v>
      </c>
      <c r="B505">
        <v>225.59194174999999</v>
      </c>
      <c r="C505">
        <v>114.80962175000001</v>
      </c>
      <c r="D505">
        <v>-338.68367775000002</v>
      </c>
      <c r="E505">
        <v>-126.62170424999999</v>
      </c>
      <c r="F505">
        <v>5.5548535000000001</v>
      </c>
      <c r="G505">
        <v>295.48292524999999</v>
      </c>
      <c r="H505">
        <v>40</v>
      </c>
      <c r="I505">
        <v>36</v>
      </c>
      <c r="J505">
        <v>1.1599999999999999</v>
      </c>
      <c r="K505">
        <v>22.357900999999998</v>
      </c>
      <c r="L505">
        <v>-2.136521711152684</v>
      </c>
      <c r="M505">
        <v>2.623003590542127</v>
      </c>
      <c r="N505">
        <v>-1.962128238404466</v>
      </c>
      <c r="O505">
        <v>-1.6144160651810719</v>
      </c>
    </row>
    <row r="506" spans="1:15" x14ac:dyDescent="0.25">
      <c r="A506">
        <v>-366.61634049999998</v>
      </c>
      <c r="B506">
        <v>202.64793775000001</v>
      </c>
      <c r="C506">
        <v>111.8812065</v>
      </c>
      <c r="D506">
        <v>-363.72766100000001</v>
      </c>
      <c r="E506">
        <v>-160.91973849999999</v>
      </c>
      <c r="F506">
        <v>5.6035802500000003</v>
      </c>
      <c r="G506">
        <v>289.48123149999998</v>
      </c>
      <c r="H506">
        <v>40</v>
      </c>
      <c r="I506">
        <v>40</v>
      </c>
      <c r="J506">
        <v>1.1599999999999999</v>
      </c>
      <c r="K506">
        <v>22.123378750000001</v>
      </c>
      <c r="L506">
        <v>-2.3426869491178239</v>
      </c>
      <c r="M506">
        <v>2.772959805505899</v>
      </c>
      <c r="N506">
        <v>-2.205145460147039</v>
      </c>
      <c r="O506">
        <v>-1.81529264769411</v>
      </c>
    </row>
    <row r="507" spans="1:15" x14ac:dyDescent="0.25">
      <c r="A507">
        <v>-383.51499949999999</v>
      </c>
      <c r="B507">
        <v>176.79313675</v>
      </c>
      <c r="C507">
        <v>105.06779849999999</v>
      </c>
      <c r="D507">
        <v>-381.34147675000003</v>
      </c>
      <c r="E507">
        <v>-192.407917</v>
      </c>
      <c r="F507">
        <v>5.2137674999999994</v>
      </c>
      <c r="G507">
        <v>282.11916374999998</v>
      </c>
      <c r="H507">
        <v>40</v>
      </c>
      <c r="I507">
        <v>44</v>
      </c>
      <c r="J507">
        <v>1.1599999999999999</v>
      </c>
      <c r="K507">
        <v>21.850009249999999</v>
      </c>
      <c r="L507">
        <v>-2.571358020795782</v>
      </c>
      <c r="M507">
        <v>2.9375047998907209</v>
      </c>
      <c r="N507">
        <v>-2.4975242956563908</v>
      </c>
      <c r="O507">
        <v>-2.0401683998791702</v>
      </c>
    </row>
    <row r="508" spans="1:15" x14ac:dyDescent="0.25">
      <c r="A508">
        <v>94.790727500000003</v>
      </c>
      <c r="B508">
        <v>154.83592225000001</v>
      </c>
      <c r="C508">
        <v>-400.64990975000001</v>
      </c>
      <c r="D508">
        <v>-400.52874000000003</v>
      </c>
      <c r="E508">
        <v>-211.6308555</v>
      </c>
      <c r="F508">
        <v>5.4086734999999999</v>
      </c>
      <c r="G508">
        <v>277.79795050000001</v>
      </c>
      <c r="H508">
        <v>44</v>
      </c>
      <c r="I508">
        <v>-44</v>
      </c>
      <c r="J508">
        <v>1.1599999999999999</v>
      </c>
      <c r="K508">
        <v>21.671101499999999</v>
      </c>
      <c r="L508">
        <v>2.6220613871297029</v>
      </c>
      <c r="M508">
        <v>2.9392676551821619</v>
      </c>
      <c r="N508">
        <v>-2.590377308452894</v>
      </c>
      <c r="O508">
        <v>-2.1487467668883649</v>
      </c>
    </row>
    <row r="509" spans="1:15" x14ac:dyDescent="0.25">
      <c r="A509">
        <v>96.776823000000007</v>
      </c>
      <c r="B509">
        <v>172.62100225</v>
      </c>
      <c r="C509">
        <v>-374.76079549999997</v>
      </c>
      <c r="D509">
        <v>-373.08089424999997</v>
      </c>
      <c r="E509">
        <v>-179.65207649999999</v>
      </c>
      <c r="F509">
        <v>5.2137675000000003</v>
      </c>
      <c r="G509">
        <v>272.75653825000001</v>
      </c>
      <c r="H509">
        <v>44</v>
      </c>
      <c r="I509">
        <v>-40</v>
      </c>
      <c r="J509">
        <v>1.1599999999999999</v>
      </c>
      <c r="K509">
        <v>21.477442499999999</v>
      </c>
      <c r="L509">
        <v>2.427357193221384</v>
      </c>
      <c r="M509">
        <v>2.8091377046165671</v>
      </c>
      <c r="N509">
        <v>-2.328945608893076</v>
      </c>
      <c r="O509">
        <v>-1.951710034990535</v>
      </c>
    </row>
    <row r="510" spans="1:15" x14ac:dyDescent="0.25">
      <c r="A510">
        <v>95.558084500000007</v>
      </c>
      <c r="B510">
        <v>189.27596299999999</v>
      </c>
      <c r="C510">
        <v>-351.53275274999999</v>
      </c>
      <c r="D510">
        <v>-347.46873475000001</v>
      </c>
      <c r="E510">
        <v>-153.02539049999999</v>
      </c>
      <c r="F510">
        <v>5.2137674999999994</v>
      </c>
      <c r="G510">
        <v>270.43588249999999</v>
      </c>
      <c r="H510">
        <v>44</v>
      </c>
      <c r="I510">
        <v>-36</v>
      </c>
      <c r="J510">
        <v>1.17</v>
      </c>
      <c r="K510">
        <v>21.292511749999999</v>
      </c>
      <c r="L510">
        <v>2.2755853332301408</v>
      </c>
      <c r="M510">
        <v>2.7319074610870548</v>
      </c>
      <c r="N510">
        <v>-2.1553447543484241</v>
      </c>
      <c r="O510">
        <v>-1.805425198107772</v>
      </c>
    </row>
    <row r="511" spans="1:15" x14ac:dyDescent="0.25">
      <c r="A511">
        <v>92.6240825</v>
      </c>
      <c r="B511">
        <v>205.08670774999999</v>
      </c>
      <c r="C511">
        <v>-322.75704200000001</v>
      </c>
      <c r="D511">
        <v>-318.62228375000001</v>
      </c>
      <c r="E511">
        <v>-125.774294</v>
      </c>
      <c r="F511">
        <v>5.0188612499999996</v>
      </c>
      <c r="G511">
        <v>269.15552524999998</v>
      </c>
      <c r="H511">
        <v>44</v>
      </c>
      <c r="I511">
        <v>-32</v>
      </c>
      <c r="J511">
        <v>1.165</v>
      </c>
      <c r="K511">
        <v>21.294567499999999</v>
      </c>
      <c r="L511">
        <v>2.131134032233069</v>
      </c>
      <c r="M511">
        <v>2.6869376300035981</v>
      </c>
      <c r="N511">
        <v>-2.0262664001757029</v>
      </c>
      <c r="O511">
        <v>-1.67109715098758</v>
      </c>
    </row>
    <row r="512" spans="1:15" x14ac:dyDescent="0.25">
      <c r="A512">
        <v>87.5234375</v>
      </c>
      <c r="B512">
        <v>215.73130800000001</v>
      </c>
      <c r="C512">
        <v>-288.34345250000001</v>
      </c>
      <c r="D512">
        <v>-289.29504400000002</v>
      </c>
      <c r="E512">
        <v>-99.727416750000003</v>
      </c>
      <c r="F512">
        <v>5.0188614999999999</v>
      </c>
      <c r="G512">
        <v>264.47421300000002</v>
      </c>
      <c r="H512">
        <v>44</v>
      </c>
      <c r="I512">
        <v>-28</v>
      </c>
      <c r="J512">
        <v>1.1599999999999999</v>
      </c>
      <c r="K512">
        <v>21.150337749999998</v>
      </c>
      <c r="L512">
        <v>1.987759144899788</v>
      </c>
      <c r="M512">
        <v>2.670887975180833</v>
      </c>
      <c r="N512">
        <v>-1.926151856088393</v>
      </c>
      <c r="O512">
        <v>-1.553979561704558</v>
      </c>
    </row>
    <row r="513" spans="1:15" x14ac:dyDescent="0.25">
      <c r="A513">
        <v>79.263099749999995</v>
      </c>
      <c r="B513">
        <v>227.46786524999999</v>
      </c>
      <c r="C513">
        <v>-258.30486300000001</v>
      </c>
      <c r="D513">
        <v>-271.63751999999999</v>
      </c>
      <c r="E513">
        <v>-82.377702499999998</v>
      </c>
      <c r="F513">
        <v>5.1163144999999997</v>
      </c>
      <c r="G513">
        <v>263.03381350000001</v>
      </c>
      <c r="H513">
        <v>44</v>
      </c>
      <c r="I513">
        <v>-24</v>
      </c>
      <c r="J513">
        <v>1.1599999999999999</v>
      </c>
      <c r="K513">
        <v>21.087563249999999</v>
      </c>
      <c r="L513">
        <v>1.8487594396921709</v>
      </c>
      <c r="M513">
        <v>2.733457006869179</v>
      </c>
      <c r="N513">
        <v>-1.8917504896613011</v>
      </c>
      <c r="O513">
        <v>-1.4791936598645401</v>
      </c>
    </row>
    <row r="514" spans="1:15" x14ac:dyDescent="0.25">
      <c r="A514">
        <v>68.429870750000006</v>
      </c>
      <c r="B514">
        <v>235.59687024999999</v>
      </c>
      <c r="C514">
        <v>-224.838436</v>
      </c>
      <c r="D514">
        <v>-256.25273525</v>
      </c>
      <c r="E514">
        <v>-67.124223749999999</v>
      </c>
      <c r="F514">
        <v>4.9701347499999997</v>
      </c>
      <c r="G514">
        <v>260.6731565</v>
      </c>
      <c r="H514">
        <v>44</v>
      </c>
      <c r="I514">
        <v>-20</v>
      </c>
      <c r="J514">
        <v>0.91999999999999993</v>
      </c>
      <c r="K514">
        <v>29.025144000000001</v>
      </c>
      <c r="L514">
        <v>1.6910851146775461</v>
      </c>
      <c r="M514">
        <v>2.8361638233322499</v>
      </c>
      <c r="N514">
        <v>-1.890191864386892</v>
      </c>
      <c r="O514">
        <v>-1.4157215780729651</v>
      </c>
    </row>
    <row r="515" spans="1:15" x14ac:dyDescent="0.25">
      <c r="A515">
        <v>54.256396500000001</v>
      </c>
      <c r="B515">
        <v>241.46514149999999</v>
      </c>
      <c r="C515">
        <v>-189.88361724999999</v>
      </c>
      <c r="D515">
        <v>-244.18967824999999</v>
      </c>
      <c r="E515">
        <v>-53.119569749999997</v>
      </c>
      <c r="F515">
        <v>4.8239549999999998</v>
      </c>
      <c r="G515">
        <v>257.7923275</v>
      </c>
      <c r="H515">
        <v>44</v>
      </c>
      <c r="I515">
        <v>-16</v>
      </c>
      <c r="J515">
        <v>1.18</v>
      </c>
      <c r="K515">
        <v>20.706518750000001</v>
      </c>
      <c r="L515">
        <v>1.489413409492691</v>
      </c>
      <c r="M515">
        <v>2.9628106231765048</v>
      </c>
      <c r="N515">
        <v>-1.8967871851430731</v>
      </c>
      <c r="O515">
        <v>-1.3534876415860151</v>
      </c>
    </row>
    <row r="516" spans="1:15" x14ac:dyDescent="0.25">
      <c r="A516">
        <v>38.232245249999998</v>
      </c>
      <c r="B516">
        <v>246.66000374999999</v>
      </c>
      <c r="C516">
        <v>-156.73291374999999</v>
      </c>
      <c r="D516">
        <v>-239.55675525000001</v>
      </c>
      <c r="E516">
        <v>-43.039784500000003</v>
      </c>
      <c r="F516">
        <v>4.5315962499999998</v>
      </c>
      <c r="G516">
        <v>256.71203600000001</v>
      </c>
      <c r="H516">
        <v>44</v>
      </c>
      <c r="I516">
        <v>-12</v>
      </c>
      <c r="J516">
        <v>1.18</v>
      </c>
      <c r="K516">
        <v>20.674245249999998</v>
      </c>
      <c r="L516">
        <v>1.256922431766907</v>
      </c>
      <c r="M516">
        <v>3.1347551227637398</v>
      </c>
      <c r="N516">
        <v>-1.9325692080106049</v>
      </c>
      <c r="O516">
        <v>-1.3066677205309709</v>
      </c>
    </row>
    <row r="517" spans="1:15" x14ac:dyDescent="0.25">
      <c r="A517">
        <v>18.28104725</v>
      </c>
      <c r="B517">
        <v>247.42961525000001</v>
      </c>
      <c r="C517">
        <v>-124.84508725000001</v>
      </c>
      <c r="D517">
        <v>-234.83642574999999</v>
      </c>
      <c r="E517">
        <v>-37.687686999999997</v>
      </c>
      <c r="F517">
        <v>4.4828700000000001</v>
      </c>
      <c r="G517">
        <v>253.59115249999999</v>
      </c>
      <c r="H517">
        <v>44</v>
      </c>
      <c r="I517">
        <v>-8</v>
      </c>
      <c r="J517">
        <v>1.18</v>
      </c>
      <c r="K517">
        <v>20.547929249999999</v>
      </c>
      <c r="L517">
        <v>1.0068264309984249</v>
      </c>
      <c r="M517">
        <v>3.3926026343342741</v>
      </c>
      <c r="N517">
        <v>-2.049057602444273</v>
      </c>
      <c r="O517">
        <v>-1.296650160788122</v>
      </c>
    </row>
    <row r="518" spans="1:15" x14ac:dyDescent="0.25">
      <c r="A518">
        <v>-4.6858034999999996</v>
      </c>
      <c r="B518">
        <v>247.862526</v>
      </c>
      <c r="C518">
        <v>-91.559082000000004</v>
      </c>
      <c r="D518">
        <v>-229.6353225</v>
      </c>
      <c r="E518">
        <v>-33.762815750000001</v>
      </c>
      <c r="F518">
        <v>4.5315957500000001</v>
      </c>
      <c r="G518">
        <v>251.9507065</v>
      </c>
      <c r="H518">
        <v>44</v>
      </c>
      <c r="I518">
        <v>-4</v>
      </c>
      <c r="J518">
        <v>1.18</v>
      </c>
      <c r="K518">
        <v>20.478142999999999</v>
      </c>
      <c r="L518">
        <v>0.68494722647427464</v>
      </c>
      <c r="M518">
        <v>3.764931521158418</v>
      </c>
      <c r="N518">
        <v>-2.2528707657384799</v>
      </c>
      <c r="O518">
        <v>-1.302023288462919</v>
      </c>
    </row>
    <row r="519" spans="1:15" x14ac:dyDescent="0.25">
      <c r="A519">
        <v>-29.826943</v>
      </c>
      <c r="B519">
        <v>247.76632674999999</v>
      </c>
      <c r="C519">
        <v>-61.700901000000002</v>
      </c>
      <c r="D519">
        <v>-225.65800475</v>
      </c>
      <c r="E519">
        <v>-32.915398250000003</v>
      </c>
      <c r="F519">
        <v>4.5315962499999998</v>
      </c>
      <c r="G519">
        <v>251.39055300000001</v>
      </c>
      <c r="H519">
        <v>44</v>
      </c>
      <c r="I519">
        <v>0</v>
      </c>
      <c r="J519">
        <v>1.18</v>
      </c>
      <c r="K519">
        <v>20.45495025</v>
      </c>
      <c r="L519">
        <v>0.28778712220386138</v>
      </c>
      <c r="M519">
        <v>4.2742549028454624</v>
      </c>
      <c r="N519">
        <v>-2.566847310592542</v>
      </c>
      <c r="O519">
        <v>-1.3381272258448711</v>
      </c>
    </row>
    <row r="520" spans="1:15" x14ac:dyDescent="0.25">
      <c r="A520">
        <v>-57.851652250000001</v>
      </c>
      <c r="B520">
        <v>244.63978225</v>
      </c>
      <c r="C520">
        <v>-33.737043249999999</v>
      </c>
      <c r="D520">
        <v>-222.33629225000001</v>
      </c>
      <c r="E520">
        <v>-33.629013</v>
      </c>
      <c r="F520">
        <v>4.4828700000000001</v>
      </c>
      <c r="G520">
        <v>247.829544</v>
      </c>
      <c r="H520">
        <v>44</v>
      </c>
      <c r="I520">
        <v>4</v>
      </c>
      <c r="J520">
        <v>1.18</v>
      </c>
      <c r="K520">
        <v>20.308914000000001</v>
      </c>
      <c r="L520">
        <v>-0.22652230072344051</v>
      </c>
      <c r="M520">
        <v>4.3862185536030198</v>
      </c>
      <c r="N520">
        <v>-2.643703715140838</v>
      </c>
      <c r="O520">
        <v>-1.357993761672273</v>
      </c>
    </row>
    <row r="521" spans="1:15" x14ac:dyDescent="0.25">
      <c r="A521">
        <v>-92.950117000000006</v>
      </c>
      <c r="B521">
        <v>257.77125174999998</v>
      </c>
      <c r="C521">
        <v>-12.22291225</v>
      </c>
      <c r="D521">
        <v>-237.19658674999999</v>
      </c>
      <c r="E521">
        <v>-38.936509999999998</v>
      </c>
      <c r="F521">
        <v>4.7752290000000004</v>
      </c>
      <c r="G521">
        <v>262.31359874999998</v>
      </c>
      <c r="H521">
        <v>44</v>
      </c>
      <c r="I521">
        <v>8</v>
      </c>
      <c r="J521">
        <v>1.18</v>
      </c>
      <c r="K521">
        <v>20.892613000000001</v>
      </c>
      <c r="L521">
        <v>-0.63998717905804658</v>
      </c>
      <c r="M521">
        <v>3.924304095464227</v>
      </c>
      <c r="N521">
        <v>-2.388532832200966</v>
      </c>
      <c r="O521">
        <v>-1.3466546692294361</v>
      </c>
    </row>
    <row r="522" spans="1:15" x14ac:dyDescent="0.25">
      <c r="A522">
        <v>-145.29547124999999</v>
      </c>
      <c r="B522">
        <v>289.03666700000002</v>
      </c>
      <c r="C522">
        <v>7.81457625</v>
      </c>
      <c r="D522">
        <v>-271.24415599999998</v>
      </c>
      <c r="E522">
        <v>-54.100785250000001</v>
      </c>
      <c r="F522">
        <v>5.7984865000000001</v>
      </c>
      <c r="G522">
        <v>297.10066225000003</v>
      </c>
      <c r="H522">
        <v>44</v>
      </c>
      <c r="I522">
        <v>12</v>
      </c>
      <c r="J522">
        <v>1.18</v>
      </c>
      <c r="K522">
        <v>22.220017250000001</v>
      </c>
      <c r="L522">
        <v>-0.99315732341340313</v>
      </c>
      <c r="M522">
        <v>3.6342661002609038</v>
      </c>
      <c r="N522">
        <v>-2.2780881965609461</v>
      </c>
      <c r="O522">
        <v>-1.38856415347855</v>
      </c>
    </row>
    <row r="523" spans="1:15" x14ac:dyDescent="0.25">
      <c r="A523">
        <v>-192.34322374999999</v>
      </c>
      <c r="B523">
        <v>291.87460325000001</v>
      </c>
      <c r="C523">
        <v>28.365637249999999</v>
      </c>
      <c r="D523">
        <v>-285.71109000000001</v>
      </c>
      <c r="E523">
        <v>-68.328443500000006</v>
      </c>
      <c r="F523">
        <v>5.8959394999999999</v>
      </c>
      <c r="G523">
        <v>305.92584225000002</v>
      </c>
      <c r="H523">
        <v>44</v>
      </c>
      <c r="I523">
        <v>16</v>
      </c>
      <c r="J523">
        <v>1.18</v>
      </c>
      <c r="K523">
        <v>22.550488999999999</v>
      </c>
      <c r="L523">
        <v>-1.292962394104064</v>
      </c>
      <c r="M523">
        <v>3.383723708719375</v>
      </c>
      <c r="N523">
        <v>-2.192521716737549</v>
      </c>
      <c r="O523">
        <v>-1.434847492736218</v>
      </c>
    </row>
    <row r="524" spans="1:15" x14ac:dyDescent="0.25">
      <c r="A524">
        <v>-223.97241224999999</v>
      </c>
      <c r="B524">
        <v>275.08747075000002</v>
      </c>
      <c r="C524">
        <v>44.577852249999999</v>
      </c>
      <c r="D524">
        <v>-285.18660725000001</v>
      </c>
      <c r="E524">
        <v>-78.452829500000007</v>
      </c>
      <c r="F524">
        <v>5.7984865000000001</v>
      </c>
      <c r="G524">
        <v>295.21997075000002</v>
      </c>
      <c r="H524">
        <v>44</v>
      </c>
      <c r="I524">
        <v>20</v>
      </c>
      <c r="J524">
        <v>1.18</v>
      </c>
      <c r="K524">
        <v>22.148246</v>
      </c>
      <c r="L524">
        <v>-1.5247813207557359</v>
      </c>
      <c r="M524">
        <v>3.1811122651720432</v>
      </c>
      <c r="N524">
        <v>-2.1216552229228478</v>
      </c>
      <c r="O524">
        <v>-1.4783868037471939</v>
      </c>
    </row>
    <row r="525" spans="1:15" x14ac:dyDescent="0.25">
      <c r="A525">
        <v>-256.41259400000001</v>
      </c>
      <c r="B525">
        <v>259.31047050000001</v>
      </c>
      <c r="C525">
        <v>55.462681000000003</v>
      </c>
      <c r="D525">
        <v>-293.62200949999999</v>
      </c>
      <c r="E525">
        <v>-95.757946000000004</v>
      </c>
      <c r="F525">
        <v>5.50612675</v>
      </c>
      <c r="G525">
        <v>288.44094849999999</v>
      </c>
      <c r="H525">
        <v>44</v>
      </c>
      <c r="I525">
        <v>24</v>
      </c>
      <c r="J525">
        <v>1.18</v>
      </c>
      <c r="K525">
        <v>21.898640499999999</v>
      </c>
      <c r="L525">
        <v>-1.739811680276717</v>
      </c>
      <c r="M525">
        <v>3.084680140650772</v>
      </c>
      <c r="N525">
        <v>-2.1433761667884821</v>
      </c>
      <c r="O525">
        <v>-1.5649513657891221</v>
      </c>
    </row>
    <row r="526" spans="1:15" x14ac:dyDescent="0.25">
      <c r="A526">
        <v>-285.69885275000001</v>
      </c>
      <c r="B526">
        <v>242.86006175</v>
      </c>
      <c r="C526">
        <v>63.284598250000002</v>
      </c>
      <c r="D526">
        <v>-301.79517349999998</v>
      </c>
      <c r="E526">
        <v>-113.91047675</v>
      </c>
      <c r="F526">
        <v>5.359947</v>
      </c>
      <c r="G526">
        <v>281.75907899999999</v>
      </c>
      <c r="H526">
        <v>44</v>
      </c>
      <c r="I526">
        <v>28</v>
      </c>
      <c r="J526">
        <v>1.18</v>
      </c>
      <c r="K526">
        <v>21.64423725</v>
      </c>
      <c r="L526">
        <v>-1.94060996153455</v>
      </c>
      <c r="M526">
        <v>3.0287012043239692</v>
      </c>
      <c r="N526">
        <v>-2.2002718314991179</v>
      </c>
      <c r="O526">
        <v>-1.6632721833983111</v>
      </c>
    </row>
    <row r="527" spans="1:15" x14ac:dyDescent="0.25">
      <c r="A527">
        <v>-316.60713974999999</v>
      </c>
      <c r="B527">
        <v>225.97674950000001</v>
      </c>
      <c r="C527">
        <v>67.887567499999989</v>
      </c>
      <c r="D527">
        <v>-315.43167875</v>
      </c>
      <c r="E527">
        <v>-136.34468475</v>
      </c>
      <c r="F527">
        <v>5.1163144999999997</v>
      </c>
      <c r="G527">
        <v>278.19035350000001</v>
      </c>
      <c r="H527">
        <v>44</v>
      </c>
      <c r="I527">
        <v>32</v>
      </c>
      <c r="J527">
        <v>1.18</v>
      </c>
      <c r="K527">
        <v>21.513652499999999</v>
      </c>
      <c r="L527">
        <v>-2.139986924038531</v>
      </c>
      <c r="M527">
        <v>3.0133769415545921</v>
      </c>
      <c r="N527">
        <v>-2.307237805030137</v>
      </c>
      <c r="O527">
        <v>-1.787372196692002</v>
      </c>
    </row>
    <row r="528" spans="1:15" x14ac:dyDescent="0.25">
      <c r="A528">
        <v>-340.93728650000003</v>
      </c>
      <c r="B528">
        <v>207.21749875</v>
      </c>
      <c r="C528">
        <v>69.95610425000001</v>
      </c>
      <c r="D528">
        <v>-330.02975475</v>
      </c>
      <c r="E528">
        <v>-160.741333</v>
      </c>
      <c r="F528">
        <v>5.1650410000000004</v>
      </c>
      <c r="G528">
        <v>274.14878825</v>
      </c>
      <c r="H528">
        <v>44</v>
      </c>
      <c r="I528">
        <v>36</v>
      </c>
      <c r="J528">
        <v>1.18</v>
      </c>
      <c r="K528">
        <v>21.35192275</v>
      </c>
      <c r="L528">
        <v>-2.351474479214362</v>
      </c>
      <c r="M528">
        <v>3.0746653270651989</v>
      </c>
      <c r="N528">
        <v>-2.488880073281833</v>
      </c>
      <c r="O528">
        <v>-1.9494948239259231</v>
      </c>
    </row>
    <row r="529" spans="1:15" x14ac:dyDescent="0.25">
      <c r="A529">
        <v>-359.95082875000003</v>
      </c>
      <c r="B529">
        <v>188.02534875000001</v>
      </c>
      <c r="C529">
        <v>67.79274925</v>
      </c>
      <c r="D529">
        <v>-347.46874250000002</v>
      </c>
      <c r="E529">
        <v>-187.32342149999999</v>
      </c>
      <c r="F529">
        <v>4.970135</v>
      </c>
      <c r="G529">
        <v>269.48259000000002</v>
      </c>
      <c r="H529">
        <v>44</v>
      </c>
      <c r="I529">
        <v>40</v>
      </c>
      <c r="J529">
        <v>1.18</v>
      </c>
      <c r="K529">
        <v>21.173714</v>
      </c>
      <c r="L529">
        <v>-2.5708249927551181</v>
      </c>
      <c r="M529">
        <v>3.2184332071977262</v>
      </c>
      <c r="N529">
        <v>-2.745523414291279</v>
      </c>
      <c r="O529">
        <v>-2.1557442431761942</v>
      </c>
    </row>
    <row r="530" spans="1:15" x14ac:dyDescent="0.25">
      <c r="A530">
        <v>-378.42370625000001</v>
      </c>
      <c r="B530">
        <v>168.20789350000001</v>
      </c>
      <c r="C530">
        <v>65.895860749999997</v>
      </c>
      <c r="D530">
        <v>-363.42169975000002</v>
      </c>
      <c r="E530">
        <v>-215.64493949999999</v>
      </c>
      <c r="F530">
        <v>4.7265017499999997</v>
      </c>
      <c r="G530">
        <v>266.82586674999999</v>
      </c>
      <c r="H530">
        <v>44</v>
      </c>
      <c r="I530">
        <v>44</v>
      </c>
      <c r="J530">
        <v>1.18</v>
      </c>
      <c r="K530">
        <v>21.076911249999998</v>
      </c>
      <c r="L530">
        <v>-2.8616114290834078</v>
      </c>
      <c r="M530">
        <v>3.424002531474827</v>
      </c>
      <c r="N530">
        <v>-3.1074081708312882</v>
      </c>
      <c r="O530">
        <v>-2.419370370701404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530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59.845624999999998</v>
      </c>
      <c r="B2">
        <v>-350.30224625</v>
      </c>
      <c r="C2">
        <v>-365.64998624999998</v>
      </c>
      <c r="D2">
        <v>147.93558125000001</v>
      </c>
      <c r="E2">
        <v>-170.53093724999999</v>
      </c>
      <c r="F2">
        <v>5.50612675</v>
      </c>
      <c r="G2">
        <v>254.09033174999999</v>
      </c>
      <c r="H2">
        <v>-44</v>
      </c>
      <c r="I2">
        <v>-44</v>
      </c>
      <c r="J2">
        <v>1.18</v>
      </c>
      <c r="K2">
        <v>20.52630375</v>
      </c>
      <c r="L2">
        <v>2.2700631755767282</v>
      </c>
      <c r="M2">
        <v>-2.6581957866090971</v>
      </c>
      <c r="N2">
        <v>-2.2655100706778768</v>
      </c>
      <c r="O2">
        <v>-1.939222480865807</v>
      </c>
    </row>
    <row r="3" spans="1:15" x14ac:dyDescent="0.25">
      <c r="A3">
        <v>62.693182999999998</v>
      </c>
      <c r="B3">
        <v>-327.84758749999997</v>
      </c>
      <c r="C3">
        <v>-347.18054949999998</v>
      </c>
      <c r="D3">
        <v>166.0277825</v>
      </c>
      <c r="E3">
        <v>-146.89898650000001</v>
      </c>
      <c r="F3">
        <v>5.4086734999999999</v>
      </c>
      <c r="G3">
        <v>253.289928</v>
      </c>
      <c r="H3">
        <v>-44</v>
      </c>
      <c r="I3">
        <v>-40</v>
      </c>
      <c r="J3">
        <v>1.18</v>
      </c>
      <c r="K3">
        <v>20.497261000000002</v>
      </c>
      <c r="L3">
        <v>2.1503645593759959</v>
      </c>
      <c r="M3">
        <v>-2.591080096541388</v>
      </c>
      <c r="N3">
        <v>-2.0996210542040972</v>
      </c>
      <c r="O3">
        <v>-1.799105196295063</v>
      </c>
    </row>
    <row r="4" spans="1:15" x14ac:dyDescent="0.25">
      <c r="A4">
        <v>61.064409249999997</v>
      </c>
      <c r="B4">
        <v>-304.52929699999999</v>
      </c>
      <c r="C4">
        <v>-323.79441075</v>
      </c>
      <c r="D4">
        <v>179.38885500000001</v>
      </c>
      <c r="E4">
        <v>-125.871557</v>
      </c>
      <c r="F4">
        <v>5.3112205000000001</v>
      </c>
      <c r="G4">
        <v>249.68808000000001</v>
      </c>
      <c r="H4">
        <v>-44</v>
      </c>
      <c r="I4">
        <v>-36</v>
      </c>
      <c r="J4">
        <v>1.18</v>
      </c>
      <c r="K4">
        <v>20.351855</v>
      </c>
      <c r="L4">
        <v>2.0439955279555959</v>
      </c>
      <c r="M4">
        <v>-2.570124648564371</v>
      </c>
      <c r="N4">
        <v>-1.994659399100926</v>
      </c>
      <c r="O4">
        <v>-1.6967466495973851</v>
      </c>
    </row>
    <row r="5" spans="1:15" x14ac:dyDescent="0.25">
      <c r="A5">
        <v>65.207992500000003</v>
      </c>
      <c r="B5">
        <v>-314.55712125000002</v>
      </c>
      <c r="C5">
        <v>-326.36052699999999</v>
      </c>
      <c r="D5">
        <v>212.3753815</v>
      </c>
      <c r="E5">
        <v>-117.189001</v>
      </c>
      <c r="F5">
        <v>5.8959394999999999</v>
      </c>
      <c r="G5">
        <v>271.53928400000001</v>
      </c>
      <c r="H5">
        <v>-44</v>
      </c>
      <c r="I5">
        <v>-32</v>
      </c>
      <c r="J5">
        <v>1.18</v>
      </c>
      <c r="K5">
        <v>21.218842500000001</v>
      </c>
      <c r="L5">
        <v>1.926380502076467</v>
      </c>
      <c r="M5">
        <v>-2.5924111830730951</v>
      </c>
      <c r="N5">
        <v>-1.912506889557505</v>
      </c>
      <c r="O5">
        <v>-1.6055949086478021</v>
      </c>
    </row>
    <row r="6" spans="1:15" x14ac:dyDescent="0.25">
      <c r="A6">
        <v>68.998628749999995</v>
      </c>
      <c r="B6">
        <v>-338.11532599999998</v>
      </c>
      <c r="C6">
        <v>-331.7991945</v>
      </c>
      <c r="D6">
        <v>255.56888574999999</v>
      </c>
      <c r="E6">
        <v>-111.509182</v>
      </c>
      <c r="F6">
        <v>6.62683775</v>
      </c>
      <c r="G6">
        <v>305.87689225000003</v>
      </c>
      <c r="H6">
        <v>-44</v>
      </c>
      <c r="I6">
        <v>-28</v>
      </c>
      <c r="J6">
        <v>1.1725000000000001</v>
      </c>
      <c r="K6">
        <v>22.593226250000001</v>
      </c>
      <c r="L6">
        <v>1.7938165312817549</v>
      </c>
      <c r="M6">
        <v>-2.6572800953971671</v>
      </c>
      <c r="N6">
        <v>-1.8683002218776259</v>
      </c>
      <c r="O6">
        <v>-1.5288518274208109</v>
      </c>
    </row>
    <row r="7" spans="1:15" x14ac:dyDescent="0.25">
      <c r="A7">
        <v>59.665154749999999</v>
      </c>
      <c r="B7">
        <v>-325.3046645</v>
      </c>
      <c r="C7">
        <v>-294.18116750000002</v>
      </c>
      <c r="D7">
        <v>270.28797950000001</v>
      </c>
      <c r="E7">
        <v>-95.541112999999996</v>
      </c>
      <c r="F7">
        <v>6.7730172499999997</v>
      </c>
      <c r="G7">
        <v>306.19705225000001</v>
      </c>
      <c r="H7">
        <v>-44</v>
      </c>
      <c r="I7">
        <v>-24</v>
      </c>
      <c r="J7">
        <v>1.1775</v>
      </c>
      <c r="K7">
        <v>22.551730750000001</v>
      </c>
      <c r="L7">
        <v>1.6519102782727699</v>
      </c>
      <c r="M7">
        <v>-2.780588860033181</v>
      </c>
      <c r="N7">
        <v>-1.875571349496322</v>
      </c>
      <c r="O7">
        <v>-1.477654736012282</v>
      </c>
    </row>
    <row r="8" spans="1:15" x14ac:dyDescent="0.25">
      <c r="A8">
        <v>42.424631249999997</v>
      </c>
      <c r="B8">
        <v>-301.17069225</v>
      </c>
      <c r="C8">
        <v>-242.76026924999999</v>
      </c>
      <c r="D8">
        <v>272.47830974999999</v>
      </c>
      <c r="E8">
        <v>-82.293927999999994</v>
      </c>
      <c r="F8">
        <v>6.2370257499999999</v>
      </c>
      <c r="G8">
        <v>296.23193350000003</v>
      </c>
      <c r="H8">
        <v>-44</v>
      </c>
      <c r="I8">
        <v>-20</v>
      </c>
      <c r="J8">
        <v>1.18</v>
      </c>
      <c r="K8">
        <v>22.17017225</v>
      </c>
      <c r="L8">
        <v>1.5035747523317891</v>
      </c>
      <c r="M8">
        <v>-3.0244549627410202</v>
      </c>
      <c r="N8">
        <v>-1.995711727475268</v>
      </c>
      <c r="O8">
        <v>-1.466772138240668</v>
      </c>
    </row>
    <row r="9" spans="1:15" x14ac:dyDescent="0.25">
      <c r="A9">
        <v>27.709717000000001</v>
      </c>
      <c r="B9">
        <v>-283.75394425000002</v>
      </c>
      <c r="C9">
        <v>-196.51375575</v>
      </c>
      <c r="D9">
        <v>275.06291199999998</v>
      </c>
      <c r="E9">
        <v>-66.945818000000003</v>
      </c>
      <c r="F9">
        <v>6.4806577499999998</v>
      </c>
      <c r="G9">
        <v>289.66857125000001</v>
      </c>
      <c r="H9">
        <v>-44</v>
      </c>
      <c r="I9">
        <v>-16</v>
      </c>
      <c r="J9">
        <v>1.18</v>
      </c>
      <c r="K9">
        <v>21.908427499999998</v>
      </c>
      <c r="L9">
        <v>1.294655592901226</v>
      </c>
      <c r="M9">
        <v>-3.226701160527532</v>
      </c>
      <c r="N9">
        <v>-2.0591493684336131</v>
      </c>
      <c r="O9">
        <v>-1.4239815038019179</v>
      </c>
    </row>
    <row r="10" spans="1:15" x14ac:dyDescent="0.25">
      <c r="A10">
        <v>6.7242732500000004</v>
      </c>
      <c r="B10">
        <v>-272.57459225000002</v>
      </c>
      <c r="C10">
        <v>-151.45585249999999</v>
      </c>
      <c r="D10">
        <v>274.53723925000003</v>
      </c>
      <c r="E10">
        <v>-56.464629250000002</v>
      </c>
      <c r="F10">
        <v>6.090846</v>
      </c>
      <c r="G10">
        <v>283.1052095</v>
      </c>
      <c r="H10">
        <v>-44</v>
      </c>
      <c r="I10">
        <v>-12</v>
      </c>
      <c r="J10">
        <v>1.18</v>
      </c>
      <c r="K10">
        <v>21.668314500000001</v>
      </c>
      <c r="L10">
        <v>1.0169581907864591</v>
      </c>
      <c r="M10">
        <v>-3.5175356991631221</v>
      </c>
      <c r="N10">
        <v>-2.1832921575123558</v>
      </c>
      <c r="O10">
        <v>-1.402292449567335</v>
      </c>
    </row>
    <row r="11" spans="1:15" x14ac:dyDescent="0.25">
      <c r="A11">
        <v>-16.44536875</v>
      </c>
      <c r="B11">
        <v>-264.370003</v>
      </c>
      <c r="C11">
        <v>-112.80259125000001</v>
      </c>
      <c r="D11">
        <v>274.93150350000002</v>
      </c>
      <c r="E11">
        <v>-50.803545999999997</v>
      </c>
      <c r="F11">
        <v>6.18829925</v>
      </c>
      <c r="G11">
        <v>279.66344450000003</v>
      </c>
      <c r="H11">
        <v>-44</v>
      </c>
      <c r="I11">
        <v>-8</v>
      </c>
      <c r="J11">
        <v>1.18</v>
      </c>
      <c r="K11">
        <v>21.529449499999998</v>
      </c>
      <c r="L11">
        <v>0.69932996007390247</v>
      </c>
      <c r="M11">
        <v>-3.9144899754578328</v>
      </c>
      <c r="N11">
        <v>-2.3987549599247679</v>
      </c>
      <c r="O11">
        <v>-1.4137420447506761</v>
      </c>
    </row>
    <row r="12" spans="1:15" x14ac:dyDescent="0.25">
      <c r="A12">
        <v>-44.379967749999999</v>
      </c>
      <c r="B12">
        <v>-258.61240400000003</v>
      </c>
      <c r="C12">
        <v>-73.472781999999995</v>
      </c>
      <c r="D12">
        <v>271.20791650000001</v>
      </c>
      <c r="E12">
        <v>-45.504612000000002</v>
      </c>
      <c r="F12">
        <v>5.7984865000000001</v>
      </c>
      <c r="G12">
        <v>274.66087325000001</v>
      </c>
      <c r="H12">
        <v>-44</v>
      </c>
      <c r="I12">
        <v>-4</v>
      </c>
      <c r="J12">
        <v>1.18</v>
      </c>
      <c r="K12">
        <v>21.3471045</v>
      </c>
      <c r="L12">
        <v>0.24131814158691939</v>
      </c>
      <c r="M12">
        <v>-4.3961923631008144</v>
      </c>
      <c r="N12">
        <v>-2.6567066235843479</v>
      </c>
      <c r="O12">
        <v>-1.425837404075432</v>
      </c>
    </row>
    <row r="13" spans="1:15" x14ac:dyDescent="0.25">
      <c r="A13">
        <v>-71.999174249999996</v>
      </c>
      <c r="B13">
        <v>-257.268959</v>
      </c>
      <c r="C13">
        <v>-41.269242249999998</v>
      </c>
      <c r="D13">
        <v>268.36048125000002</v>
      </c>
      <c r="E13">
        <v>-42.01655375</v>
      </c>
      <c r="F13">
        <v>5.847213</v>
      </c>
      <c r="G13">
        <v>271.899452</v>
      </c>
      <c r="H13">
        <v>-44</v>
      </c>
      <c r="I13">
        <v>0</v>
      </c>
      <c r="J13">
        <v>1.18</v>
      </c>
      <c r="K13">
        <v>21.235252249999998</v>
      </c>
      <c r="L13">
        <v>-0.25060343270387142</v>
      </c>
      <c r="M13">
        <v>-4.2870672935216758</v>
      </c>
      <c r="N13">
        <v>-2.5604020058453409</v>
      </c>
      <c r="O13">
        <v>-1.3904618170226839</v>
      </c>
    </row>
    <row r="14" spans="1:15" x14ac:dyDescent="0.25">
      <c r="A14">
        <v>-102.32172774999999</v>
      </c>
      <c r="B14">
        <v>-257.74876399999999</v>
      </c>
      <c r="C14">
        <v>-11.005131499999999</v>
      </c>
      <c r="D14">
        <v>266.30155200000002</v>
      </c>
      <c r="E14">
        <v>-39.47673425</v>
      </c>
      <c r="F14">
        <v>5.9446659999999998</v>
      </c>
      <c r="G14">
        <v>270.41870899999998</v>
      </c>
      <c r="H14">
        <v>-44</v>
      </c>
      <c r="I14">
        <v>4</v>
      </c>
      <c r="J14">
        <v>1.18</v>
      </c>
      <c r="K14">
        <v>21.172176749999998</v>
      </c>
      <c r="L14">
        <v>-0.64966887323459899</v>
      </c>
      <c r="M14">
        <v>-3.7284192533382599</v>
      </c>
      <c r="N14">
        <v>-2.2048186049009848</v>
      </c>
      <c r="O14">
        <v>-1.323183100822324</v>
      </c>
    </row>
    <row r="15" spans="1:15" x14ac:dyDescent="0.25">
      <c r="A15">
        <v>-133.59045399999999</v>
      </c>
      <c r="B15">
        <v>-258.94826525000002</v>
      </c>
      <c r="C15">
        <v>12.916344499999999</v>
      </c>
      <c r="D15">
        <v>259.81814550000001</v>
      </c>
      <c r="E15">
        <v>-40.502735999999999</v>
      </c>
      <c r="F15">
        <v>5.6523067500000002</v>
      </c>
      <c r="G15">
        <v>265.65625</v>
      </c>
      <c r="H15">
        <v>-44</v>
      </c>
      <c r="I15">
        <v>8</v>
      </c>
      <c r="J15">
        <v>1.18</v>
      </c>
      <c r="K15">
        <v>20.9924885</v>
      </c>
      <c r="L15">
        <v>-0.94051376873627568</v>
      </c>
      <c r="M15">
        <v>-3.3305078338911529</v>
      </c>
      <c r="N15">
        <v>-1.965579858886787</v>
      </c>
      <c r="O15">
        <v>-1.2963314658199681</v>
      </c>
    </row>
    <row r="16" spans="1:15" x14ac:dyDescent="0.25">
      <c r="A16">
        <v>-164.9943505</v>
      </c>
      <c r="B16">
        <v>-260.86746199999999</v>
      </c>
      <c r="C16">
        <v>33.645759750000003</v>
      </c>
      <c r="D16">
        <v>254.3861005</v>
      </c>
      <c r="E16">
        <v>-43.271254249999998</v>
      </c>
      <c r="F16">
        <v>5.4574002500000001</v>
      </c>
      <c r="G16">
        <v>264.05545799999999</v>
      </c>
      <c r="H16">
        <v>-44</v>
      </c>
      <c r="I16">
        <v>12</v>
      </c>
      <c r="J16">
        <v>1.18</v>
      </c>
      <c r="K16">
        <v>20.935656999999999</v>
      </c>
      <c r="L16">
        <v>-1.1708352997707081</v>
      </c>
      <c r="M16">
        <v>-3.0370187297933349</v>
      </c>
      <c r="N16">
        <v>-1.81146494204357</v>
      </c>
      <c r="O16">
        <v>-1.2872358797144119</v>
      </c>
    </row>
    <row r="17" spans="1:15" x14ac:dyDescent="0.25">
      <c r="A17">
        <v>-197.65980149999999</v>
      </c>
      <c r="B17">
        <v>-263.50636300000002</v>
      </c>
      <c r="C17">
        <v>52.297717249999998</v>
      </c>
      <c r="D17">
        <v>248.07791499999999</v>
      </c>
      <c r="E17">
        <v>-48.582863750000001</v>
      </c>
      <c r="F17">
        <v>5.5548535000000001</v>
      </c>
      <c r="G17">
        <v>262.49463674999998</v>
      </c>
      <c r="H17">
        <v>-44</v>
      </c>
      <c r="I17">
        <v>16</v>
      </c>
      <c r="J17">
        <v>1.17</v>
      </c>
      <c r="K17">
        <v>20.957412000000001</v>
      </c>
      <c r="L17">
        <v>-1.3733989240963389</v>
      </c>
      <c r="M17">
        <v>-2.8109257271612478</v>
      </c>
      <c r="N17">
        <v>-1.7092389622717421</v>
      </c>
      <c r="O17">
        <v>-1.297471102602324</v>
      </c>
    </row>
    <row r="18" spans="1:15" x14ac:dyDescent="0.25">
      <c r="A18">
        <v>-227.84720625</v>
      </c>
      <c r="B18">
        <v>-264.89777375</v>
      </c>
      <c r="C18">
        <v>65.168925250000001</v>
      </c>
      <c r="D18">
        <v>236.86338825000001</v>
      </c>
      <c r="E18">
        <v>-57.193047499999999</v>
      </c>
      <c r="F18">
        <v>5.6035802500000003</v>
      </c>
      <c r="G18">
        <v>258.85277550000001</v>
      </c>
      <c r="H18">
        <v>-44</v>
      </c>
      <c r="I18">
        <v>20</v>
      </c>
      <c r="J18">
        <v>1.17</v>
      </c>
      <c r="K18">
        <v>20.806359499999999</v>
      </c>
      <c r="L18">
        <v>-1.5488914873349231</v>
      </c>
      <c r="M18">
        <v>-2.6523386537778499</v>
      </c>
      <c r="N18">
        <v>-1.670650491370806</v>
      </c>
      <c r="O18">
        <v>-1.3319568594297579</v>
      </c>
    </row>
    <row r="19" spans="1:15" x14ac:dyDescent="0.25">
      <c r="A19">
        <v>-257.25168624999998</v>
      </c>
      <c r="B19">
        <v>-274.49379725</v>
      </c>
      <c r="C19">
        <v>75.01426699999999</v>
      </c>
      <c r="D19">
        <v>225.38599024999999</v>
      </c>
      <c r="E19">
        <v>-69.501524000000003</v>
      </c>
      <c r="F19">
        <v>5.4574002500000001</v>
      </c>
      <c r="G19">
        <v>256.49155424999998</v>
      </c>
      <c r="H19">
        <v>-44</v>
      </c>
      <c r="I19">
        <v>24</v>
      </c>
      <c r="J19">
        <v>1.175</v>
      </c>
      <c r="K19">
        <v>20.671181000000001</v>
      </c>
      <c r="L19">
        <v>-1.692020250520254</v>
      </c>
      <c r="M19">
        <v>-2.5455856841006921</v>
      </c>
      <c r="N19">
        <v>-1.660091392977662</v>
      </c>
      <c r="O19">
        <v>-1.3817158899589499</v>
      </c>
    </row>
    <row r="20" spans="1:15" x14ac:dyDescent="0.25">
      <c r="A20">
        <v>-284.61751550000002</v>
      </c>
      <c r="B20">
        <v>-287.35244024999997</v>
      </c>
      <c r="C20">
        <v>81.111152500000003</v>
      </c>
      <c r="D20">
        <v>209.87839525000001</v>
      </c>
      <c r="E20">
        <v>-87.841741499999998</v>
      </c>
      <c r="F20">
        <v>5.1650410000000004</v>
      </c>
      <c r="G20">
        <v>253.1298405</v>
      </c>
      <c r="H20">
        <v>-44</v>
      </c>
      <c r="I20">
        <v>28</v>
      </c>
      <c r="J20">
        <v>1.18</v>
      </c>
      <c r="K20">
        <v>20.500713000000001</v>
      </c>
      <c r="L20">
        <v>-1.8457961577923629</v>
      </c>
      <c r="M20">
        <v>-2.5094831201042371</v>
      </c>
      <c r="N20">
        <v>-1.720864101982525</v>
      </c>
      <c r="O20">
        <v>-1.4694103009518451</v>
      </c>
    </row>
    <row r="21" spans="1:15" x14ac:dyDescent="0.25">
      <c r="A21">
        <v>-304.75746900000001</v>
      </c>
      <c r="B21">
        <v>-300.40302274999999</v>
      </c>
      <c r="C21">
        <v>83.95636725</v>
      </c>
      <c r="D21">
        <v>194.58981700000001</v>
      </c>
      <c r="E21">
        <v>-106.83970475</v>
      </c>
      <c r="F21">
        <v>5.2137674999999994</v>
      </c>
      <c r="G21">
        <v>249.888184</v>
      </c>
      <c r="H21">
        <v>-44</v>
      </c>
      <c r="I21">
        <v>32</v>
      </c>
      <c r="J21">
        <v>1.1775</v>
      </c>
      <c r="K21">
        <v>20.385959</v>
      </c>
      <c r="L21">
        <v>-1.985877274169541</v>
      </c>
      <c r="M21">
        <v>-2.5288582270308622</v>
      </c>
      <c r="N21">
        <v>-1.822492014297292</v>
      </c>
      <c r="O21">
        <v>-1.572480819524122</v>
      </c>
    </row>
    <row r="22" spans="1:15" x14ac:dyDescent="0.25">
      <c r="A22">
        <v>-324.71718600000003</v>
      </c>
      <c r="B22">
        <v>-317.963707</v>
      </c>
      <c r="C22">
        <v>86.440280999999999</v>
      </c>
      <c r="D22">
        <v>179.52027150000001</v>
      </c>
      <c r="E22">
        <v>-131.96337525000001</v>
      </c>
      <c r="F22">
        <v>5.2624940000000002</v>
      </c>
      <c r="G22">
        <v>248.68756099999999</v>
      </c>
      <c r="H22">
        <v>-44</v>
      </c>
      <c r="I22">
        <v>36</v>
      </c>
      <c r="J22">
        <v>1.18</v>
      </c>
      <c r="K22">
        <v>20.31218475</v>
      </c>
      <c r="L22">
        <v>-2.171144123611962</v>
      </c>
      <c r="M22">
        <v>-2.6270092473439579</v>
      </c>
      <c r="N22">
        <v>-2.0100787741662849</v>
      </c>
      <c r="O22">
        <v>-1.724658975705051</v>
      </c>
    </row>
    <row r="23" spans="1:15" x14ac:dyDescent="0.25">
      <c r="A23">
        <v>-340.12626649999999</v>
      </c>
      <c r="B23">
        <v>-331.44609850000001</v>
      </c>
      <c r="C23">
        <v>85.491878249999999</v>
      </c>
      <c r="D23">
        <v>161.559494</v>
      </c>
      <c r="E23">
        <v>-158.95385375000001</v>
      </c>
      <c r="F23">
        <v>5.2624940000000002</v>
      </c>
      <c r="G23">
        <v>245.726044</v>
      </c>
      <c r="H23">
        <v>-44</v>
      </c>
      <c r="I23">
        <v>40</v>
      </c>
      <c r="J23">
        <v>1.18</v>
      </c>
      <c r="K23">
        <v>20.188245500000001</v>
      </c>
      <c r="L23">
        <v>-2.4069736743318209</v>
      </c>
      <c r="M23">
        <v>-2.788101638562424</v>
      </c>
      <c r="N23">
        <v>-2.2886137795032049</v>
      </c>
      <c r="O23">
        <v>-1.9287205415641311</v>
      </c>
    </row>
    <row r="24" spans="1:15" x14ac:dyDescent="0.25">
      <c r="A24">
        <v>-375.45001999999999</v>
      </c>
      <c r="B24">
        <v>-363.2568665</v>
      </c>
      <c r="C24">
        <v>87.027387750000003</v>
      </c>
      <c r="D24">
        <v>149.29358675</v>
      </c>
      <c r="E24">
        <v>-196.29441449999999</v>
      </c>
      <c r="F24">
        <v>5.4086737500000002</v>
      </c>
      <c r="G24">
        <v>255.69115425000001</v>
      </c>
      <c r="H24">
        <v>-44</v>
      </c>
      <c r="I24">
        <v>44</v>
      </c>
      <c r="J24">
        <v>1.18</v>
      </c>
      <c r="K24">
        <v>20.59621825</v>
      </c>
      <c r="L24">
        <v>-2.6725272814235672</v>
      </c>
      <c r="M24">
        <v>-2.9619014554815779</v>
      </c>
      <c r="N24">
        <v>-2.6120311554298268</v>
      </c>
      <c r="O24">
        <v>-2.1656675614455341</v>
      </c>
    </row>
    <row r="25" spans="1:15" x14ac:dyDescent="0.25">
      <c r="A25">
        <v>111.06396675000001</v>
      </c>
      <c r="B25">
        <v>-422.464226</v>
      </c>
      <c r="C25">
        <v>-434.35361499999999</v>
      </c>
      <c r="D25">
        <v>175.183403</v>
      </c>
      <c r="E25">
        <v>-161.89826975</v>
      </c>
      <c r="F25">
        <v>6.7242907499999998</v>
      </c>
      <c r="G25">
        <v>302.75529475000002</v>
      </c>
      <c r="H25">
        <v>-40</v>
      </c>
      <c r="I25">
        <v>-44</v>
      </c>
      <c r="J25">
        <v>1.175</v>
      </c>
      <c r="K25">
        <v>22.447525500000001</v>
      </c>
      <c r="L25">
        <v>2.0465789838869051</v>
      </c>
      <c r="M25">
        <v>-2.2425747919037962</v>
      </c>
      <c r="N25">
        <v>-1.743574100978039</v>
      </c>
      <c r="O25">
        <v>-1.6327600411668981</v>
      </c>
    </row>
    <row r="26" spans="1:15" x14ac:dyDescent="0.25">
      <c r="A26">
        <v>116.569784</v>
      </c>
      <c r="B26">
        <v>-394.58783749999998</v>
      </c>
      <c r="C26">
        <v>-413.52233150000001</v>
      </c>
      <c r="D26">
        <v>202.12458799999999</v>
      </c>
      <c r="E26">
        <v>-133.03406924999999</v>
      </c>
      <c r="F26">
        <v>6.7730174999999999</v>
      </c>
      <c r="G26">
        <v>307.47771475000002</v>
      </c>
      <c r="H26">
        <v>-40</v>
      </c>
      <c r="I26">
        <v>-40</v>
      </c>
      <c r="J26">
        <v>1.18</v>
      </c>
      <c r="K26">
        <v>22.575843500000001</v>
      </c>
      <c r="L26">
        <v>1.955951055755436</v>
      </c>
      <c r="M26">
        <v>-2.2017734600156991</v>
      </c>
      <c r="N26">
        <v>-1.6254588826955561</v>
      </c>
      <c r="O26">
        <v>-1.515894458062421</v>
      </c>
    </row>
    <row r="27" spans="1:15" x14ac:dyDescent="0.25">
      <c r="A27">
        <v>114.441143</v>
      </c>
      <c r="B27">
        <v>-352.41336825000002</v>
      </c>
      <c r="C27">
        <v>-371.47534174999998</v>
      </c>
      <c r="D27">
        <v>216.40560525000001</v>
      </c>
      <c r="E27">
        <v>-98.504097250000001</v>
      </c>
      <c r="F27">
        <v>6.5293844999999999</v>
      </c>
      <c r="G27">
        <v>297.03236375</v>
      </c>
      <c r="H27">
        <v>-40</v>
      </c>
      <c r="I27">
        <v>-36</v>
      </c>
      <c r="J27">
        <v>1.1775</v>
      </c>
      <c r="K27">
        <v>22.213223249999999</v>
      </c>
      <c r="L27">
        <v>1.84451363890959</v>
      </c>
      <c r="M27">
        <v>-2.1592134453789851</v>
      </c>
      <c r="N27">
        <v>-1.501455924991405</v>
      </c>
      <c r="O27">
        <v>-1.3987045981562829</v>
      </c>
    </row>
    <row r="28" spans="1:15" x14ac:dyDescent="0.25">
      <c r="A28">
        <v>108.85975075</v>
      </c>
      <c r="B28">
        <v>-318.39553074999998</v>
      </c>
      <c r="C28">
        <v>-329.15763075000001</v>
      </c>
      <c r="D28">
        <v>228.32106049999999</v>
      </c>
      <c r="E28">
        <v>-72.718154999999996</v>
      </c>
      <c r="F28">
        <v>6.1882987500000004</v>
      </c>
      <c r="G28">
        <v>289.26836374999999</v>
      </c>
      <c r="H28">
        <v>-40</v>
      </c>
      <c r="I28">
        <v>-32</v>
      </c>
      <c r="J28">
        <v>1.175</v>
      </c>
      <c r="K28">
        <v>21.950977250000001</v>
      </c>
      <c r="L28">
        <v>1.7447075479181871</v>
      </c>
      <c r="M28">
        <v>-2.1777124897946032</v>
      </c>
      <c r="N28">
        <v>-1.44192376700998</v>
      </c>
      <c r="O28">
        <v>-1.314336863469229</v>
      </c>
    </row>
    <row r="29" spans="1:15" x14ac:dyDescent="0.25">
      <c r="A29">
        <v>103.16627674999999</v>
      </c>
      <c r="B29">
        <v>-288.21608724999999</v>
      </c>
      <c r="C29">
        <v>-283.9871215</v>
      </c>
      <c r="D29">
        <v>240.01747175</v>
      </c>
      <c r="E29">
        <v>-49.1595905</v>
      </c>
      <c r="F29">
        <v>6.2370254999999997</v>
      </c>
      <c r="G29">
        <v>283.1052095</v>
      </c>
      <c r="H29">
        <v>-40</v>
      </c>
      <c r="I29">
        <v>-28</v>
      </c>
      <c r="J29">
        <v>1.18</v>
      </c>
      <c r="K29">
        <v>21.66259475</v>
      </c>
      <c r="L29">
        <v>1.6339904335065389</v>
      </c>
      <c r="M29">
        <v>-2.2294176835418602</v>
      </c>
      <c r="N29">
        <v>-1.4023753469920011</v>
      </c>
      <c r="O29">
        <v>-1.233819759199275</v>
      </c>
    </row>
    <row r="30" spans="1:15" x14ac:dyDescent="0.25">
      <c r="A30">
        <v>93.282857750000005</v>
      </c>
      <c r="B30">
        <v>-264.60990149999998</v>
      </c>
      <c r="C30">
        <v>-239.46940225</v>
      </c>
      <c r="D30">
        <v>249.96161649999999</v>
      </c>
      <c r="E30">
        <v>-31.005591500000001</v>
      </c>
      <c r="F30">
        <v>6.2857522499999998</v>
      </c>
      <c r="G30">
        <v>279.54338825000002</v>
      </c>
      <c r="H30">
        <v>-40</v>
      </c>
      <c r="I30">
        <v>-24</v>
      </c>
      <c r="J30">
        <v>1.18</v>
      </c>
      <c r="K30">
        <v>21.520885249999999</v>
      </c>
      <c r="L30">
        <v>1.5054378409440381</v>
      </c>
      <c r="M30">
        <v>-2.3280404611805201</v>
      </c>
      <c r="N30">
        <v>-1.405006195990512</v>
      </c>
      <c r="O30">
        <v>-1.168721271281413</v>
      </c>
    </row>
    <row r="31" spans="1:15" x14ac:dyDescent="0.25">
      <c r="A31">
        <v>79.157298999999995</v>
      </c>
      <c r="B31">
        <v>-243.83454875000001</v>
      </c>
      <c r="C31">
        <v>-195.10882975000001</v>
      </c>
      <c r="D31">
        <v>255.87553424999999</v>
      </c>
      <c r="E31">
        <v>-16.594724500000002</v>
      </c>
      <c r="F31">
        <v>5.9933924999999997</v>
      </c>
      <c r="G31">
        <v>274.220642</v>
      </c>
      <c r="H31">
        <v>-40</v>
      </c>
      <c r="I31">
        <v>-20</v>
      </c>
      <c r="J31">
        <v>1.1775</v>
      </c>
      <c r="K31">
        <v>21.344603750000001</v>
      </c>
      <c r="L31">
        <v>1.3518910940949569</v>
      </c>
      <c r="M31">
        <v>-2.4631205902108411</v>
      </c>
      <c r="N31">
        <v>-1.4334674559949201</v>
      </c>
      <c r="O31">
        <v>-1.111342176840727</v>
      </c>
    </row>
    <row r="32" spans="1:15" x14ac:dyDescent="0.25">
      <c r="A32">
        <v>62.590647750000002</v>
      </c>
      <c r="B32">
        <v>-230.06428149999999</v>
      </c>
      <c r="C32">
        <v>-151.30527125</v>
      </c>
      <c r="D32">
        <v>261.78944374999998</v>
      </c>
      <c r="E32">
        <v>-4.9519715</v>
      </c>
      <c r="F32">
        <v>5.9933927499999999</v>
      </c>
      <c r="G32">
        <v>271.61931600000003</v>
      </c>
      <c r="H32">
        <v>-40</v>
      </c>
      <c r="I32">
        <v>-16</v>
      </c>
      <c r="J32">
        <v>1.18</v>
      </c>
      <c r="K32">
        <v>21.218233000000001</v>
      </c>
      <c r="L32">
        <v>1.1516248682814101</v>
      </c>
      <c r="M32">
        <v>-2.6482471178089062</v>
      </c>
      <c r="N32">
        <v>-1.489142947749023</v>
      </c>
      <c r="O32">
        <v>-1.058945374515325</v>
      </c>
    </row>
    <row r="33" spans="1:15" x14ac:dyDescent="0.25">
      <c r="A33">
        <v>44.54290675</v>
      </c>
      <c r="B33">
        <v>-223.23553075000001</v>
      </c>
      <c r="C33">
        <v>-113.70465274999999</v>
      </c>
      <c r="D33">
        <v>264.76831800000002</v>
      </c>
      <c r="E33">
        <v>2.4140904999999999</v>
      </c>
      <c r="F33">
        <v>5.9446659999999998</v>
      </c>
      <c r="G33">
        <v>269.57827774999998</v>
      </c>
      <c r="H33">
        <v>-40</v>
      </c>
      <c r="I33">
        <v>-12</v>
      </c>
      <c r="J33">
        <v>1.18</v>
      </c>
      <c r="K33">
        <v>21.138510749999998</v>
      </c>
      <c r="L33">
        <v>0.92604327437321743</v>
      </c>
      <c r="M33">
        <v>-2.8557864369066208</v>
      </c>
      <c r="N33">
        <v>-1.563445546085654</v>
      </c>
      <c r="O33">
        <v>-1.0206662564835329</v>
      </c>
    </row>
    <row r="34" spans="1:15" x14ac:dyDescent="0.25">
      <c r="A34">
        <v>19.9020285</v>
      </c>
      <c r="B34">
        <v>-217.38241199999999</v>
      </c>
      <c r="C34">
        <v>-74.84066</v>
      </c>
      <c r="D34">
        <v>263.32269274999999</v>
      </c>
      <c r="E34">
        <v>6.4822445000000002</v>
      </c>
      <c r="F34">
        <v>5.3112205000000001</v>
      </c>
      <c r="G34">
        <v>264.81583425000002</v>
      </c>
      <c r="H34">
        <v>-40</v>
      </c>
      <c r="I34">
        <v>-8</v>
      </c>
      <c r="J34">
        <v>1.18</v>
      </c>
      <c r="K34">
        <v>20.972322999999999</v>
      </c>
      <c r="L34">
        <v>0.62082981846053675</v>
      </c>
      <c r="M34">
        <v>-3.1506903100259822</v>
      </c>
      <c r="N34">
        <v>-1.6933490558315589</v>
      </c>
      <c r="O34">
        <v>-0.99243465927795915</v>
      </c>
    </row>
    <row r="35" spans="1:15" x14ac:dyDescent="0.25">
      <c r="A35">
        <v>-3.33413</v>
      </c>
      <c r="B35">
        <v>-213.16046900000001</v>
      </c>
      <c r="C35">
        <v>-38.29738175</v>
      </c>
      <c r="D35">
        <v>262.79700450000001</v>
      </c>
      <c r="E35">
        <v>12.875057999999999</v>
      </c>
      <c r="F35">
        <v>5.60358</v>
      </c>
      <c r="G35">
        <v>263.53519425000002</v>
      </c>
      <c r="H35">
        <v>-40</v>
      </c>
      <c r="I35">
        <v>-4</v>
      </c>
      <c r="J35">
        <v>1.18</v>
      </c>
      <c r="K35">
        <v>20.908662499999998</v>
      </c>
      <c r="L35">
        <v>0.25224108445632137</v>
      </c>
      <c r="M35">
        <v>-3.43414946007969</v>
      </c>
      <c r="N35">
        <v>-1.80864745680711</v>
      </c>
      <c r="O35">
        <v>-0.94759818108295901</v>
      </c>
    </row>
    <row r="36" spans="1:15" x14ac:dyDescent="0.25">
      <c r="A36">
        <v>-32.169845500000001</v>
      </c>
      <c r="B36">
        <v>-212.09022525</v>
      </c>
      <c r="C36">
        <v>-6.1796065000000002</v>
      </c>
      <c r="D36">
        <v>261.35137950000001</v>
      </c>
      <c r="E36">
        <v>14.4844385</v>
      </c>
      <c r="F36">
        <v>5.5548535000000001</v>
      </c>
      <c r="G36">
        <v>261.17396550000001</v>
      </c>
      <c r="H36">
        <v>-40</v>
      </c>
      <c r="I36">
        <v>0</v>
      </c>
      <c r="J36">
        <v>1.18</v>
      </c>
      <c r="K36">
        <v>20.814716499999999</v>
      </c>
      <c r="L36">
        <v>-0.19021855849006519</v>
      </c>
      <c r="M36">
        <v>-3.4658560902939581</v>
      </c>
      <c r="N36">
        <v>-1.8060182318795339</v>
      </c>
      <c r="O36">
        <v>-0.93473232148582319</v>
      </c>
    </row>
    <row r="37" spans="1:15" x14ac:dyDescent="0.25">
      <c r="A37">
        <v>-61.546228249999999</v>
      </c>
      <c r="B37">
        <v>-210.85769275000001</v>
      </c>
      <c r="C37">
        <v>22.355228</v>
      </c>
      <c r="D37">
        <v>258.022064</v>
      </c>
      <c r="E37">
        <v>16.809098250000002</v>
      </c>
      <c r="F37">
        <v>5.6523067500000002</v>
      </c>
      <c r="G37">
        <v>258.09239174999999</v>
      </c>
      <c r="H37">
        <v>-40</v>
      </c>
      <c r="I37">
        <v>4</v>
      </c>
      <c r="J37">
        <v>1.18</v>
      </c>
      <c r="K37">
        <v>20.684885999999999</v>
      </c>
      <c r="L37">
        <v>-0.54836592108618087</v>
      </c>
      <c r="M37">
        <v>-3.0643872998149422</v>
      </c>
      <c r="N37">
        <v>-1.576955669855973</v>
      </c>
      <c r="O37">
        <v>-0.92712042905934045</v>
      </c>
    </row>
    <row r="38" spans="1:15" x14ac:dyDescent="0.25">
      <c r="A38">
        <v>-96.142870000000002</v>
      </c>
      <c r="B38">
        <v>-214.37480550000001</v>
      </c>
      <c r="C38">
        <v>46.87826175</v>
      </c>
      <c r="D38">
        <v>254.605133</v>
      </c>
      <c r="E38">
        <v>14.61855325</v>
      </c>
      <c r="F38">
        <v>5.4574002500000001</v>
      </c>
      <c r="G38">
        <v>257.01181800000001</v>
      </c>
      <c r="H38">
        <v>-40</v>
      </c>
      <c r="I38">
        <v>8</v>
      </c>
      <c r="J38">
        <v>1.18</v>
      </c>
      <c r="K38">
        <v>20.648568000000001</v>
      </c>
      <c r="L38">
        <v>-0.84188960221588094</v>
      </c>
      <c r="M38">
        <v>-2.760753824511649</v>
      </c>
      <c r="N38">
        <v>-1.426929377431478</v>
      </c>
      <c r="O38">
        <v>-0.94608120210142022</v>
      </c>
    </row>
    <row r="39" spans="1:15" x14ac:dyDescent="0.25">
      <c r="A39">
        <v>-126.148016</v>
      </c>
      <c r="B39">
        <v>-216.23102574999999</v>
      </c>
      <c r="C39">
        <v>65.214088500000003</v>
      </c>
      <c r="D39">
        <v>248.82263549999999</v>
      </c>
      <c r="E39">
        <v>10.28216875</v>
      </c>
      <c r="F39">
        <v>5.2137675000000003</v>
      </c>
      <c r="G39">
        <v>253.81019175</v>
      </c>
      <c r="H39">
        <v>-40</v>
      </c>
      <c r="I39">
        <v>12</v>
      </c>
      <c r="J39">
        <v>1.18</v>
      </c>
      <c r="K39">
        <v>20.52680625</v>
      </c>
      <c r="L39">
        <v>-1.0545075181051411</v>
      </c>
      <c r="M39">
        <v>-2.5626812291547938</v>
      </c>
      <c r="N39">
        <v>-1.341967031783563</v>
      </c>
      <c r="O39">
        <v>-0.97207477418970822</v>
      </c>
    </row>
    <row r="40" spans="1:15" x14ac:dyDescent="0.25">
      <c r="A40">
        <v>-163.41739625</v>
      </c>
      <c r="B40">
        <v>-224.77097724999999</v>
      </c>
      <c r="C40">
        <v>84.137016250000002</v>
      </c>
      <c r="D40">
        <v>248.55980324999999</v>
      </c>
      <c r="E40">
        <v>3.44230525</v>
      </c>
      <c r="F40">
        <v>5.50612675</v>
      </c>
      <c r="G40">
        <v>259.25297549999999</v>
      </c>
      <c r="H40">
        <v>-40</v>
      </c>
      <c r="I40">
        <v>16</v>
      </c>
      <c r="J40">
        <v>1.18</v>
      </c>
      <c r="K40">
        <v>20.738256499999999</v>
      </c>
      <c r="L40">
        <v>-1.2531730866881601</v>
      </c>
      <c r="M40">
        <v>-2.3962144763934861</v>
      </c>
      <c r="N40">
        <v>-1.295036755575862</v>
      </c>
      <c r="O40">
        <v>-1.010456277804137</v>
      </c>
    </row>
    <row r="41" spans="1:15" x14ac:dyDescent="0.25">
      <c r="A41">
        <v>-225.77463524999999</v>
      </c>
      <c r="B41">
        <v>-263.70959449999998</v>
      </c>
      <c r="C41">
        <v>113.26658275</v>
      </c>
      <c r="D41">
        <v>274.09915925000001</v>
      </c>
      <c r="E41">
        <v>-8.0748362500000006</v>
      </c>
      <c r="F41">
        <v>6.3832052499999996</v>
      </c>
      <c r="G41">
        <v>295.03132599999998</v>
      </c>
      <c r="H41">
        <v>-40</v>
      </c>
      <c r="I41">
        <v>20</v>
      </c>
      <c r="J41">
        <v>1.18</v>
      </c>
      <c r="K41">
        <v>22.118563999999999</v>
      </c>
      <c r="L41">
        <v>-1.432576781044407</v>
      </c>
      <c r="M41">
        <v>-2.2724598171779959</v>
      </c>
      <c r="N41">
        <v>-1.2807639866482541</v>
      </c>
      <c r="O41">
        <v>-1.0611032078632869</v>
      </c>
    </row>
    <row r="42" spans="1:15" x14ac:dyDescent="0.25">
      <c r="A42">
        <v>-278.99399575000001</v>
      </c>
      <c r="B42">
        <v>-297.00312050000002</v>
      </c>
      <c r="C42">
        <v>130.51851275000001</v>
      </c>
      <c r="D42">
        <v>275.23813625000003</v>
      </c>
      <c r="E42">
        <v>-27.7042775</v>
      </c>
      <c r="F42">
        <v>6.62683775</v>
      </c>
      <c r="G42">
        <v>310.23913575</v>
      </c>
      <c r="H42">
        <v>-40</v>
      </c>
      <c r="I42">
        <v>24</v>
      </c>
      <c r="J42">
        <v>1.18</v>
      </c>
      <c r="K42">
        <v>22.684714750000001</v>
      </c>
      <c r="L42">
        <v>-1.5732587544140091</v>
      </c>
      <c r="M42">
        <v>-2.1984399961706238</v>
      </c>
      <c r="N42">
        <v>-1.298303117350704</v>
      </c>
      <c r="O42">
        <v>-1.131879458166611</v>
      </c>
    </row>
    <row r="43" spans="1:15" x14ac:dyDescent="0.25">
      <c r="A43">
        <v>-301.67403424999998</v>
      </c>
      <c r="B43">
        <v>-306.96010575000003</v>
      </c>
      <c r="C43">
        <v>133.00243025</v>
      </c>
      <c r="D43">
        <v>251.97673424999999</v>
      </c>
      <c r="E43">
        <v>-50.322746500000001</v>
      </c>
      <c r="F43">
        <v>6.62683775</v>
      </c>
      <c r="G43">
        <v>298.35302725000003</v>
      </c>
      <c r="H43">
        <v>-40</v>
      </c>
      <c r="I43">
        <v>28</v>
      </c>
      <c r="J43">
        <v>1.18</v>
      </c>
      <c r="K43">
        <v>22.236252749999998</v>
      </c>
      <c r="L43">
        <v>-1.711377227724207</v>
      </c>
      <c r="M43">
        <v>-2.200605742247506</v>
      </c>
      <c r="N43">
        <v>-1.372789075935968</v>
      </c>
      <c r="O43">
        <v>-1.2242297157201221</v>
      </c>
    </row>
    <row r="44" spans="1:15" x14ac:dyDescent="0.25">
      <c r="A44">
        <v>-328.50390625</v>
      </c>
      <c r="B44">
        <v>-326.55465700000002</v>
      </c>
      <c r="C44">
        <v>136.38959500000001</v>
      </c>
      <c r="D44">
        <v>230.68662674999999</v>
      </c>
      <c r="E44">
        <v>-79.142336</v>
      </c>
      <c r="F44">
        <v>6.3832052499999996</v>
      </c>
      <c r="G44">
        <v>292.6300885</v>
      </c>
      <c r="H44">
        <v>-40</v>
      </c>
      <c r="I44">
        <v>32</v>
      </c>
      <c r="J44">
        <v>1.18</v>
      </c>
      <c r="K44">
        <v>22.026438250000002</v>
      </c>
      <c r="L44">
        <v>-1.8716949550034461</v>
      </c>
      <c r="M44">
        <v>-2.2435141094488791</v>
      </c>
      <c r="N44">
        <v>-1.496819821135176</v>
      </c>
      <c r="O44">
        <v>-1.34435125801546</v>
      </c>
    </row>
    <row r="45" spans="1:15" x14ac:dyDescent="0.25">
      <c r="A45">
        <v>-346.50119775000002</v>
      </c>
      <c r="B45">
        <v>-343.87303175</v>
      </c>
      <c r="C45">
        <v>133.99600225</v>
      </c>
      <c r="D45">
        <v>207.03095275000001</v>
      </c>
      <c r="E45">
        <v>-114.296875</v>
      </c>
      <c r="F45">
        <v>6.0908457499999997</v>
      </c>
      <c r="G45">
        <v>284.78607950000003</v>
      </c>
      <c r="H45">
        <v>-40</v>
      </c>
      <c r="I45">
        <v>36</v>
      </c>
      <c r="J45">
        <v>1.18</v>
      </c>
      <c r="K45">
        <v>21.733954499999999</v>
      </c>
      <c r="L45">
        <v>-2.0810741668023418</v>
      </c>
      <c r="M45">
        <v>-2.3860191433281992</v>
      </c>
      <c r="N45">
        <v>-1.72847135552107</v>
      </c>
      <c r="O45">
        <v>-1.521418782546637</v>
      </c>
    </row>
    <row r="46" spans="1:15" x14ac:dyDescent="0.25">
      <c r="A46">
        <v>-367.31596374999998</v>
      </c>
      <c r="B46">
        <v>-363.63815325000002</v>
      </c>
      <c r="C46">
        <v>132.14434825000001</v>
      </c>
      <c r="D46">
        <v>184.64567575000001</v>
      </c>
      <c r="E46">
        <v>-152.26199700000001</v>
      </c>
      <c r="F46">
        <v>6.0908457499999997</v>
      </c>
      <c r="G46">
        <v>280.94409949999999</v>
      </c>
      <c r="H46">
        <v>-40</v>
      </c>
      <c r="I46">
        <v>40</v>
      </c>
      <c r="J46">
        <v>1.18</v>
      </c>
      <c r="K46">
        <v>21.583626249999998</v>
      </c>
      <c r="L46">
        <v>-2.3425975269441039</v>
      </c>
      <c r="M46">
        <v>-2.5716024824413068</v>
      </c>
      <c r="N46">
        <v>-2.0319041230201851</v>
      </c>
      <c r="O46">
        <v>-1.742763936728025</v>
      </c>
    </row>
    <row r="47" spans="1:15" x14ac:dyDescent="0.25">
      <c r="A47">
        <v>-391.75402075</v>
      </c>
      <c r="B47">
        <v>-382.10783400000003</v>
      </c>
      <c r="C47">
        <v>126.58941075</v>
      </c>
      <c r="D47">
        <v>160.20147349999999</v>
      </c>
      <c r="E47">
        <v>-189.37948600000001</v>
      </c>
      <c r="F47">
        <v>5.9933927499999999</v>
      </c>
      <c r="G47">
        <v>277.14215074999998</v>
      </c>
      <c r="H47">
        <v>-40</v>
      </c>
      <c r="I47">
        <v>44</v>
      </c>
      <c r="J47">
        <v>1.18</v>
      </c>
      <c r="K47">
        <v>21.437673749999998</v>
      </c>
      <c r="L47">
        <v>-2.6238521152552332</v>
      </c>
      <c r="M47">
        <v>-2.7451779646315528</v>
      </c>
      <c r="N47">
        <v>-2.3615402677112498</v>
      </c>
      <c r="O47">
        <v>-1.988978998024495</v>
      </c>
    </row>
    <row r="48" spans="1:15" x14ac:dyDescent="0.25">
      <c r="A48">
        <v>131.163769</v>
      </c>
      <c r="B48">
        <v>-370.54624949999999</v>
      </c>
      <c r="C48">
        <v>-371.385109</v>
      </c>
      <c r="D48">
        <v>154.24374750000001</v>
      </c>
      <c r="E48">
        <v>-111.932419</v>
      </c>
      <c r="F48">
        <v>5.847213</v>
      </c>
      <c r="G48">
        <v>272.37970725000002</v>
      </c>
      <c r="H48">
        <v>-36</v>
      </c>
      <c r="I48">
        <v>-44</v>
      </c>
      <c r="J48">
        <v>1.18</v>
      </c>
      <c r="K48">
        <v>21.254408999999999</v>
      </c>
      <c r="L48">
        <v>1.940122456430639</v>
      </c>
      <c r="M48">
        <v>-2.0260051546123492</v>
      </c>
      <c r="N48">
        <v>-1.4837076581092681</v>
      </c>
      <c r="O48">
        <v>-1.4547155783016801</v>
      </c>
    </row>
    <row r="49" spans="1:15" x14ac:dyDescent="0.25">
      <c r="A49">
        <v>135.79500200000001</v>
      </c>
      <c r="B49">
        <v>-335.55017075000001</v>
      </c>
      <c r="C49">
        <v>-341.74467475</v>
      </c>
      <c r="D49">
        <v>176.36619200000001</v>
      </c>
      <c r="E49">
        <v>-77.625515000000007</v>
      </c>
      <c r="F49">
        <v>5.9933924999999997</v>
      </c>
      <c r="G49">
        <v>271.17908449999999</v>
      </c>
      <c r="H49">
        <v>-36</v>
      </c>
      <c r="I49">
        <v>-40</v>
      </c>
      <c r="J49">
        <v>1.18</v>
      </c>
      <c r="K49">
        <v>21.200642500000001</v>
      </c>
      <c r="L49">
        <v>1.8295175925755121</v>
      </c>
      <c r="M49">
        <v>-1.9612150811554541</v>
      </c>
      <c r="N49">
        <v>-1.3363350456648559</v>
      </c>
      <c r="O49">
        <v>-1.32036741916148</v>
      </c>
    </row>
    <row r="50" spans="1:15" x14ac:dyDescent="0.25">
      <c r="A50">
        <v>135.0276605</v>
      </c>
      <c r="B50">
        <v>-298.25028225</v>
      </c>
      <c r="C50">
        <v>-309.17179125000001</v>
      </c>
      <c r="D50">
        <v>192.31186299999999</v>
      </c>
      <c r="E50">
        <v>-46.753758249999997</v>
      </c>
      <c r="F50">
        <v>5.6523067500000002</v>
      </c>
      <c r="G50">
        <v>266.4566805</v>
      </c>
      <c r="H50">
        <v>-36</v>
      </c>
      <c r="I50">
        <v>-36</v>
      </c>
      <c r="J50">
        <v>1.18</v>
      </c>
      <c r="K50">
        <v>21.0247785</v>
      </c>
      <c r="L50">
        <v>1.7287175842162401</v>
      </c>
      <c r="M50">
        <v>-1.909169332695458</v>
      </c>
      <c r="N50">
        <v>-1.2189811201300109</v>
      </c>
      <c r="O50">
        <v>-1.2039601159206319</v>
      </c>
    </row>
    <row r="51" spans="1:15" x14ac:dyDescent="0.25">
      <c r="A51">
        <v>132.99690624999999</v>
      </c>
      <c r="B51">
        <v>-267.43273175000002</v>
      </c>
      <c r="C51">
        <v>-274.16268925000003</v>
      </c>
      <c r="D51">
        <v>209.13368249999999</v>
      </c>
      <c r="E51">
        <v>-21.860057250000001</v>
      </c>
      <c r="F51">
        <v>5.5548537500000004</v>
      </c>
      <c r="G51">
        <v>264.93589050000003</v>
      </c>
      <c r="H51">
        <v>-36</v>
      </c>
      <c r="I51">
        <v>-32</v>
      </c>
      <c r="J51">
        <v>1.18</v>
      </c>
      <c r="K51">
        <v>20.967328250000001</v>
      </c>
      <c r="L51">
        <v>1.6355881941320769</v>
      </c>
      <c r="M51">
        <v>-1.9144050709886049</v>
      </c>
      <c r="N51">
        <v>-1.15207945102764</v>
      </c>
      <c r="O51">
        <v>-1.1101257454974369</v>
      </c>
    </row>
    <row r="52" spans="1:15" x14ac:dyDescent="0.25">
      <c r="A52">
        <v>127.12172700000001</v>
      </c>
      <c r="B52">
        <v>-242.24869924999999</v>
      </c>
      <c r="C52">
        <v>-236.3113745</v>
      </c>
      <c r="D52">
        <v>222.450943</v>
      </c>
      <c r="E52">
        <v>-2.2752295</v>
      </c>
      <c r="F52">
        <v>5.5548535000000001</v>
      </c>
      <c r="G52">
        <v>263.17498799999998</v>
      </c>
      <c r="H52">
        <v>-36</v>
      </c>
      <c r="I52">
        <v>-28</v>
      </c>
      <c r="J52">
        <v>1.18</v>
      </c>
      <c r="K52">
        <v>20.89603125</v>
      </c>
      <c r="L52">
        <v>1.5334399847796749</v>
      </c>
      <c r="M52">
        <v>-1.960744005475316</v>
      </c>
      <c r="N52">
        <v>-1.120037131918064</v>
      </c>
      <c r="O52">
        <v>-1.033037567203845</v>
      </c>
    </row>
    <row r="53" spans="1:15" x14ac:dyDescent="0.25">
      <c r="A53">
        <v>118.322033</v>
      </c>
      <c r="B53">
        <v>-213.43339524999999</v>
      </c>
      <c r="C53">
        <v>-191.10632699999999</v>
      </c>
      <c r="D53">
        <v>232.39508475</v>
      </c>
      <c r="E53">
        <v>17.926722999999999</v>
      </c>
      <c r="F53">
        <v>5.5061270000000002</v>
      </c>
      <c r="G53">
        <v>259.65317549999997</v>
      </c>
      <c r="H53">
        <v>-36</v>
      </c>
      <c r="I53">
        <v>-24</v>
      </c>
      <c r="J53">
        <v>1.18</v>
      </c>
      <c r="K53">
        <v>20.754702250000001</v>
      </c>
      <c r="L53">
        <v>1.4052408275382759</v>
      </c>
      <c r="M53">
        <v>-2.0247139513049839</v>
      </c>
      <c r="N53">
        <v>-1.0978099332215301</v>
      </c>
      <c r="O53">
        <v>-0.94359942921265227</v>
      </c>
    </row>
    <row r="54" spans="1:15" x14ac:dyDescent="0.25">
      <c r="A54">
        <v>107.0855025</v>
      </c>
      <c r="B54">
        <v>-193.94279850000001</v>
      </c>
      <c r="C54">
        <v>-151.2699585</v>
      </c>
      <c r="D54">
        <v>242.03258149999999</v>
      </c>
      <c r="E54">
        <v>33.752289750000003</v>
      </c>
      <c r="F54">
        <v>5.4086734999999999</v>
      </c>
      <c r="G54">
        <v>258.49259925000001</v>
      </c>
      <c r="H54">
        <v>-36</v>
      </c>
      <c r="I54">
        <v>-20</v>
      </c>
      <c r="J54">
        <v>1.18</v>
      </c>
      <c r="K54">
        <v>20.711247499999999</v>
      </c>
      <c r="L54">
        <v>1.2519756693588511</v>
      </c>
      <c r="M54">
        <v>-2.1127237542429191</v>
      </c>
      <c r="N54">
        <v>-1.08909497442174</v>
      </c>
      <c r="O54">
        <v>-0.86265416244606952</v>
      </c>
    </row>
    <row r="55" spans="1:15" x14ac:dyDescent="0.25">
      <c r="A55">
        <v>90.851850499999998</v>
      </c>
      <c r="B55">
        <v>-181.531113</v>
      </c>
      <c r="C55">
        <v>-113.73443425000001</v>
      </c>
      <c r="D55">
        <v>247.24559024999999</v>
      </c>
      <c r="E55">
        <v>43.363863000000002</v>
      </c>
      <c r="F55">
        <v>5.50612675</v>
      </c>
      <c r="G55">
        <v>255.69115425000001</v>
      </c>
      <c r="H55">
        <v>-36</v>
      </c>
      <c r="I55">
        <v>-16</v>
      </c>
      <c r="J55">
        <v>1.18</v>
      </c>
      <c r="K55">
        <v>20.592288</v>
      </c>
      <c r="L55">
        <v>1.071151869187043</v>
      </c>
      <c r="M55">
        <v>-2.2449417204566862</v>
      </c>
      <c r="N55">
        <v>-1.111679524167533</v>
      </c>
      <c r="O55">
        <v>-0.80178710055149949</v>
      </c>
    </row>
    <row r="56" spans="1:15" x14ac:dyDescent="0.25">
      <c r="A56">
        <v>73.159891000000002</v>
      </c>
      <c r="B56">
        <v>-173.41159049999999</v>
      </c>
      <c r="C56">
        <v>-75.206384499999999</v>
      </c>
      <c r="D56">
        <v>250.04922475000001</v>
      </c>
      <c r="E56">
        <v>51.634286000000003</v>
      </c>
      <c r="F56">
        <v>5.4086737500000002</v>
      </c>
      <c r="G56">
        <v>253.57006799999999</v>
      </c>
      <c r="H56">
        <v>-36</v>
      </c>
      <c r="I56">
        <v>-12</v>
      </c>
      <c r="J56">
        <v>1.18</v>
      </c>
      <c r="K56">
        <v>20.5088355</v>
      </c>
      <c r="L56">
        <v>0.84325835311823405</v>
      </c>
      <c r="M56">
        <v>-2.4068102057361029</v>
      </c>
      <c r="N56">
        <v>-1.1477398789085911</v>
      </c>
      <c r="O56">
        <v>-0.737268357910979</v>
      </c>
    </row>
    <row r="57" spans="1:15" x14ac:dyDescent="0.25">
      <c r="A57">
        <v>53.478569</v>
      </c>
      <c r="B57">
        <v>-170.10169974999999</v>
      </c>
      <c r="C57">
        <v>-40.6484405</v>
      </c>
      <c r="D57">
        <v>252.54621499999999</v>
      </c>
      <c r="E57">
        <v>58.161214999999999</v>
      </c>
      <c r="F57">
        <v>5.4573999999999998</v>
      </c>
      <c r="G57">
        <v>252.92971800000001</v>
      </c>
      <c r="H57">
        <v>-36</v>
      </c>
      <c r="I57">
        <v>-8</v>
      </c>
      <c r="J57">
        <v>1.18</v>
      </c>
      <c r="K57">
        <v>20.480346999999998</v>
      </c>
      <c r="L57">
        <v>0.57557335499360995</v>
      </c>
      <c r="M57">
        <v>-2.584445926027835</v>
      </c>
      <c r="N57">
        <v>-1.1909987519465479</v>
      </c>
      <c r="O57">
        <v>-0.67772937491704432</v>
      </c>
    </row>
    <row r="58" spans="1:15" x14ac:dyDescent="0.25">
      <c r="A58">
        <v>28.2077505</v>
      </c>
      <c r="B58">
        <v>-166.07225775000001</v>
      </c>
      <c r="C58">
        <v>-6.2258434999999999</v>
      </c>
      <c r="D58">
        <v>248.838459</v>
      </c>
      <c r="E58">
        <v>60.441170499999998</v>
      </c>
      <c r="F58">
        <v>5.0188612499999996</v>
      </c>
      <c r="G58">
        <v>249.0877725</v>
      </c>
      <c r="H58">
        <v>-36</v>
      </c>
      <c r="I58">
        <v>-4</v>
      </c>
      <c r="J58">
        <v>1.18</v>
      </c>
      <c r="K58">
        <v>20.339028750000001</v>
      </c>
      <c r="L58">
        <v>0.23489725037384021</v>
      </c>
      <c r="M58">
        <v>-2.8304312712424808</v>
      </c>
      <c r="N58">
        <v>-1.2869130512664451</v>
      </c>
      <c r="O58">
        <v>-0.62193203161536159</v>
      </c>
    </row>
    <row r="59" spans="1:15" x14ac:dyDescent="0.25">
      <c r="A59">
        <v>3.56525325</v>
      </c>
      <c r="B59">
        <v>-173.90342699999999</v>
      </c>
      <c r="C59">
        <v>26.239171249999998</v>
      </c>
      <c r="D59">
        <v>263.27888474999997</v>
      </c>
      <c r="E59">
        <v>68.309247999999997</v>
      </c>
      <c r="F59">
        <v>5.847213</v>
      </c>
      <c r="G59">
        <v>263.2150115</v>
      </c>
      <c r="H59">
        <v>-36</v>
      </c>
      <c r="I59">
        <v>0</v>
      </c>
      <c r="J59">
        <v>1.18</v>
      </c>
      <c r="K59">
        <v>20.885692500000001</v>
      </c>
      <c r="L59">
        <v>-0.1477071587508095</v>
      </c>
      <c r="M59">
        <v>-2.848545012127611</v>
      </c>
      <c r="N59">
        <v>-1.269946692847665</v>
      </c>
      <c r="O59">
        <v>-0.59303331053888453</v>
      </c>
    </row>
    <row r="60" spans="1:15" x14ac:dyDescent="0.25">
      <c r="A60">
        <v>-32.839236249999999</v>
      </c>
      <c r="B60">
        <v>-200.0968665</v>
      </c>
      <c r="C60">
        <v>61.736600750000001</v>
      </c>
      <c r="D60">
        <v>297.62342074999998</v>
      </c>
      <c r="E60">
        <v>78.010234749999995</v>
      </c>
      <c r="F60">
        <v>6.4319309999999996</v>
      </c>
      <c r="G60">
        <v>298.03287475000002</v>
      </c>
      <c r="H60">
        <v>-36</v>
      </c>
      <c r="I60">
        <v>4</v>
      </c>
      <c r="J60">
        <v>1.18</v>
      </c>
      <c r="K60">
        <v>22.2314145</v>
      </c>
      <c r="L60">
        <v>-0.48629806272167958</v>
      </c>
      <c r="M60">
        <v>-2.5593079501189928</v>
      </c>
      <c r="N60">
        <v>-1.131378462424053</v>
      </c>
      <c r="O60">
        <v>-0.63195978378853779</v>
      </c>
    </row>
    <row r="61" spans="1:15" x14ac:dyDescent="0.25">
      <c r="A61">
        <v>-74.287361250000004</v>
      </c>
      <c r="B61">
        <v>-212.15663125</v>
      </c>
      <c r="C61">
        <v>92.492007999999998</v>
      </c>
      <c r="D61">
        <v>307.78659099999999</v>
      </c>
      <c r="E61">
        <v>77.429067500000002</v>
      </c>
      <c r="F61">
        <v>6.6755642499999999</v>
      </c>
      <c r="G61">
        <v>309.1585695</v>
      </c>
      <c r="H61">
        <v>-36</v>
      </c>
      <c r="I61">
        <v>8</v>
      </c>
      <c r="J61">
        <v>1.1725000000000001</v>
      </c>
      <c r="K61">
        <v>22.714941750000001</v>
      </c>
      <c r="L61">
        <v>-0.75583725720730965</v>
      </c>
      <c r="M61">
        <v>-2.356406445582524</v>
      </c>
      <c r="N61">
        <v>-1.0502079923455721</v>
      </c>
      <c r="O61">
        <v>-0.67934053088631718</v>
      </c>
    </row>
    <row r="62" spans="1:15" x14ac:dyDescent="0.25">
      <c r="A62">
        <v>-109.080099</v>
      </c>
      <c r="B62">
        <v>-208.07944875000001</v>
      </c>
      <c r="C62">
        <v>112.950447</v>
      </c>
      <c r="D62">
        <v>291.92853550000001</v>
      </c>
      <c r="E62">
        <v>70.633909250000002</v>
      </c>
      <c r="F62">
        <v>6.8704704999999997</v>
      </c>
      <c r="G62">
        <v>297.55261975000002</v>
      </c>
      <c r="H62">
        <v>-36</v>
      </c>
      <c r="I62">
        <v>12</v>
      </c>
      <c r="J62">
        <v>1.1775</v>
      </c>
      <c r="K62">
        <v>22.220113250000001</v>
      </c>
      <c r="L62">
        <v>-0.96865490354321004</v>
      </c>
      <c r="M62">
        <v>-2.1814086176151748</v>
      </c>
      <c r="N62">
        <v>-0.98999681740610312</v>
      </c>
      <c r="O62">
        <v>-0.72181801041340699</v>
      </c>
    </row>
    <row r="63" spans="1:15" x14ac:dyDescent="0.25">
      <c r="A63">
        <v>-145.53723525000001</v>
      </c>
      <c r="B63">
        <v>-206.44857425000001</v>
      </c>
      <c r="C63">
        <v>129.11848825000001</v>
      </c>
      <c r="D63">
        <v>279.75025175000002</v>
      </c>
      <c r="E63">
        <v>58.518856</v>
      </c>
      <c r="F63">
        <v>6.6268374999999997</v>
      </c>
      <c r="G63">
        <v>290.98925800000001</v>
      </c>
      <c r="H63">
        <v>-36</v>
      </c>
      <c r="I63">
        <v>16</v>
      </c>
      <c r="J63">
        <v>1.18</v>
      </c>
      <c r="K63">
        <v>21.95381575</v>
      </c>
      <c r="L63">
        <v>-1.171180567767804</v>
      </c>
      <c r="M63">
        <v>-2.073243389043312</v>
      </c>
      <c r="N63">
        <v>-0.99129698175775882</v>
      </c>
      <c r="O63">
        <v>-0.77871723527212433</v>
      </c>
    </row>
    <row r="64" spans="1:15" x14ac:dyDescent="0.25">
      <c r="A64">
        <v>-178.71302775000001</v>
      </c>
      <c r="B64">
        <v>-210.73234575000001</v>
      </c>
      <c r="C64">
        <v>140.00255949999999</v>
      </c>
      <c r="D64">
        <v>264.19882224999998</v>
      </c>
      <c r="E64">
        <v>42.156827999999997</v>
      </c>
      <c r="F64">
        <v>6.2857517499999993</v>
      </c>
      <c r="G64">
        <v>283.46538575</v>
      </c>
      <c r="H64">
        <v>-36</v>
      </c>
      <c r="I64">
        <v>20</v>
      </c>
      <c r="J64">
        <v>1.18</v>
      </c>
      <c r="K64">
        <v>21.674774750000001</v>
      </c>
      <c r="L64">
        <v>-1.3454694896930031</v>
      </c>
      <c r="M64">
        <v>-2.0049679386813382</v>
      </c>
      <c r="N64">
        <v>-1.0187079019214309</v>
      </c>
      <c r="O64">
        <v>-0.84857014588085888</v>
      </c>
    </row>
    <row r="65" spans="1:15" x14ac:dyDescent="0.25">
      <c r="A65">
        <v>-214.60384350000001</v>
      </c>
      <c r="B65">
        <v>-230.63985475000001</v>
      </c>
      <c r="C65">
        <v>149.576931</v>
      </c>
      <c r="D65">
        <v>248.47217925000001</v>
      </c>
      <c r="E65">
        <v>19.849038</v>
      </c>
      <c r="F65">
        <v>5.7497600000000002</v>
      </c>
      <c r="G65">
        <v>279.54338825000002</v>
      </c>
      <c r="H65">
        <v>-36</v>
      </c>
      <c r="I65">
        <v>24</v>
      </c>
      <c r="J65">
        <v>1.18</v>
      </c>
      <c r="K65">
        <v>21.54198225</v>
      </c>
      <c r="L65">
        <v>-1.501973614984947</v>
      </c>
      <c r="M65">
        <v>-1.9759735828472571</v>
      </c>
      <c r="N65">
        <v>-1.0710493861263899</v>
      </c>
      <c r="O65">
        <v>-0.94186263528976988</v>
      </c>
    </row>
    <row r="66" spans="1:15" x14ac:dyDescent="0.25">
      <c r="A66">
        <v>-244.89148700000001</v>
      </c>
      <c r="B66">
        <v>-251.63319774999999</v>
      </c>
      <c r="C66">
        <v>154.63508999999999</v>
      </c>
      <c r="D66">
        <v>231.05174249999999</v>
      </c>
      <c r="E66">
        <v>-6.4241789999999996</v>
      </c>
      <c r="F66">
        <v>5.847213</v>
      </c>
      <c r="G66">
        <v>275.18113699999998</v>
      </c>
      <c r="H66">
        <v>-36</v>
      </c>
      <c r="I66">
        <v>28</v>
      </c>
      <c r="J66">
        <v>1.18</v>
      </c>
      <c r="K66">
        <v>21.36581425</v>
      </c>
      <c r="L66">
        <v>-1.652039733372745</v>
      </c>
      <c r="M66">
        <v>-1.995904556219396</v>
      </c>
      <c r="N66">
        <v>-1.1644423952986209</v>
      </c>
      <c r="O66">
        <v>-1.050742719843158</v>
      </c>
    </row>
    <row r="67" spans="1:15" x14ac:dyDescent="0.25">
      <c r="A67">
        <v>-273.02963249999999</v>
      </c>
      <c r="B67">
        <v>-272.73851775000003</v>
      </c>
      <c r="C67">
        <v>157.11900700000001</v>
      </c>
      <c r="D67">
        <v>212.50355500000001</v>
      </c>
      <c r="E67">
        <v>-37.9651225</v>
      </c>
      <c r="F67">
        <v>5.7010335000000003</v>
      </c>
      <c r="G67">
        <v>271.6993635</v>
      </c>
      <c r="H67">
        <v>-36</v>
      </c>
      <c r="I67">
        <v>32</v>
      </c>
      <c r="J67">
        <v>1.18</v>
      </c>
      <c r="K67">
        <v>21.233101749999999</v>
      </c>
      <c r="L67">
        <v>-1.831072875057757</v>
      </c>
      <c r="M67">
        <v>-2.0655966195299991</v>
      </c>
      <c r="N67">
        <v>-1.318199254821081</v>
      </c>
      <c r="O67">
        <v>-1.185891203617095</v>
      </c>
    </row>
    <row r="68" spans="1:15" x14ac:dyDescent="0.25">
      <c r="A68">
        <v>-300.37316125000001</v>
      </c>
      <c r="B68">
        <v>-297.72917174999998</v>
      </c>
      <c r="C68">
        <v>158.20290025</v>
      </c>
      <c r="D68">
        <v>194.10116975</v>
      </c>
      <c r="E68">
        <v>-74.58708974999999</v>
      </c>
      <c r="F68">
        <v>5.8472127499999997</v>
      </c>
      <c r="G68">
        <v>270.09854899999999</v>
      </c>
      <c r="H68">
        <v>-36</v>
      </c>
      <c r="I68">
        <v>36</v>
      </c>
      <c r="J68">
        <v>1.18</v>
      </c>
      <c r="K68">
        <v>21.16325775</v>
      </c>
      <c r="L68">
        <v>-2.0429775448613889</v>
      </c>
      <c r="M68">
        <v>-2.191128856050363</v>
      </c>
      <c r="N68">
        <v>-1.5355903483043869</v>
      </c>
      <c r="O68">
        <v>-1.358335355671102</v>
      </c>
    </row>
    <row r="69" spans="1:15" x14ac:dyDescent="0.25">
      <c r="A69">
        <v>-321.18476099999998</v>
      </c>
      <c r="B69">
        <v>-319.17026499999997</v>
      </c>
      <c r="C69">
        <v>154.183468</v>
      </c>
      <c r="D69">
        <v>171.17503375000001</v>
      </c>
      <c r="E69">
        <v>-112.64622125</v>
      </c>
      <c r="F69">
        <v>5.8959394999999999</v>
      </c>
      <c r="G69">
        <v>266.05645750000002</v>
      </c>
      <c r="H69">
        <v>-36</v>
      </c>
      <c r="I69">
        <v>40</v>
      </c>
      <c r="J69">
        <v>1.18</v>
      </c>
      <c r="K69">
        <v>20.998810249999998</v>
      </c>
      <c r="L69">
        <v>-2.2906530953177202</v>
      </c>
      <c r="M69">
        <v>-2.362902600928261</v>
      </c>
      <c r="N69">
        <v>-1.824930098084135</v>
      </c>
      <c r="O69">
        <v>-1.5712384515724189</v>
      </c>
    </row>
    <row r="70" spans="1:15" x14ac:dyDescent="0.25">
      <c r="A70">
        <v>-346.27591699999999</v>
      </c>
      <c r="B70">
        <v>-343.53734574999999</v>
      </c>
      <c r="C70">
        <v>149.12530899999999</v>
      </c>
      <c r="D70">
        <v>148.35821150000001</v>
      </c>
      <c r="E70">
        <v>-153.82343675000001</v>
      </c>
      <c r="F70">
        <v>5.7984865000000001</v>
      </c>
      <c r="G70">
        <v>264.01542675000002</v>
      </c>
      <c r="H70">
        <v>-36</v>
      </c>
      <c r="I70">
        <v>44</v>
      </c>
      <c r="J70">
        <v>1.18</v>
      </c>
      <c r="K70">
        <v>20.920223750000002</v>
      </c>
      <c r="L70">
        <v>-2.592593158337511</v>
      </c>
      <c r="M70">
        <v>-2.5742449515038728</v>
      </c>
      <c r="N70">
        <v>-2.1866925082888549</v>
      </c>
      <c r="O70">
        <v>-1.835352934421469</v>
      </c>
    </row>
    <row r="71" spans="1:15" x14ac:dyDescent="0.25">
      <c r="A71">
        <v>153.09959025000001</v>
      </c>
      <c r="B71">
        <v>-334.95130925000001</v>
      </c>
      <c r="C71">
        <v>-331.18779775000002</v>
      </c>
      <c r="D71">
        <v>141.97013475</v>
      </c>
      <c r="E71">
        <v>-79.142335750000001</v>
      </c>
      <c r="F71">
        <v>5.5061270000000002</v>
      </c>
      <c r="G71">
        <v>261.01388550000001</v>
      </c>
      <c r="H71">
        <v>-32</v>
      </c>
      <c r="I71">
        <v>-44</v>
      </c>
      <c r="J71">
        <v>1.18</v>
      </c>
      <c r="K71">
        <v>20.810183250000001</v>
      </c>
      <c r="L71">
        <v>1.9071926825466949</v>
      </c>
      <c r="M71">
        <v>-1.8781850543569649</v>
      </c>
      <c r="N71">
        <v>-1.3395878557050971</v>
      </c>
      <c r="O71">
        <v>-1.3333594367992041</v>
      </c>
    </row>
    <row r="72" spans="1:15" x14ac:dyDescent="0.25">
      <c r="A72">
        <v>156.97097375000001</v>
      </c>
      <c r="B72">
        <v>-301.13480375</v>
      </c>
      <c r="C72">
        <v>-300.73530575000001</v>
      </c>
      <c r="D72">
        <v>163.03615199999999</v>
      </c>
      <c r="E72">
        <v>-43.318604499999999</v>
      </c>
      <c r="F72">
        <v>5.3112205000000001</v>
      </c>
      <c r="G72">
        <v>258.29249549999997</v>
      </c>
      <c r="H72">
        <v>-32</v>
      </c>
      <c r="I72">
        <v>-40</v>
      </c>
      <c r="J72">
        <v>1.18</v>
      </c>
      <c r="K72">
        <v>20.707046500000001</v>
      </c>
      <c r="L72">
        <v>1.7767143198946529</v>
      </c>
      <c r="M72">
        <v>-1.8018341177684869</v>
      </c>
      <c r="N72">
        <v>-1.17082204593925</v>
      </c>
      <c r="O72">
        <v>-1.1887772777830621</v>
      </c>
    </row>
    <row r="73" spans="1:15" x14ac:dyDescent="0.25">
      <c r="A73">
        <v>158.18946825</v>
      </c>
      <c r="B73">
        <v>-270.24425500000001</v>
      </c>
      <c r="C73">
        <v>-273.80178050000001</v>
      </c>
      <c r="D73">
        <v>181.09955975</v>
      </c>
      <c r="E73">
        <v>-11.108476749999999</v>
      </c>
      <c r="F73">
        <v>5.4574002500000001</v>
      </c>
      <c r="G73">
        <v>257.37202424999998</v>
      </c>
      <c r="H73">
        <v>-32</v>
      </c>
      <c r="I73">
        <v>-36</v>
      </c>
      <c r="J73">
        <v>1.18</v>
      </c>
      <c r="K73">
        <v>20.663346499999999</v>
      </c>
      <c r="L73">
        <v>1.6557049337269081</v>
      </c>
      <c r="M73">
        <v>-1.729885452268318</v>
      </c>
      <c r="N73">
        <v>-1.029037240369467</v>
      </c>
      <c r="O73">
        <v>-1.0635041294783469</v>
      </c>
    </row>
    <row r="74" spans="1:15" x14ac:dyDescent="0.25">
      <c r="A74">
        <v>155.65192049999999</v>
      </c>
      <c r="B74">
        <v>-235.42045225000001</v>
      </c>
      <c r="C74">
        <v>-235.90533450000001</v>
      </c>
      <c r="D74">
        <v>195.503208</v>
      </c>
      <c r="E74">
        <v>15.42324275</v>
      </c>
      <c r="F74">
        <v>5.3112205000000001</v>
      </c>
      <c r="G74">
        <v>254.05032349999999</v>
      </c>
      <c r="H74">
        <v>-32</v>
      </c>
      <c r="I74">
        <v>-32</v>
      </c>
      <c r="J74">
        <v>1.18</v>
      </c>
      <c r="K74">
        <v>20.5326965</v>
      </c>
      <c r="L74">
        <v>1.5594521631284239</v>
      </c>
      <c r="M74">
        <v>-1.7162384432941671</v>
      </c>
      <c r="N74">
        <v>-0.95038030475589319</v>
      </c>
      <c r="O74">
        <v>-0.95972544286181871</v>
      </c>
    </row>
    <row r="75" spans="1:15" x14ac:dyDescent="0.25">
      <c r="A75">
        <v>151.15881725</v>
      </c>
      <c r="B75">
        <v>-203.28277600000001</v>
      </c>
      <c r="C75">
        <v>-193.63276675</v>
      </c>
      <c r="D75">
        <v>209.97558975000001</v>
      </c>
      <c r="E75">
        <v>39.072182750000003</v>
      </c>
      <c r="F75">
        <v>5.2137675000000003</v>
      </c>
      <c r="G75">
        <v>252.44949299999999</v>
      </c>
      <c r="H75">
        <v>-32</v>
      </c>
      <c r="I75">
        <v>-28</v>
      </c>
      <c r="J75">
        <v>1.18</v>
      </c>
      <c r="K75">
        <v>20.470554249999999</v>
      </c>
      <c r="L75">
        <v>1.451579922722039</v>
      </c>
      <c r="M75">
        <v>-1.739825495511671</v>
      </c>
      <c r="N75">
        <v>-0.89834183616721819</v>
      </c>
      <c r="O75">
        <v>-0.8574582035762347</v>
      </c>
    </row>
    <row r="76" spans="1:15" x14ac:dyDescent="0.25">
      <c r="A76">
        <v>142.89892574999999</v>
      </c>
      <c r="B76">
        <v>-175.797878</v>
      </c>
      <c r="C76">
        <v>-153.52569575000001</v>
      </c>
      <c r="D76">
        <v>222.84386075</v>
      </c>
      <c r="E76">
        <v>57.803576500000013</v>
      </c>
      <c r="F76">
        <v>5.4086734999999999</v>
      </c>
      <c r="G76">
        <v>251.84917799999999</v>
      </c>
      <c r="H76">
        <v>-32</v>
      </c>
      <c r="I76">
        <v>-24</v>
      </c>
      <c r="J76">
        <v>1.18</v>
      </c>
      <c r="K76">
        <v>20.43760675</v>
      </c>
      <c r="L76">
        <v>1.3324436380287921</v>
      </c>
      <c r="M76">
        <v>-1.7919468932478859</v>
      </c>
      <c r="N76">
        <v>-0.87226932214379682</v>
      </c>
      <c r="O76">
        <v>-0.76447912358561199</v>
      </c>
    </row>
    <row r="77" spans="1:15" x14ac:dyDescent="0.25">
      <c r="A77">
        <v>130.48673650000001</v>
      </c>
      <c r="B77">
        <v>-150.75927350000001</v>
      </c>
      <c r="C77">
        <v>-111.65915475</v>
      </c>
      <c r="D77">
        <v>230.89125050000001</v>
      </c>
      <c r="E77">
        <v>75.417343000000002</v>
      </c>
      <c r="F77">
        <v>5.2624940000000002</v>
      </c>
      <c r="G77">
        <v>248.247322</v>
      </c>
      <c r="H77">
        <v>-32</v>
      </c>
      <c r="I77">
        <v>-20</v>
      </c>
      <c r="J77">
        <v>1.18</v>
      </c>
      <c r="K77">
        <v>20.2938075</v>
      </c>
      <c r="L77">
        <v>1.171903494240218</v>
      </c>
      <c r="M77">
        <v>-1.8470561439163271</v>
      </c>
      <c r="N77">
        <v>-0.83644056986225812</v>
      </c>
      <c r="O77">
        <v>-0.66047471192432439</v>
      </c>
    </row>
    <row r="78" spans="1:15" x14ac:dyDescent="0.25">
      <c r="A78">
        <v>116.43447125</v>
      </c>
      <c r="B78">
        <v>-139.19929500000001</v>
      </c>
      <c r="C78">
        <v>-78.996028499999994</v>
      </c>
      <c r="D78">
        <v>236.64568700000001</v>
      </c>
      <c r="E78">
        <v>85.1630325</v>
      </c>
      <c r="F78">
        <v>5.0675879999999998</v>
      </c>
      <c r="G78">
        <v>247.24682275000001</v>
      </c>
      <c r="H78">
        <v>-32</v>
      </c>
      <c r="I78">
        <v>-16</v>
      </c>
      <c r="J78">
        <v>1.18</v>
      </c>
      <c r="K78">
        <v>20.2601385</v>
      </c>
      <c r="L78">
        <v>1.006022986523035</v>
      </c>
      <c r="M78">
        <v>-1.934773942822507</v>
      </c>
      <c r="N78">
        <v>-0.83439379828792215</v>
      </c>
      <c r="O78">
        <v>-0.58770623468820349</v>
      </c>
    </row>
    <row r="79" spans="1:15" x14ac:dyDescent="0.25">
      <c r="A79">
        <v>100.32957450000001</v>
      </c>
      <c r="B79">
        <v>-130.853092</v>
      </c>
      <c r="C79">
        <v>-41.686081999999999</v>
      </c>
      <c r="D79">
        <v>241.36236174999999</v>
      </c>
      <c r="E79">
        <v>95.355770000000007</v>
      </c>
      <c r="F79">
        <v>5.1650410000000004</v>
      </c>
      <c r="G79">
        <v>246.56647525</v>
      </c>
      <c r="H79">
        <v>-32</v>
      </c>
      <c r="I79">
        <v>-12</v>
      </c>
      <c r="J79">
        <v>1.18</v>
      </c>
      <c r="K79">
        <v>20.227578749999999</v>
      </c>
      <c r="L79">
        <v>0.78191683859863759</v>
      </c>
      <c r="M79">
        <v>-2.049388645411006</v>
      </c>
      <c r="N79">
        <v>-0.83256535361376027</v>
      </c>
      <c r="O79">
        <v>-0.50343174720961836</v>
      </c>
    </row>
    <row r="80" spans="1:15" x14ac:dyDescent="0.25">
      <c r="A80">
        <v>87.461095749999998</v>
      </c>
      <c r="B80">
        <v>-136.65706225</v>
      </c>
      <c r="C80">
        <v>-9.2034210000000005</v>
      </c>
      <c r="D80">
        <v>262.03130325000001</v>
      </c>
      <c r="E80">
        <v>109.84019075</v>
      </c>
      <c r="F80">
        <v>5.6523067500000002</v>
      </c>
      <c r="G80">
        <v>264.2155305</v>
      </c>
      <c r="H80">
        <v>-32</v>
      </c>
      <c r="I80">
        <v>-8</v>
      </c>
      <c r="J80">
        <v>1.18</v>
      </c>
      <c r="K80">
        <v>20.934157500000001</v>
      </c>
      <c r="L80">
        <v>0.52890253665437603</v>
      </c>
      <c r="M80">
        <v>-2.1813669622769152</v>
      </c>
      <c r="N80">
        <v>-0.84465245406220046</v>
      </c>
      <c r="O80">
        <v>-0.42996894961458382</v>
      </c>
    </row>
    <row r="81" spans="1:15" x14ac:dyDescent="0.25">
      <c r="A81">
        <v>70.406801000000002</v>
      </c>
      <c r="B81">
        <v>-152.48606475</v>
      </c>
      <c r="C81">
        <v>27.2778995</v>
      </c>
      <c r="D81">
        <v>296.97927099999998</v>
      </c>
      <c r="E81">
        <v>127.94570349999999</v>
      </c>
      <c r="F81">
        <v>6.5293850000000004</v>
      </c>
      <c r="G81">
        <v>298.19295475000001</v>
      </c>
      <c r="H81">
        <v>-32</v>
      </c>
      <c r="I81">
        <v>-4</v>
      </c>
      <c r="J81">
        <v>1.18</v>
      </c>
      <c r="K81">
        <v>22.233818750000001</v>
      </c>
      <c r="L81">
        <v>0.226334814515644</v>
      </c>
      <c r="M81">
        <v>-2.3587927853759858</v>
      </c>
      <c r="N81">
        <v>-0.89346847749933123</v>
      </c>
      <c r="O81">
        <v>-0.3628027222480425</v>
      </c>
    </row>
    <row r="82" spans="1:15" x14ac:dyDescent="0.25">
      <c r="A82">
        <v>39.990072249999997</v>
      </c>
      <c r="B82">
        <v>-159.1054685</v>
      </c>
      <c r="C82">
        <v>64.807626499999998</v>
      </c>
      <c r="D82">
        <v>308.65812675000001</v>
      </c>
      <c r="E82">
        <v>134.24911850000001</v>
      </c>
      <c r="F82">
        <v>6.4319315000000001</v>
      </c>
      <c r="G82">
        <v>309.75887299999999</v>
      </c>
      <c r="H82">
        <v>-32</v>
      </c>
      <c r="I82">
        <v>0</v>
      </c>
      <c r="J82">
        <v>1.18</v>
      </c>
      <c r="K82">
        <v>22.674064000000001</v>
      </c>
      <c r="L82">
        <v>-0.12803304892010681</v>
      </c>
      <c r="M82">
        <v>-2.413592342029848</v>
      </c>
      <c r="N82">
        <v>-0.90562322758834335</v>
      </c>
      <c r="O82">
        <v>-0.34048756512885159</v>
      </c>
    </row>
    <row r="83" spans="1:15" x14ac:dyDescent="0.25">
      <c r="A83">
        <v>6.4986142500000001</v>
      </c>
      <c r="B83">
        <v>-151.862503</v>
      </c>
      <c r="C83">
        <v>93.124275249999997</v>
      </c>
      <c r="D83">
        <v>295.77733625000002</v>
      </c>
      <c r="E83">
        <v>130.8515395</v>
      </c>
      <c r="F83">
        <v>6.5781112500000001</v>
      </c>
      <c r="G83">
        <v>297.23245974999998</v>
      </c>
      <c r="H83">
        <v>-32</v>
      </c>
      <c r="I83">
        <v>4</v>
      </c>
      <c r="J83">
        <v>1.18</v>
      </c>
      <c r="K83">
        <v>22.195363749999999</v>
      </c>
      <c r="L83">
        <v>-0.42561546288244689</v>
      </c>
      <c r="M83">
        <v>-2.1993454463645028</v>
      </c>
      <c r="N83">
        <v>-0.81746990178738743</v>
      </c>
      <c r="O83">
        <v>-0.38942489348921272</v>
      </c>
    </row>
    <row r="84" spans="1:15" x14ac:dyDescent="0.25">
      <c r="A84">
        <v>-29.012074250000001</v>
      </c>
      <c r="B84">
        <v>-150.13570774999999</v>
      </c>
      <c r="C84">
        <v>117.87311925</v>
      </c>
      <c r="D84">
        <v>286.35767375</v>
      </c>
      <c r="E84">
        <v>125.71046250000001</v>
      </c>
      <c r="F84">
        <v>6.38320475</v>
      </c>
      <c r="G84">
        <v>290.18884274999999</v>
      </c>
      <c r="H84">
        <v>-32</v>
      </c>
      <c r="I84">
        <v>8</v>
      </c>
      <c r="J84">
        <v>1.18</v>
      </c>
      <c r="K84">
        <v>21.9323105</v>
      </c>
      <c r="L84">
        <v>-0.6822872322261111</v>
      </c>
      <c r="M84">
        <v>-2.027526551476996</v>
      </c>
      <c r="N84">
        <v>-0.76401761433440829</v>
      </c>
      <c r="O84">
        <v>-0.4457244656869086</v>
      </c>
    </row>
    <row r="85" spans="1:15" x14ac:dyDescent="0.25">
      <c r="A85">
        <v>-64.736741999999992</v>
      </c>
      <c r="B85">
        <v>-151.862503</v>
      </c>
      <c r="C85">
        <v>136.75089274999999</v>
      </c>
      <c r="D85">
        <v>275.90403750000002</v>
      </c>
      <c r="E85">
        <v>116.32240874999999</v>
      </c>
      <c r="F85">
        <v>6.1395719999999994</v>
      </c>
      <c r="G85">
        <v>283.54543324999997</v>
      </c>
      <c r="H85">
        <v>-32</v>
      </c>
      <c r="I85">
        <v>12</v>
      </c>
      <c r="J85">
        <v>1.1775</v>
      </c>
      <c r="K85">
        <v>21.70672575</v>
      </c>
      <c r="L85">
        <v>-0.89700617121042325</v>
      </c>
      <c r="M85">
        <v>-1.904392500247287</v>
      </c>
      <c r="N85">
        <v>-0.74446783775307568</v>
      </c>
      <c r="O85">
        <v>-0.50947340614891912</v>
      </c>
    </row>
    <row r="86" spans="1:15" x14ac:dyDescent="0.25">
      <c r="A86">
        <v>-100.89861500000001</v>
      </c>
      <c r="B86">
        <v>-152.72590224999999</v>
      </c>
      <c r="C86">
        <v>151.92536175000001</v>
      </c>
      <c r="D86">
        <v>265.064865</v>
      </c>
      <c r="E86">
        <v>102.41916075</v>
      </c>
      <c r="F86">
        <v>5.7497600000000002</v>
      </c>
      <c r="G86">
        <v>278.58290075000002</v>
      </c>
      <c r="H86">
        <v>-32</v>
      </c>
      <c r="I86">
        <v>16</v>
      </c>
      <c r="J86">
        <v>1.17</v>
      </c>
      <c r="K86">
        <v>21.59586625</v>
      </c>
      <c r="L86">
        <v>-1.10291780447598</v>
      </c>
      <c r="M86">
        <v>-1.822579847612495</v>
      </c>
      <c r="N86">
        <v>-0.76850023648023735</v>
      </c>
      <c r="O86">
        <v>-0.57828751763919672</v>
      </c>
    </row>
    <row r="87" spans="1:15" x14ac:dyDescent="0.25">
      <c r="A87">
        <v>-134.690483</v>
      </c>
      <c r="B87">
        <v>-159.44123049999999</v>
      </c>
      <c r="C87">
        <v>164.88689024999999</v>
      </c>
      <c r="D87">
        <v>253.71745300000001</v>
      </c>
      <c r="E87">
        <v>84.715982499999996</v>
      </c>
      <c r="F87">
        <v>6.1395722499999996</v>
      </c>
      <c r="G87">
        <v>276.10163899999998</v>
      </c>
      <c r="H87">
        <v>-32</v>
      </c>
      <c r="I87">
        <v>20</v>
      </c>
      <c r="J87">
        <v>1.18</v>
      </c>
      <c r="K87">
        <v>21.390715749999998</v>
      </c>
      <c r="L87">
        <v>-1.2925043103442291</v>
      </c>
      <c r="M87">
        <v>-1.7825489759654869</v>
      </c>
      <c r="N87">
        <v>-0.82573075320436229</v>
      </c>
      <c r="O87">
        <v>-0.6609956081372903</v>
      </c>
    </row>
    <row r="88" spans="1:15" x14ac:dyDescent="0.25">
      <c r="A88">
        <v>-170.37871575</v>
      </c>
      <c r="B88">
        <v>-183.52050025</v>
      </c>
      <c r="C88">
        <v>171.20958325000001</v>
      </c>
      <c r="D88">
        <v>237.25904449999999</v>
      </c>
      <c r="E88">
        <v>57.982396000000001</v>
      </c>
      <c r="F88">
        <v>5.4573999999999998</v>
      </c>
      <c r="G88">
        <v>270.778885</v>
      </c>
      <c r="H88">
        <v>-32</v>
      </c>
      <c r="I88">
        <v>24</v>
      </c>
      <c r="J88">
        <v>1.18</v>
      </c>
      <c r="K88">
        <v>21.206070499999999</v>
      </c>
      <c r="L88">
        <v>-1.4539777570851919</v>
      </c>
      <c r="M88">
        <v>-1.7910717013700579</v>
      </c>
      <c r="N88">
        <v>-0.9057868822088968</v>
      </c>
      <c r="O88">
        <v>-0.77642162465721731</v>
      </c>
    </row>
    <row r="89" spans="1:15" x14ac:dyDescent="0.25">
      <c r="A89">
        <v>-202.44095200000001</v>
      </c>
      <c r="B89">
        <v>-209.13471974999999</v>
      </c>
      <c r="C89">
        <v>177.44196324999999</v>
      </c>
      <c r="D89">
        <v>221.76261925</v>
      </c>
      <c r="E89">
        <v>28.477101000000001</v>
      </c>
      <c r="F89">
        <v>5.847213</v>
      </c>
      <c r="G89">
        <v>268.93793475000001</v>
      </c>
      <c r="H89">
        <v>-32</v>
      </c>
      <c r="I89">
        <v>28</v>
      </c>
      <c r="J89">
        <v>1.18</v>
      </c>
      <c r="K89">
        <v>21.11673425</v>
      </c>
      <c r="L89">
        <v>-1.6216071181039371</v>
      </c>
      <c r="M89">
        <v>-1.83936564644065</v>
      </c>
      <c r="N89">
        <v>-1.0264764836605449</v>
      </c>
      <c r="O89">
        <v>-0.90340103405054106</v>
      </c>
    </row>
    <row r="90" spans="1:15" x14ac:dyDescent="0.25">
      <c r="A90">
        <v>-235.73075850000001</v>
      </c>
      <c r="B90">
        <v>-239.16185375000001</v>
      </c>
      <c r="C90">
        <v>179.97104250000001</v>
      </c>
      <c r="D90">
        <v>203.82819375</v>
      </c>
      <c r="E90">
        <v>-7.80565</v>
      </c>
      <c r="F90">
        <v>5.7497600000000002</v>
      </c>
      <c r="G90">
        <v>267.05698425000003</v>
      </c>
      <c r="H90">
        <v>-32</v>
      </c>
      <c r="I90">
        <v>32</v>
      </c>
      <c r="J90">
        <v>1.18</v>
      </c>
      <c r="K90">
        <v>21.045034999999999</v>
      </c>
      <c r="L90">
        <v>-1.8102422747627529</v>
      </c>
      <c r="M90">
        <v>-1.9290678829276919</v>
      </c>
      <c r="N90">
        <v>-1.196937397309505</v>
      </c>
      <c r="O90">
        <v>-1.0590383084618209</v>
      </c>
    </row>
    <row r="91" spans="1:15" x14ac:dyDescent="0.25">
      <c r="A91">
        <v>-262.55083474999998</v>
      </c>
      <c r="B91">
        <v>-267.03048725000002</v>
      </c>
      <c r="C91">
        <v>179.24845149999999</v>
      </c>
      <c r="D91">
        <v>182.76464100000001</v>
      </c>
      <c r="E91">
        <v>-45.763450749999997</v>
      </c>
      <c r="F91">
        <v>5.7984865000000001</v>
      </c>
      <c r="G91">
        <v>262.89483675000002</v>
      </c>
      <c r="H91">
        <v>-32</v>
      </c>
      <c r="I91">
        <v>36</v>
      </c>
      <c r="J91">
        <v>1.18</v>
      </c>
      <c r="K91">
        <v>20.874782249999999</v>
      </c>
      <c r="L91">
        <v>-2.0171039703546012</v>
      </c>
      <c r="M91">
        <v>-2.0536107740139391</v>
      </c>
      <c r="N91">
        <v>-1.4092307416642671</v>
      </c>
      <c r="O91">
        <v>-1.2354179787259301</v>
      </c>
    </row>
    <row r="92" spans="1:15" x14ac:dyDescent="0.25">
      <c r="A92">
        <v>-289.18262449999997</v>
      </c>
      <c r="B92">
        <v>-295.71456875000001</v>
      </c>
      <c r="C92">
        <v>175.63547925</v>
      </c>
      <c r="D92">
        <v>161.40478525</v>
      </c>
      <c r="E92">
        <v>-87.3785515</v>
      </c>
      <c r="F92">
        <v>5.60358</v>
      </c>
      <c r="G92">
        <v>261.4941255</v>
      </c>
      <c r="H92">
        <v>-32</v>
      </c>
      <c r="I92">
        <v>40</v>
      </c>
      <c r="J92">
        <v>1.18</v>
      </c>
      <c r="K92">
        <v>20.825771249999999</v>
      </c>
      <c r="L92">
        <v>-2.266665877822136</v>
      </c>
      <c r="M92">
        <v>-2.2291534740441801</v>
      </c>
      <c r="N92">
        <v>-1.7013181103282711</v>
      </c>
      <c r="O92">
        <v>-1.4534561005546871</v>
      </c>
    </row>
    <row r="93" spans="1:15" x14ac:dyDescent="0.25">
      <c r="A93">
        <v>-310.71366899999998</v>
      </c>
      <c r="B93">
        <v>-319.41009524999998</v>
      </c>
      <c r="C93">
        <v>170.4418335</v>
      </c>
      <c r="D93">
        <v>137.57963175</v>
      </c>
      <c r="E93">
        <v>-129.78837425</v>
      </c>
      <c r="F93">
        <v>5.359947</v>
      </c>
      <c r="G93">
        <v>258.61265550000002</v>
      </c>
      <c r="H93">
        <v>-32</v>
      </c>
      <c r="I93">
        <v>44</v>
      </c>
      <c r="J93">
        <v>1.18</v>
      </c>
      <c r="K93">
        <v>20.718151750000001</v>
      </c>
      <c r="L93">
        <v>-2.5970816687537912</v>
      </c>
      <c r="M93">
        <v>-2.4666477856297622</v>
      </c>
      <c r="N93">
        <v>-2.0964526478361258</v>
      </c>
      <c r="O93">
        <v>-1.729504930587237</v>
      </c>
    </row>
    <row r="94" spans="1:15" x14ac:dyDescent="0.25">
      <c r="A94">
        <v>174.32417674999999</v>
      </c>
      <c r="B94">
        <v>-313.12647275</v>
      </c>
      <c r="C94">
        <v>-302.31433099999998</v>
      </c>
      <c r="D94">
        <v>128.51803000000001</v>
      </c>
      <c r="E94">
        <v>-55.082004499999996</v>
      </c>
      <c r="F94">
        <v>5.6035802500000003</v>
      </c>
      <c r="G94">
        <v>255.77119425000001</v>
      </c>
      <c r="H94">
        <v>-28</v>
      </c>
      <c r="I94">
        <v>-44</v>
      </c>
      <c r="J94">
        <v>1.18</v>
      </c>
      <c r="K94">
        <v>20.59157325</v>
      </c>
      <c r="L94">
        <v>1.886637736317099</v>
      </c>
      <c r="M94">
        <v>-1.748127140799943</v>
      </c>
      <c r="N94">
        <v>-1.230424063391566</v>
      </c>
      <c r="O94">
        <v>-1.240200851289514</v>
      </c>
    </row>
    <row r="95" spans="1:15" x14ac:dyDescent="0.25">
      <c r="A95">
        <v>178.42060475</v>
      </c>
      <c r="B95">
        <v>-281.660324</v>
      </c>
      <c r="C95">
        <v>-274.34316250000001</v>
      </c>
      <c r="D95">
        <v>149.72591025</v>
      </c>
      <c r="E95">
        <v>-20.160884500000002</v>
      </c>
      <c r="F95">
        <v>5.4574002500000001</v>
      </c>
      <c r="G95">
        <v>255.05083049999999</v>
      </c>
      <c r="H95">
        <v>-28</v>
      </c>
      <c r="I95">
        <v>-40</v>
      </c>
      <c r="J95">
        <v>1.18</v>
      </c>
      <c r="K95">
        <v>20.56792725</v>
      </c>
      <c r="L95">
        <v>1.755989359846734</v>
      </c>
      <c r="M95">
        <v>-1.673080645731996</v>
      </c>
      <c r="N95">
        <v>-1.0673879662288031</v>
      </c>
      <c r="O95">
        <v>-1.0993599655702271</v>
      </c>
    </row>
    <row r="96" spans="1:15" x14ac:dyDescent="0.25">
      <c r="A96">
        <v>177.64171225000001</v>
      </c>
      <c r="B96">
        <v>-242.90325525</v>
      </c>
      <c r="C96">
        <v>-241.58980174999999</v>
      </c>
      <c r="D96">
        <v>168.61144275000001</v>
      </c>
      <c r="E96">
        <v>14.707964</v>
      </c>
      <c r="F96">
        <v>5.2624940000000002</v>
      </c>
      <c r="G96">
        <v>250.968727</v>
      </c>
      <c r="H96">
        <v>-28</v>
      </c>
      <c r="I96">
        <v>-36</v>
      </c>
      <c r="J96">
        <v>1.18</v>
      </c>
      <c r="K96">
        <v>20.407134750000001</v>
      </c>
      <c r="L96">
        <v>1.6315581679286371</v>
      </c>
      <c r="M96">
        <v>-1.6015224361768261</v>
      </c>
      <c r="N96">
        <v>-0.9194968240049729</v>
      </c>
      <c r="O96">
        <v>-0.96324979177449865</v>
      </c>
    </row>
    <row r="97" spans="1:15" x14ac:dyDescent="0.25">
      <c r="A97">
        <v>195.24332050000001</v>
      </c>
      <c r="B97">
        <v>-225.97100825000001</v>
      </c>
      <c r="C97">
        <v>-222.41600424999999</v>
      </c>
      <c r="D97">
        <v>204.45452499999999</v>
      </c>
      <c r="E97">
        <v>52.260157499999998</v>
      </c>
      <c r="F97">
        <v>5.9933927499999999</v>
      </c>
      <c r="G97">
        <v>275.14113624999999</v>
      </c>
      <c r="H97">
        <v>-28</v>
      </c>
      <c r="I97">
        <v>-32</v>
      </c>
      <c r="J97">
        <v>1.18</v>
      </c>
      <c r="K97">
        <v>21.358369</v>
      </c>
      <c r="L97">
        <v>1.5107706828078751</v>
      </c>
      <c r="M97">
        <v>-1.5569650163867621</v>
      </c>
      <c r="N97">
        <v>-0.80621777340246004</v>
      </c>
      <c r="O97">
        <v>-0.83262942824020936</v>
      </c>
    </row>
    <row r="98" spans="1:15" x14ac:dyDescent="0.25">
      <c r="A98">
        <v>215.22016525000001</v>
      </c>
      <c r="B98">
        <v>-211.91679375000001</v>
      </c>
      <c r="C98">
        <v>-196.068962</v>
      </c>
      <c r="D98">
        <v>248.05337875000001</v>
      </c>
      <c r="E98">
        <v>91.198205999999999</v>
      </c>
      <c r="F98">
        <v>6.8217439999999998</v>
      </c>
      <c r="G98">
        <v>308.39817849999997</v>
      </c>
      <c r="H98">
        <v>-28</v>
      </c>
      <c r="I98">
        <v>-28</v>
      </c>
      <c r="J98">
        <v>1.18</v>
      </c>
      <c r="K98">
        <v>22.608509999999999</v>
      </c>
      <c r="L98">
        <v>1.393319235090057</v>
      </c>
      <c r="M98">
        <v>-1.558206655131104</v>
      </c>
      <c r="N98">
        <v>-0.73581622240147504</v>
      </c>
      <c r="O98">
        <v>-0.71416473380037382</v>
      </c>
    </row>
    <row r="99" spans="1:15" x14ac:dyDescent="0.25">
      <c r="A99">
        <v>202.8841515</v>
      </c>
      <c r="B99">
        <v>-172.63207625000001</v>
      </c>
      <c r="C99">
        <v>-142.83348824999999</v>
      </c>
      <c r="D99">
        <v>262.55712125000002</v>
      </c>
      <c r="E99">
        <v>116.00947175</v>
      </c>
      <c r="F99">
        <v>6.4319312499999999</v>
      </c>
      <c r="G99">
        <v>304.7963335</v>
      </c>
      <c r="H99">
        <v>-28</v>
      </c>
      <c r="I99">
        <v>-24</v>
      </c>
      <c r="J99">
        <v>1.18</v>
      </c>
      <c r="K99">
        <v>22.487814749999998</v>
      </c>
      <c r="L99">
        <v>1.2629303107852099</v>
      </c>
      <c r="M99">
        <v>-1.589789625352356</v>
      </c>
      <c r="N99">
        <v>-0.68967092513832695</v>
      </c>
      <c r="O99">
        <v>-0.59970135478952813</v>
      </c>
    </row>
    <row r="100" spans="1:15" x14ac:dyDescent="0.25">
      <c r="A100">
        <v>185.77768699999999</v>
      </c>
      <c r="B100">
        <v>-139.10335925000001</v>
      </c>
      <c r="C100">
        <v>-93.658342000000005</v>
      </c>
      <c r="D100">
        <v>267.90290850000002</v>
      </c>
      <c r="E100">
        <v>134.11499774999999</v>
      </c>
      <c r="F100">
        <v>6.5293850000000004</v>
      </c>
      <c r="G100">
        <v>295.23142999999999</v>
      </c>
      <c r="H100">
        <v>-28</v>
      </c>
      <c r="I100">
        <v>-20</v>
      </c>
      <c r="J100">
        <v>1.18</v>
      </c>
      <c r="K100">
        <v>22.120700750000001</v>
      </c>
      <c r="L100">
        <v>1.115548435514242</v>
      </c>
      <c r="M100">
        <v>-1.624807760586408</v>
      </c>
      <c r="N100">
        <v>-0.6432106949857237</v>
      </c>
      <c r="O100">
        <v>-0.4906661592299264</v>
      </c>
    </row>
    <row r="101" spans="1:15" x14ac:dyDescent="0.25">
      <c r="A101">
        <v>166.7647015</v>
      </c>
      <c r="B101">
        <v>-116.65495875000001</v>
      </c>
      <c r="C101">
        <v>-49.265369999999997</v>
      </c>
      <c r="D101">
        <v>270.40053575000002</v>
      </c>
      <c r="E101">
        <v>147.70532249999999</v>
      </c>
      <c r="F101">
        <v>6.38320475</v>
      </c>
      <c r="G101">
        <v>287.90767699999998</v>
      </c>
      <c r="H101">
        <v>-28</v>
      </c>
      <c r="I101">
        <v>-16</v>
      </c>
      <c r="J101">
        <v>1.1775</v>
      </c>
      <c r="K101">
        <v>21.867257250000002</v>
      </c>
      <c r="L101">
        <v>0.93655706528328242</v>
      </c>
      <c r="M101">
        <v>-1.6780047085475489</v>
      </c>
      <c r="N101">
        <v>-0.60782993126329488</v>
      </c>
      <c r="O101">
        <v>-0.38732952604517912</v>
      </c>
    </row>
    <row r="102" spans="1:15" x14ac:dyDescent="0.25">
      <c r="A102">
        <v>143.6925545</v>
      </c>
      <c r="B102">
        <v>-105.047016</v>
      </c>
      <c r="C102">
        <v>-10.647094750000001</v>
      </c>
      <c r="D102">
        <v>272.10943600000002</v>
      </c>
      <c r="E102">
        <v>155.84162524999999</v>
      </c>
      <c r="F102">
        <v>5.9933924999999997</v>
      </c>
      <c r="G102">
        <v>281.86459324999998</v>
      </c>
      <c r="H102">
        <v>-28</v>
      </c>
      <c r="I102">
        <v>-12</v>
      </c>
      <c r="J102">
        <v>1.1775</v>
      </c>
      <c r="K102">
        <v>21.646623999999999</v>
      </c>
      <c r="L102">
        <v>0.72226745241201762</v>
      </c>
      <c r="M102">
        <v>-1.7649812417188531</v>
      </c>
      <c r="N102">
        <v>-0.58975382458080139</v>
      </c>
      <c r="O102">
        <v>-0.29875667324179472</v>
      </c>
    </row>
    <row r="103" spans="1:15" x14ac:dyDescent="0.25">
      <c r="A103">
        <v>121.01621425</v>
      </c>
      <c r="B103">
        <v>-98.859325499999997</v>
      </c>
      <c r="C103">
        <v>23.574605999999999</v>
      </c>
      <c r="D103">
        <v>271.84651924999997</v>
      </c>
      <c r="E103">
        <v>160.043892</v>
      </c>
      <c r="F103">
        <v>6.0421192499999998</v>
      </c>
      <c r="G103">
        <v>278.30274200000002</v>
      </c>
      <c r="H103">
        <v>-28</v>
      </c>
      <c r="I103">
        <v>-8</v>
      </c>
      <c r="J103">
        <v>1.18</v>
      </c>
      <c r="K103">
        <v>21.481588500000001</v>
      </c>
      <c r="L103">
        <v>0.49290549199193401</v>
      </c>
      <c r="M103">
        <v>-1.8752368207770971</v>
      </c>
      <c r="N103">
        <v>-0.59823869895230308</v>
      </c>
      <c r="O103">
        <v>-0.22096497195347631</v>
      </c>
    </row>
    <row r="104" spans="1:15" x14ac:dyDescent="0.25">
      <c r="A104">
        <v>94.249107249999994</v>
      </c>
      <c r="B104">
        <v>-94.782156000000001</v>
      </c>
      <c r="C104">
        <v>54.600983499999998</v>
      </c>
      <c r="D104">
        <v>268.64781199999999</v>
      </c>
      <c r="E104">
        <v>161.34034349999999</v>
      </c>
      <c r="F104">
        <v>5.8472150000000003</v>
      </c>
      <c r="G104">
        <v>273.18012199999998</v>
      </c>
      <c r="H104">
        <v>-28</v>
      </c>
      <c r="I104">
        <v>-4</v>
      </c>
      <c r="J104">
        <v>1.175</v>
      </c>
      <c r="K104">
        <v>21.331685499999999</v>
      </c>
      <c r="L104">
        <v>0.21853009919652361</v>
      </c>
      <c r="M104">
        <v>-2.0031380620427419</v>
      </c>
      <c r="N104">
        <v>-0.61644025847077544</v>
      </c>
      <c r="O104">
        <v>-0.14296377383781769</v>
      </c>
    </row>
    <row r="105" spans="1:15" x14ac:dyDescent="0.25">
      <c r="A105">
        <v>65.762435750000009</v>
      </c>
      <c r="B105">
        <v>-93.103321250000008</v>
      </c>
      <c r="C105">
        <v>84.453147749999999</v>
      </c>
      <c r="D105">
        <v>266.54456299999998</v>
      </c>
      <c r="E105">
        <v>161.25093050000001</v>
      </c>
      <c r="F105">
        <v>5.7984865000000001</v>
      </c>
      <c r="G105">
        <v>270.65882099999999</v>
      </c>
      <c r="H105">
        <v>-28</v>
      </c>
      <c r="I105">
        <v>0</v>
      </c>
      <c r="J105">
        <v>1.18</v>
      </c>
      <c r="K105">
        <v>21.18763225</v>
      </c>
      <c r="L105">
        <v>-0.10684816530839231</v>
      </c>
      <c r="M105">
        <v>-2.056075744318687</v>
      </c>
      <c r="N105">
        <v>-0.6254849524674303</v>
      </c>
      <c r="O105">
        <v>-0.11130348576289111</v>
      </c>
    </row>
    <row r="106" spans="1:15" x14ac:dyDescent="0.25">
      <c r="A106">
        <v>39.084840499999999</v>
      </c>
      <c r="B106">
        <v>-91.424486000000002</v>
      </c>
      <c r="C106">
        <v>110.0149115</v>
      </c>
      <c r="D106">
        <v>263.9154815</v>
      </c>
      <c r="E106">
        <v>161.16151450000001</v>
      </c>
      <c r="F106">
        <v>5.847213</v>
      </c>
      <c r="G106">
        <v>269.37816600000002</v>
      </c>
      <c r="H106">
        <v>-28</v>
      </c>
      <c r="I106">
        <v>4</v>
      </c>
      <c r="J106">
        <v>1.18</v>
      </c>
      <c r="K106">
        <v>21.13439425</v>
      </c>
      <c r="L106">
        <v>-0.3786411959975825</v>
      </c>
      <c r="M106">
        <v>-1.896909539314128</v>
      </c>
      <c r="N106">
        <v>-0.57773847879320839</v>
      </c>
      <c r="O106">
        <v>-0.17092336144776751</v>
      </c>
    </row>
    <row r="107" spans="1:15" x14ac:dyDescent="0.25">
      <c r="A107">
        <v>6.3645357499999999</v>
      </c>
      <c r="B107">
        <v>-91.856185999999994</v>
      </c>
      <c r="C107">
        <v>132.18950649999999</v>
      </c>
      <c r="D107">
        <v>257.29896550000001</v>
      </c>
      <c r="E107">
        <v>155.26046375000001</v>
      </c>
      <c r="F107">
        <v>5.5061270000000002</v>
      </c>
      <c r="G107">
        <v>264.57570674999999</v>
      </c>
      <c r="H107">
        <v>-28</v>
      </c>
      <c r="I107">
        <v>8</v>
      </c>
      <c r="J107">
        <v>1.18</v>
      </c>
      <c r="K107">
        <v>20.954735750000001</v>
      </c>
      <c r="L107">
        <v>-0.63545821172906469</v>
      </c>
      <c r="M107">
        <v>-1.7633592613359601</v>
      </c>
      <c r="N107">
        <v>-0.55208660256000797</v>
      </c>
      <c r="O107">
        <v>-0.24369162508935421</v>
      </c>
    </row>
    <row r="108" spans="1:15" x14ac:dyDescent="0.25">
      <c r="A108">
        <v>-25.361564749999999</v>
      </c>
      <c r="B108">
        <v>-95.789455500000003</v>
      </c>
      <c r="C108">
        <v>150.07371524999999</v>
      </c>
      <c r="D108">
        <v>252.17227575000001</v>
      </c>
      <c r="E108">
        <v>146.76651799999999</v>
      </c>
      <c r="F108">
        <v>5.6035802500000003</v>
      </c>
      <c r="G108">
        <v>263.01489299999997</v>
      </c>
      <c r="H108">
        <v>-28</v>
      </c>
      <c r="I108">
        <v>12</v>
      </c>
      <c r="J108">
        <v>1.18</v>
      </c>
      <c r="K108">
        <v>20.887562750000001</v>
      </c>
      <c r="L108">
        <v>-0.84610863309033779</v>
      </c>
      <c r="M108">
        <v>-1.678202842642694</v>
      </c>
      <c r="N108">
        <v>-0.56066324819270341</v>
      </c>
      <c r="O108">
        <v>-0.31917578214686843</v>
      </c>
    </row>
    <row r="109" spans="1:15" x14ac:dyDescent="0.25">
      <c r="A109">
        <v>-56.800514249999999</v>
      </c>
      <c r="B109">
        <v>-96.077255500000007</v>
      </c>
      <c r="C109">
        <v>165.02237675000001</v>
      </c>
      <c r="D109">
        <v>243.45250325000001</v>
      </c>
      <c r="E109">
        <v>133.98088824999999</v>
      </c>
      <c r="F109">
        <v>5.50612675</v>
      </c>
      <c r="G109">
        <v>260.81378174999998</v>
      </c>
      <c r="H109">
        <v>-28</v>
      </c>
      <c r="I109">
        <v>16</v>
      </c>
      <c r="J109">
        <v>1.18</v>
      </c>
      <c r="K109">
        <v>20.802035</v>
      </c>
      <c r="L109">
        <v>-1.0541989806173859</v>
      </c>
      <c r="M109">
        <v>-1.613586245966983</v>
      </c>
      <c r="N109">
        <v>-0.60277719454583956</v>
      </c>
      <c r="O109">
        <v>-0.38942412755860928</v>
      </c>
    </row>
    <row r="110" spans="1:15" x14ac:dyDescent="0.25">
      <c r="A110">
        <v>-88.697498499999995</v>
      </c>
      <c r="B110">
        <v>-106.19821575</v>
      </c>
      <c r="C110">
        <v>176.40323649999999</v>
      </c>
      <c r="D110">
        <v>231.49020024999999</v>
      </c>
      <c r="E110">
        <v>113.86363775</v>
      </c>
      <c r="F110">
        <v>5.4086734999999999</v>
      </c>
      <c r="G110">
        <v>257.85227924999998</v>
      </c>
      <c r="H110">
        <v>-28</v>
      </c>
      <c r="I110">
        <v>20</v>
      </c>
      <c r="J110">
        <v>1.18</v>
      </c>
      <c r="K110">
        <v>20.685030749999999</v>
      </c>
      <c r="L110">
        <v>-1.2545682207254529</v>
      </c>
      <c r="M110">
        <v>-1.5980706861905269</v>
      </c>
      <c r="N110">
        <v>-0.68142711660819189</v>
      </c>
      <c r="O110">
        <v>-0.48676016325964661</v>
      </c>
    </row>
    <row r="111" spans="1:15" x14ac:dyDescent="0.25">
      <c r="A111">
        <v>-122.032303</v>
      </c>
      <c r="B111">
        <v>-129.98968875</v>
      </c>
      <c r="C111">
        <v>184.84855275000001</v>
      </c>
      <c r="D111">
        <v>218.6077195</v>
      </c>
      <c r="E111">
        <v>87.398281249999997</v>
      </c>
      <c r="F111">
        <v>5.3112250000000003</v>
      </c>
      <c r="G111">
        <v>256.69165049999998</v>
      </c>
      <c r="H111">
        <v>-28</v>
      </c>
      <c r="I111">
        <v>24</v>
      </c>
      <c r="J111">
        <v>1.18</v>
      </c>
      <c r="K111">
        <v>20.641427</v>
      </c>
      <c r="L111">
        <v>-1.4379922893688979</v>
      </c>
      <c r="M111">
        <v>-1.6334709120512569</v>
      </c>
      <c r="N111">
        <v>-0.79327823716305201</v>
      </c>
      <c r="O111">
        <v>-0.6153473997765605</v>
      </c>
    </row>
    <row r="112" spans="1:15" x14ac:dyDescent="0.25">
      <c r="A112">
        <v>-154.18569550000001</v>
      </c>
      <c r="B112">
        <v>-160.49650199999999</v>
      </c>
      <c r="C112">
        <v>188.867977</v>
      </c>
      <c r="D112">
        <v>201.82545099999999</v>
      </c>
      <c r="E112">
        <v>54.495406000000003</v>
      </c>
      <c r="F112">
        <v>5.3112205000000001</v>
      </c>
      <c r="G112">
        <v>253.69012799999999</v>
      </c>
      <c r="H112">
        <v>-28</v>
      </c>
      <c r="I112">
        <v>28</v>
      </c>
      <c r="J112">
        <v>1.18</v>
      </c>
      <c r="K112">
        <v>20.517822500000001</v>
      </c>
      <c r="L112">
        <v>-1.6194077026133391</v>
      </c>
      <c r="M112">
        <v>-1.710384241329475</v>
      </c>
      <c r="N112">
        <v>-0.94031162370105736</v>
      </c>
      <c r="O112">
        <v>-0.76779772496247667</v>
      </c>
    </row>
    <row r="113" spans="1:15" x14ac:dyDescent="0.25">
      <c r="A113">
        <v>-189.78292074999999</v>
      </c>
      <c r="B113">
        <v>-196.58118049999999</v>
      </c>
      <c r="C113">
        <v>194.15194725000001</v>
      </c>
      <c r="D113">
        <v>186.31389250000001</v>
      </c>
      <c r="E113">
        <v>19.893743749999999</v>
      </c>
      <c r="F113">
        <v>5.3112205000000001</v>
      </c>
      <c r="G113">
        <v>255.01079924999999</v>
      </c>
      <c r="H113">
        <v>-28</v>
      </c>
      <c r="I113">
        <v>32</v>
      </c>
      <c r="J113">
        <v>1.18</v>
      </c>
      <c r="K113">
        <v>20.572216749999999</v>
      </c>
      <c r="L113">
        <v>-1.801881289068642</v>
      </c>
      <c r="M113">
        <v>-1.7970094034229691</v>
      </c>
      <c r="N113">
        <v>-1.1034692665497281</v>
      </c>
      <c r="O113">
        <v>-0.9315775537305695</v>
      </c>
    </row>
    <row r="114" spans="1:15" x14ac:dyDescent="0.25">
      <c r="A114">
        <v>-255.71491624999999</v>
      </c>
      <c r="B114">
        <v>-265.70575700000001</v>
      </c>
      <c r="C114">
        <v>222.55892574999999</v>
      </c>
      <c r="D114">
        <v>190.91477574999999</v>
      </c>
      <c r="E114">
        <v>-23.549228500000002</v>
      </c>
      <c r="F114">
        <v>6.3832092500000002</v>
      </c>
      <c r="G114">
        <v>290.90920999999997</v>
      </c>
      <c r="H114">
        <v>-28</v>
      </c>
      <c r="I114">
        <v>36</v>
      </c>
      <c r="J114">
        <v>1.18</v>
      </c>
      <c r="K114">
        <v>21.96005925</v>
      </c>
      <c r="L114">
        <v>-2.0167028786821799</v>
      </c>
      <c r="M114">
        <v>-1.925412533459161</v>
      </c>
      <c r="N114">
        <v>-1.325962673438793</v>
      </c>
      <c r="O114">
        <v>-1.126219982592749</v>
      </c>
    </row>
    <row r="115" spans="1:15" x14ac:dyDescent="0.25">
      <c r="A115">
        <v>-310.398346</v>
      </c>
      <c r="B115">
        <v>-325.88560475000003</v>
      </c>
      <c r="C115">
        <v>237.95920575</v>
      </c>
      <c r="D115">
        <v>181.3624725</v>
      </c>
      <c r="E115">
        <v>-77.114807249999998</v>
      </c>
      <c r="F115">
        <v>6.9192012500000004</v>
      </c>
      <c r="G115">
        <v>312.88048574999999</v>
      </c>
      <c r="H115">
        <v>-28</v>
      </c>
      <c r="I115">
        <v>40</v>
      </c>
      <c r="J115">
        <v>1.18</v>
      </c>
      <c r="K115">
        <v>22.77229775</v>
      </c>
      <c r="L115">
        <v>-2.2751187582171779</v>
      </c>
      <c r="M115">
        <v>-2.1045649880632662</v>
      </c>
      <c r="N115">
        <v>-1.618098672483655</v>
      </c>
      <c r="O115">
        <v>-1.348679196234325</v>
      </c>
    </row>
    <row r="116" spans="1:15" x14ac:dyDescent="0.25">
      <c r="A116">
        <v>-332.65011600000003</v>
      </c>
      <c r="B116">
        <v>-350.87723575000001</v>
      </c>
      <c r="C116">
        <v>222.69440850000001</v>
      </c>
      <c r="D116">
        <v>145.03739525</v>
      </c>
      <c r="E116">
        <v>-130.41278825000001</v>
      </c>
      <c r="F116">
        <v>6.6268397500000003</v>
      </c>
      <c r="G116">
        <v>299.99387350000001</v>
      </c>
      <c r="H116">
        <v>-28</v>
      </c>
      <c r="I116">
        <v>44</v>
      </c>
      <c r="J116">
        <v>1.18</v>
      </c>
      <c r="K116">
        <v>22.298696</v>
      </c>
      <c r="L116">
        <v>-2.6276143683116482</v>
      </c>
      <c r="M116">
        <v>-2.3464158863702189</v>
      </c>
      <c r="N116">
        <v>-2.036484861385214</v>
      </c>
      <c r="O116">
        <v>-1.6484053873528</v>
      </c>
    </row>
    <row r="117" spans="1:15" x14ac:dyDescent="0.25">
      <c r="A117">
        <v>221.29932425000001</v>
      </c>
      <c r="B117">
        <v>-331.78380600000003</v>
      </c>
      <c r="C117">
        <v>-319.81888574999999</v>
      </c>
      <c r="D117">
        <v>130.0516585</v>
      </c>
      <c r="E117">
        <v>-44.779215749999999</v>
      </c>
      <c r="F117">
        <v>6.2857539999999998</v>
      </c>
      <c r="G117">
        <v>290.17198200000001</v>
      </c>
      <c r="H117">
        <v>-24</v>
      </c>
      <c r="I117">
        <v>-44</v>
      </c>
      <c r="J117">
        <v>1.18</v>
      </c>
      <c r="K117">
        <v>21.93542575</v>
      </c>
      <c r="L117">
        <v>1.9255600323233659</v>
      </c>
      <c r="M117">
        <v>-1.6434318531440419</v>
      </c>
      <c r="N117">
        <v>-1.191947260875025</v>
      </c>
      <c r="O117">
        <v>-1.181727083705904</v>
      </c>
    </row>
    <row r="118" spans="1:15" x14ac:dyDescent="0.25">
      <c r="A118">
        <v>222.74367899999999</v>
      </c>
      <c r="B118">
        <v>-281.9678955</v>
      </c>
      <c r="C118">
        <v>-277.81699350000002</v>
      </c>
      <c r="D118">
        <v>153.713337</v>
      </c>
      <c r="E118">
        <v>1.2517612499999999</v>
      </c>
      <c r="F118">
        <v>6.1395765000000004</v>
      </c>
      <c r="G118">
        <v>283.90560925</v>
      </c>
      <c r="H118">
        <v>-24</v>
      </c>
      <c r="I118">
        <v>-40</v>
      </c>
      <c r="J118">
        <v>1.18</v>
      </c>
      <c r="K118">
        <v>21.697688249999999</v>
      </c>
      <c r="L118">
        <v>1.7804417336193019</v>
      </c>
      <c r="M118">
        <v>-1.5496723806386661</v>
      </c>
      <c r="N118">
        <v>-1.005370510095883</v>
      </c>
      <c r="O118">
        <v>-1.017383469956185</v>
      </c>
    </row>
    <row r="119" spans="1:15" x14ac:dyDescent="0.25">
      <c r="A119">
        <v>220.7287905</v>
      </c>
      <c r="B119">
        <v>-228.065178</v>
      </c>
      <c r="C119">
        <v>-236.44671249999999</v>
      </c>
      <c r="D119">
        <v>174.4392355</v>
      </c>
      <c r="E119">
        <v>42.469763749999998</v>
      </c>
      <c r="F119">
        <v>6.0421212500000001</v>
      </c>
      <c r="G119">
        <v>277.88635249999999</v>
      </c>
      <c r="H119">
        <v>-24</v>
      </c>
      <c r="I119">
        <v>-36</v>
      </c>
      <c r="J119">
        <v>1.17</v>
      </c>
      <c r="K119">
        <v>21.556681999999999</v>
      </c>
      <c r="L119">
        <v>1.6641216597558131</v>
      </c>
      <c r="M119">
        <v>-1.4651123681525871</v>
      </c>
      <c r="N119">
        <v>-0.85691715532632662</v>
      </c>
      <c r="O119">
        <v>-0.86740034225817064</v>
      </c>
    </row>
    <row r="120" spans="1:15" x14ac:dyDescent="0.25">
      <c r="A120">
        <v>215.53613675</v>
      </c>
      <c r="B120">
        <v>-178.48400475</v>
      </c>
      <c r="C120">
        <v>-192.189087</v>
      </c>
      <c r="D120">
        <v>192.49222549999999</v>
      </c>
      <c r="E120">
        <v>77.518478500000001</v>
      </c>
      <c r="F120">
        <v>5.7984904999999998</v>
      </c>
      <c r="G120">
        <v>273.06007399999999</v>
      </c>
      <c r="H120">
        <v>-24</v>
      </c>
      <c r="I120">
        <v>-32</v>
      </c>
      <c r="J120">
        <v>1.18</v>
      </c>
      <c r="K120">
        <v>21.283460250000001</v>
      </c>
      <c r="L120">
        <v>1.5511576014880371</v>
      </c>
      <c r="M120">
        <v>-1.4113218424575369</v>
      </c>
      <c r="N120">
        <v>-0.74392643893511778</v>
      </c>
      <c r="O120">
        <v>-0.72714201150704083</v>
      </c>
    </row>
    <row r="121" spans="1:15" x14ac:dyDescent="0.25">
      <c r="A121">
        <v>211.62653349999999</v>
      </c>
      <c r="B121">
        <v>-140.590328</v>
      </c>
      <c r="C121">
        <v>-142.02142325</v>
      </c>
      <c r="D121">
        <v>208.39814000000001</v>
      </c>
      <c r="E121">
        <v>109.61666674999999</v>
      </c>
      <c r="F121">
        <v>5.7010375</v>
      </c>
      <c r="G121">
        <v>271.147583</v>
      </c>
      <c r="H121">
        <v>-24</v>
      </c>
      <c r="I121">
        <v>-28</v>
      </c>
      <c r="J121">
        <v>1.18</v>
      </c>
      <c r="K121">
        <v>21.211067</v>
      </c>
      <c r="L121">
        <v>1.409389532760015</v>
      </c>
      <c r="M121">
        <v>-1.390833009246953</v>
      </c>
      <c r="N121">
        <v>-0.64375562052522961</v>
      </c>
      <c r="O121">
        <v>-0.58586782069136134</v>
      </c>
    </row>
    <row r="122" spans="1:15" x14ac:dyDescent="0.25">
      <c r="A122">
        <v>202.50974274999999</v>
      </c>
      <c r="B122">
        <v>-107.157549</v>
      </c>
      <c r="C122">
        <v>-86.66554450000001</v>
      </c>
      <c r="D122">
        <v>222.68278874999999</v>
      </c>
      <c r="E122">
        <v>135.27732449999999</v>
      </c>
      <c r="F122">
        <v>5.7984884999999986</v>
      </c>
      <c r="G122">
        <v>269.18682875000002</v>
      </c>
      <c r="H122">
        <v>-24</v>
      </c>
      <c r="I122">
        <v>-24</v>
      </c>
      <c r="J122">
        <v>1.18</v>
      </c>
      <c r="K122">
        <v>21.128674749999998</v>
      </c>
      <c r="L122">
        <v>1.245434685671752</v>
      </c>
      <c r="M122">
        <v>-1.420573342025047</v>
      </c>
      <c r="N122">
        <v>-0.57673617403513233</v>
      </c>
      <c r="O122">
        <v>-0.44235230526809632</v>
      </c>
    </row>
    <row r="123" spans="1:15" x14ac:dyDescent="0.25">
      <c r="A123">
        <v>188.46112425000001</v>
      </c>
      <c r="B123">
        <v>-84.613224250000002</v>
      </c>
      <c r="C123">
        <v>-45.205036999999997</v>
      </c>
      <c r="D123">
        <v>231.84075175000001</v>
      </c>
      <c r="E123">
        <v>153.33814649999999</v>
      </c>
      <c r="F123">
        <v>5.7497619999999996</v>
      </c>
      <c r="G123">
        <v>264.60964949999999</v>
      </c>
      <c r="H123">
        <v>-24</v>
      </c>
      <c r="I123">
        <v>-20</v>
      </c>
      <c r="J123">
        <v>1.18</v>
      </c>
      <c r="K123">
        <v>20.946252250000001</v>
      </c>
      <c r="L123">
        <v>1.0706510171137751</v>
      </c>
      <c r="M123">
        <v>-1.449988641226106</v>
      </c>
      <c r="N123">
        <v>-0.50985536933808295</v>
      </c>
      <c r="O123">
        <v>-0.3237567112988432</v>
      </c>
    </row>
    <row r="124" spans="1:15" x14ac:dyDescent="0.25">
      <c r="A124">
        <v>173.77164049999999</v>
      </c>
      <c r="B124">
        <v>-65.042810500000002</v>
      </c>
      <c r="C124">
        <v>-7.8950915000000004</v>
      </c>
      <c r="D124">
        <v>240.12234125000001</v>
      </c>
      <c r="E124">
        <v>169.11901075</v>
      </c>
      <c r="F124">
        <v>5.5548599999999997</v>
      </c>
      <c r="G124">
        <v>263.27977750000002</v>
      </c>
      <c r="H124">
        <v>-24</v>
      </c>
      <c r="I124">
        <v>-16</v>
      </c>
      <c r="J124">
        <v>1.18</v>
      </c>
      <c r="K124">
        <v>20.900279999999999</v>
      </c>
      <c r="L124">
        <v>0.88364559549034949</v>
      </c>
      <c r="M124">
        <v>-1.4843510354557321</v>
      </c>
      <c r="N124">
        <v>-0.45800650191101883</v>
      </c>
      <c r="O124">
        <v>-0.20440659123582131</v>
      </c>
    </row>
    <row r="125" spans="1:15" x14ac:dyDescent="0.25">
      <c r="A125">
        <v>155.592266</v>
      </c>
      <c r="B125">
        <v>-55.785249499999999</v>
      </c>
      <c r="C125">
        <v>21.722959249999999</v>
      </c>
      <c r="D125">
        <v>245.51193975000001</v>
      </c>
      <c r="E125">
        <v>177.56824850000001</v>
      </c>
      <c r="F125">
        <v>5.5548580000000003</v>
      </c>
      <c r="G125">
        <v>261.43893450000002</v>
      </c>
      <c r="H125">
        <v>-24</v>
      </c>
      <c r="I125">
        <v>-12</v>
      </c>
      <c r="J125">
        <v>1.18</v>
      </c>
      <c r="K125">
        <v>20.82550225</v>
      </c>
      <c r="L125">
        <v>0.68792171173644534</v>
      </c>
      <c r="M125">
        <v>-1.5482972106696959</v>
      </c>
      <c r="N125">
        <v>-0.43099546370186048</v>
      </c>
      <c r="O125">
        <v>-0.11606018432356351</v>
      </c>
    </row>
    <row r="126" spans="1:15" x14ac:dyDescent="0.25">
      <c r="A126">
        <v>134.91011424999999</v>
      </c>
      <c r="B126">
        <v>-51.180442749999997</v>
      </c>
      <c r="C126">
        <v>50.536396000000003</v>
      </c>
      <c r="D126">
        <v>246.12539275</v>
      </c>
      <c r="E126">
        <v>182.30698000000001</v>
      </c>
      <c r="F126">
        <v>5.3112269999999997</v>
      </c>
      <c r="G126">
        <v>257.99736000000001</v>
      </c>
      <c r="H126">
        <v>-24</v>
      </c>
      <c r="I126">
        <v>-8</v>
      </c>
      <c r="J126">
        <v>1.18</v>
      </c>
      <c r="K126">
        <v>20.694964500000001</v>
      </c>
      <c r="L126">
        <v>0.46199751825104618</v>
      </c>
      <c r="M126">
        <v>-1.627932229662892</v>
      </c>
      <c r="N126">
        <v>-0.41445982613857352</v>
      </c>
      <c r="O126">
        <v>-3.0851095009655039E-2</v>
      </c>
    </row>
    <row r="127" spans="1:15" x14ac:dyDescent="0.25">
      <c r="A127">
        <v>111.67255025</v>
      </c>
      <c r="B127">
        <v>-49.600935999999997</v>
      </c>
      <c r="C127">
        <v>76.956235750000005</v>
      </c>
      <c r="D127">
        <v>247.00175475</v>
      </c>
      <c r="E127">
        <v>185.2575075</v>
      </c>
      <c r="F127">
        <v>5.2625004999999998</v>
      </c>
      <c r="G127">
        <v>257.06201199999998</v>
      </c>
      <c r="H127">
        <v>-24</v>
      </c>
      <c r="I127">
        <v>-4</v>
      </c>
      <c r="J127">
        <v>1.18</v>
      </c>
      <c r="K127">
        <v>20.658625749999999</v>
      </c>
      <c r="L127">
        <v>0.20233819333962691</v>
      </c>
      <c r="M127">
        <v>-1.7286661484734569</v>
      </c>
      <c r="N127">
        <v>-0.41849992357098809</v>
      </c>
      <c r="O127">
        <v>4.9041014889697643E-2</v>
      </c>
    </row>
    <row r="128" spans="1:15" x14ac:dyDescent="0.25">
      <c r="A128">
        <v>86.981815249999997</v>
      </c>
      <c r="B128">
        <v>-48.302444250000001</v>
      </c>
      <c r="C128">
        <v>100.982485</v>
      </c>
      <c r="D128">
        <v>245.02994525</v>
      </c>
      <c r="E128">
        <v>185.48103750000001</v>
      </c>
      <c r="F128">
        <v>5.4086780000000001</v>
      </c>
      <c r="G128">
        <v>254.22091275</v>
      </c>
      <c r="H128">
        <v>-24</v>
      </c>
      <c r="I128">
        <v>0</v>
      </c>
      <c r="J128">
        <v>1.18</v>
      </c>
      <c r="K128">
        <v>20.53571225</v>
      </c>
      <c r="L128">
        <v>-8.4272638520400733E-2</v>
      </c>
      <c r="M128">
        <v>-1.765563517993751</v>
      </c>
      <c r="N128">
        <v>-0.41374775226360949</v>
      </c>
      <c r="O128">
        <v>8.3847037295022492E-2</v>
      </c>
    </row>
    <row r="129" spans="1:15" x14ac:dyDescent="0.25">
      <c r="A129">
        <v>61.07234175</v>
      </c>
      <c r="B129">
        <v>-48.2544775</v>
      </c>
      <c r="C129">
        <v>122.705467</v>
      </c>
      <c r="D129">
        <v>242.05032750000001</v>
      </c>
      <c r="E129">
        <v>182.70933149999999</v>
      </c>
      <c r="F129">
        <v>5.2624982500000002</v>
      </c>
      <c r="G129">
        <v>252.26010099999999</v>
      </c>
      <c r="H129">
        <v>-24</v>
      </c>
      <c r="I129">
        <v>4</v>
      </c>
      <c r="J129">
        <v>1.18</v>
      </c>
      <c r="K129">
        <v>20.460693249999998</v>
      </c>
      <c r="L129">
        <v>-0.34956935186928489</v>
      </c>
      <c r="M129">
        <v>-1.6466429226945769</v>
      </c>
      <c r="N129">
        <v>-0.3944966136712581</v>
      </c>
      <c r="O129">
        <v>6.5195710446575572E-3</v>
      </c>
    </row>
    <row r="130" spans="1:15" x14ac:dyDescent="0.25">
      <c r="A130">
        <v>35.429102</v>
      </c>
      <c r="B130">
        <v>-47.969962000000002</v>
      </c>
      <c r="C130">
        <v>142.80261225000001</v>
      </c>
      <c r="D130">
        <v>239.46506525000001</v>
      </c>
      <c r="E130">
        <v>178.95410924999999</v>
      </c>
      <c r="F130">
        <v>5.2137717499999994</v>
      </c>
      <c r="G130">
        <v>251.48520275000001</v>
      </c>
      <c r="H130">
        <v>-24</v>
      </c>
      <c r="I130">
        <v>8</v>
      </c>
      <c r="J130">
        <v>1.18</v>
      </c>
      <c r="K130">
        <v>20.430593250000001</v>
      </c>
      <c r="L130">
        <v>-0.57970715028591857</v>
      </c>
      <c r="M130">
        <v>-1.551830155343874</v>
      </c>
      <c r="N130">
        <v>-0.39160281897132548</v>
      </c>
      <c r="O130">
        <v>-6.2012073609654918E-2</v>
      </c>
    </row>
    <row r="131" spans="1:15" x14ac:dyDescent="0.25">
      <c r="A131">
        <v>7.9895197500000004</v>
      </c>
      <c r="B131">
        <v>-44.944778249999999</v>
      </c>
      <c r="C131">
        <v>159.82873925000001</v>
      </c>
      <c r="D131">
        <v>230.48238375</v>
      </c>
      <c r="E131">
        <v>169.25312450000001</v>
      </c>
      <c r="F131">
        <v>4.7752374999999994</v>
      </c>
      <c r="G131">
        <v>248.178482</v>
      </c>
      <c r="H131">
        <v>-24</v>
      </c>
      <c r="I131">
        <v>12</v>
      </c>
      <c r="J131">
        <v>1.18</v>
      </c>
      <c r="K131">
        <v>20.311273499999999</v>
      </c>
      <c r="L131">
        <v>-0.80881238339435391</v>
      </c>
      <c r="M131">
        <v>-1.467134509186558</v>
      </c>
      <c r="N131">
        <v>-0.4204198764091519</v>
      </c>
      <c r="O131">
        <v>-0.1238570863793589</v>
      </c>
    </row>
    <row r="132" spans="1:15" x14ac:dyDescent="0.25">
      <c r="A132">
        <v>-20.179723249999999</v>
      </c>
      <c r="B132">
        <v>-44.800877499999999</v>
      </c>
      <c r="C132">
        <v>174.28061324999999</v>
      </c>
      <c r="D132">
        <v>222.85805174999999</v>
      </c>
      <c r="E132">
        <v>156.37808999999999</v>
      </c>
      <c r="F132">
        <v>4.9214149999999997</v>
      </c>
      <c r="G132">
        <v>247.11241949999999</v>
      </c>
      <c r="H132">
        <v>-24</v>
      </c>
      <c r="I132">
        <v>16</v>
      </c>
      <c r="J132">
        <v>1.18</v>
      </c>
      <c r="K132">
        <v>20.260628749999999</v>
      </c>
      <c r="L132">
        <v>-1.029616470638778</v>
      </c>
      <c r="M132">
        <v>-1.41717606932272</v>
      </c>
      <c r="N132">
        <v>-0.48041775226740918</v>
      </c>
      <c r="O132">
        <v>-0.1980800192770325</v>
      </c>
    </row>
    <row r="133" spans="1:15" x14ac:dyDescent="0.25">
      <c r="A133">
        <v>-48.061974500000012</v>
      </c>
      <c r="B133">
        <v>-55.885084249999998</v>
      </c>
      <c r="C133">
        <v>186.24857700000001</v>
      </c>
      <c r="D133">
        <v>212.73611425000001</v>
      </c>
      <c r="E133">
        <v>136.97611599999999</v>
      </c>
      <c r="F133">
        <v>5.0675939999999997</v>
      </c>
      <c r="G133">
        <v>246.73791875000001</v>
      </c>
      <c r="H133">
        <v>-24</v>
      </c>
      <c r="I133">
        <v>20</v>
      </c>
      <c r="J133">
        <v>1.18</v>
      </c>
      <c r="K133">
        <v>20.238841749999999</v>
      </c>
      <c r="L133">
        <v>-1.2400693733765531</v>
      </c>
      <c r="M133">
        <v>-1.421648483761315</v>
      </c>
      <c r="N133">
        <v>-0.58091749767047762</v>
      </c>
      <c r="O133">
        <v>-0.30185775558002481</v>
      </c>
    </row>
    <row r="134" spans="1:15" x14ac:dyDescent="0.25">
      <c r="A134">
        <v>-83.511619749999994</v>
      </c>
      <c r="B134">
        <v>-88.846536749999999</v>
      </c>
      <c r="C134">
        <v>204.223095</v>
      </c>
      <c r="D134">
        <v>210.15086400000001</v>
      </c>
      <c r="E134">
        <v>115.20478799999999</v>
      </c>
      <c r="F134">
        <v>5.4086780000000001</v>
      </c>
      <c r="G134">
        <v>257.40723800000001</v>
      </c>
      <c r="H134">
        <v>-24</v>
      </c>
      <c r="I134">
        <v>24</v>
      </c>
      <c r="J134">
        <v>1.18</v>
      </c>
      <c r="K134">
        <v>20.666686250000001</v>
      </c>
      <c r="L134">
        <v>-1.428778432856767</v>
      </c>
      <c r="M134">
        <v>-1.4847028780738021</v>
      </c>
      <c r="N134">
        <v>-0.70612467668801449</v>
      </c>
      <c r="O134">
        <v>-0.45478110779091241</v>
      </c>
    </row>
    <row r="135" spans="1:15" x14ac:dyDescent="0.25">
      <c r="A135">
        <v>-132.15916425</v>
      </c>
      <c r="B135">
        <v>-139.11303724999999</v>
      </c>
      <c r="C135">
        <v>238.54631424999999</v>
      </c>
      <c r="D135">
        <v>220.66716400000001</v>
      </c>
      <c r="E135">
        <v>95.668704750000003</v>
      </c>
      <c r="F135">
        <v>6.33448425</v>
      </c>
      <c r="G135">
        <v>291.45254525000001</v>
      </c>
      <c r="H135">
        <v>-24</v>
      </c>
      <c r="I135">
        <v>28</v>
      </c>
      <c r="J135">
        <v>1.18</v>
      </c>
      <c r="K135">
        <v>21.9829115</v>
      </c>
      <c r="L135">
        <v>-1.6026597882706179</v>
      </c>
      <c r="M135">
        <v>-1.555431635383703</v>
      </c>
      <c r="N135">
        <v>-0.84642566053915491</v>
      </c>
      <c r="O135">
        <v>-0.61377787098581071</v>
      </c>
    </row>
    <row r="136" spans="1:15" x14ac:dyDescent="0.25">
      <c r="A136">
        <v>-190.31099699999999</v>
      </c>
      <c r="B136">
        <v>-197.17048650000001</v>
      </c>
      <c r="C136">
        <v>260.26930225000001</v>
      </c>
      <c r="D136">
        <v>214.40119949999999</v>
      </c>
      <c r="E136">
        <v>53.735424000000002</v>
      </c>
      <c r="F136">
        <v>6.1395805000000001</v>
      </c>
      <c r="G136">
        <v>312.44397750000002</v>
      </c>
      <c r="H136">
        <v>-24</v>
      </c>
      <c r="I136">
        <v>32</v>
      </c>
      <c r="J136">
        <v>1.18</v>
      </c>
      <c r="K136">
        <v>22.785059499999999</v>
      </c>
      <c r="L136">
        <v>-1.820719470726589</v>
      </c>
      <c r="M136">
        <v>-1.663085880843284</v>
      </c>
      <c r="N136">
        <v>-1.045400308308178</v>
      </c>
      <c r="O136">
        <v>-0.80768156485042519</v>
      </c>
    </row>
    <row r="137" spans="1:15" x14ac:dyDescent="0.25">
      <c r="A137">
        <v>-220.58057425000001</v>
      </c>
      <c r="B137">
        <v>-229.53657899999999</v>
      </c>
      <c r="C137">
        <v>248.61745825</v>
      </c>
      <c r="D137">
        <v>181.80064775</v>
      </c>
      <c r="E137">
        <v>2.4140917499999999</v>
      </c>
      <c r="F137">
        <v>6.3344865000000006</v>
      </c>
      <c r="G137">
        <v>297.75816325</v>
      </c>
      <c r="H137">
        <v>-24</v>
      </c>
      <c r="I137">
        <v>36</v>
      </c>
      <c r="J137">
        <v>1.18</v>
      </c>
      <c r="K137">
        <v>22.224723000000001</v>
      </c>
      <c r="L137">
        <v>-2.06270719366072</v>
      </c>
      <c r="M137">
        <v>-1.80834252135045</v>
      </c>
      <c r="N137">
        <v>-1.2984479770964581</v>
      </c>
      <c r="O137">
        <v>-1.017275310138599</v>
      </c>
    </row>
    <row r="138" spans="1:15" x14ac:dyDescent="0.25">
      <c r="A138">
        <v>-254.94916524999999</v>
      </c>
      <c r="B138">
        <v>-267.59542075000002</v>
      </c>
      <c r="C138">
        <v>241.16572174999999</v>
      </c>
      <c r="D138">
        <v>151.78535450000001</v>
      </c>
      <c r="E138">
        <v>-51.781543749999997</v>
      </c>
      <c r="F138">
        <v>6.3344830000000014</v>
      </c>
      <c r="G138">
        <v>290.05828100000002</v>
      </c>
      <c r="H138">
        <v>-24</v>
      </c>
      <c r="I138">
        <v>40</v>
      </c>
      <c r="J138">
        <v>1.1775</v>
      </c>
      <c r="K138">
        <v>21.952513</v>
      </c>
      <c r="L138">
        <v>-2.3682705248382798</v>
      </c>
      <c r="M138">
        <v>-2.0019774979022662</v>
      </c>
      <c r="N138">
        <v>-1.6318359744208271</v>
      </c>
      <c r="O138">
        <v>-1.277438460551324</v>
      </c>
    </row>
    <row r="139" spans="1:15" x14ac:dyDescent="0.25">
      <c r="A139">
        <v>-283.91247575</v>
      </c>
      <c r="B139">
        <v>-299.13475825</v>
      </c>
      <c r="C139">
        <v>231.23004900000001</v>
      </c>
      <c r="D139">
        <v>121.463341</v>
      </c>
      <c r="E139">
        <v>-103.69689925</v>
      </c>
      <c r="F139">
        <v>6.0908502499999999</v>
      </c>
      <c r="G139">
        <v>283.37599175000003</v>
      </c>
      <c r="H139">
        <v>-24</v>
      </c>
      <c r="I139">
        <v>44</v>
      </c>
      <c r="J139">
        <v>1.175</v>
      </c>
      <c r="K139">
        <v>21.725139500000001</v>
      </c>
      <c r="L139">
        <v>-2.7426506662119392</v>
      </c>
      <c r="M139">
        <v>-2.239297179196392</v>
      </c>
      <c r="N139">
        <v>-2.0608089172509949</v>
      </c>
      <c r="O139">
        <v>-1.584521430622406</v>
      </c>
    </row>
    <row r="140" spans="1:15" x14ac:dyDescent="0.25">
      <c r="A140">
        <v>231.10889424999999</v>
      </c>
      <c r="B140">
        <v>-281.83474000000001</v>
      </c>
      <c r="C140">
        <v>-283.9977265</v>
      </c>
      <c r="D140">
        <v>104.5934275</v>
      </c>
      <c r="E140">
        <v>-29.748742499999999</v>
      </c>
      <c r="F140">
        <v>5.7497660000000002</v>
      </c>
      <c r="G140">
        <v>276.373627</v>
      </c>
      <c r="H140">
        <v>-20</v>
      </c>
      <c r="I140">
        <v>-44</v>
      </c>
      <c r="J140">
        <v>1.18</v>
      </c>
      <c r="K140">
        <v>21.416920000000001</v>
      </c>
      <c r="L140">
        <v>2.0346724694084908</v>
      </c>
      <c r="M140">
        <v>-1.526380384705369</v>
      </c>
      <c r="N140">
        <v>-1.2091942880380531</v>
      </c>
      <c r="O140">
        <v>-1.1402285385179269</v>
      </c>
    </row>
    <row r="141" spans="1:15" x14ac:dyDescent="0.25">
      <c r="A141">
        <v>235.35191725000001</v>
      </c>
      <c r="B141">
        <v>-233.08620450000001</v>
      </c>
      <c r="C141">
        <v>-241.40933999999999</v>
      </c>
      <c r="D141">
        <v>130.5774725</v>
      </c>
      <c r="E141">
        <v>17.077329249999998</v>
      </c>
      <c r="F141">
        <v>5.7984945000000003</v>
      </c>
      <c r="G141">
        <v>273.80456525</v>
      </c>
      <c r="H141">
        <v>-20</v>
      </c>
      <c r="I141">
        <v>-40</v>
      </c>
      <c r="J141">
        <v>1.18</v>
      </c>
      <c r="K141">
        <v>21.313079250000001</v>
      </c>
      <c r="L141">
        <v>1.8746464234078379</v>
      </c>
      <c r="M141">
        <v>-1.4299291033091961</v>
      </c>
      <c r="N141">
        <v>-1.009482890990387</v>
      </c>
      <c r="O141">
        <v>-0.95566368581280914</v>
      </c>
    </row>
    <row r="142" spans="1:15" x14ac:dyDescent="0.25">
      <c r="A142">
        <v>232.44773850000001</v>
      </c>
      <c r="B142">
        <v>-180.05647675</v>
      </c>
      <c r="C142">
        <v>-196.61034025000001</v>
      </c>
      <c r="D142">
        <v>153.84479150000001</v>
      </c>
      <c r="E142">
        <v>59.368253749999987</v>
      </c>
      <c r="F142">
        <v>5.6035864999999996</v>
      </c>
      <c r="G142">
        <v>268.69103250000001</v>
      </c>
      <c r="H142">
        <v>-20</v>
      </c>
      <c r="I142">
        <v>-36</v>
      </c>
      <c r="J142">
        <v>1.18</v>
      </c>
      <c r="K142">
        <v>21.116602499999999</v>
      </c>
      <c r="L142">
        <v>1.732160276288208</v>
      </c>
      <c r="M142">
        <v>-1.347997975862564</v>
      </c>
      <c r="N142">
        <v>-0.84506353504466558</v>
      </c>
      <c r="O142">
        <v>-0.78294775417907247</v>
      </c>
    </row>
    <row r="143" spans="1:15" x14ac:dyDescent="0.25">
      <c r="A143">
        <v>229.57419575</v>
      </c>
      <c r="B143">
        <v>-130.87139500000001</v>
      </c>
      <c r="C143">
        <v>-156.45816024999999</v>
      </c>
      <c r="D143">
        <v>173.9572335</v>
      </c>
      <c r="E143">
        <v>95.892228750000001</v>
      </c>
      <c r="F143">
        <v>5.5061312500000001</v>
      </c>
      <c r="G143">
        <v>266.97043624999998</v>
      </c>
      <c r="H143">
        <v>-20</v>
      </c>
      <c r="I143">
        <v>-32</v>
      </c>
      <c r="J143">
        <v>1.18</v>
      </c>
      <c r="K143">
        <v>21.051361499999999</v>
      </c>
      <c r="L143">
        <v>1.611447108041973</v>
      </c>
      <c r="M143">
        <v>-1.2724641584045939</v>
      </c>
      <c r="N143">
        <v>-0.7141463271284747</v>
      </c>
      <c r="O143">
        <v>-0.62269138963169079</v>
      </c>
    </row>
    <row r="144" spans="1:15" x14ac:dyDescent="0.25">
      <c r="A144">
        <v>223.10482775</v>
      </c>
      <c r="B144">
        <v>-94.027780750000005</v>
      </c>
      <c r="C144">
        <v>-111.65915649999999</v>
      </c>
      <c r="D144">
        <v>190.990219</v>
      </c>
      <c r="E144">
        <v>128.48216600000001</v>
      </c>
      <c r="F144">
        <v>5.5548555000000004</v>
      </c>
      <c r="G144">
        <v>264.00945274999998</v>
      </c>
      <c r="H144">
        <v>-20</v>
      </c>
      <c r="I144">
        <v>-28</v>
      </c>
      <c r="J144">
        <v>1.18</v>
      </c>
      <c r="K144">
        <v>20.929839999999999</v>
      </c>
      <c r="L144">
        <v>1.4471649472377059</v>
      </c>
      <c r="M144">
        <v>-1.2321155802376911</v>
      </c>
      <c r="N144">
        <v>-0.58589036067232247</v>
      </c>
      <c r="O144">
        <v>-0.46860316731062579</v>
      </c>
    </row>
    <row r="145" spans="1:15" x14ac:dyDescent="0.25">
      <c r="A145">
        <v>213.59518075</v>
      </c>
      <c r="B145">
        <v>-61.214045499999997</v>
      </c>
      <c r="C145">
        <v>-60.81476</v>
      </c>
      <c r="D145">
        <v>204.80507274999999</v>
      </c>
      <c r="E145">
        <v>153.60637650000001</v>
      </c>
      <c r="F145">
        <v>5.3112292500000002</v>
      </c>
      <c r="G145">
        <v>261.07877350000001</v>
      </c>
      <c r="H145">
        <v>-20</v>
      </c>
      <c r="I145">
        <v>-24</v>
      </c>
      <c r="J145">
        <v>1.17</v>
      </c>
      <c r="K145">
        <v>20.909553500000001</v>
      </c>
      <c r="L145">
        <v>1.2785971362553119</v>
      </c>
      <c r="M145">
        <v>-1.239489280310851</v>
      </c>
      <c r="N145">
        <v>-0.50077378165202235</v>
      </c>
      <c r="O145">
        <v>-0.3090310869610019</v>
      </c>
    </row>
    <row r="146" spans="1:15" x14ac:dyDescent="0.25">
      <c r="A146">
        <v>202.5362585</v>
      </c>
      <c r="B146">
        <v>-42.507401250000001</v>
      </c>
      <c r="C146">
        <v>-11.45916175</v>
      </c>
      <c r="D146">
        <v>217.42465200000001</v>
      </c>
      <c r="E146">
        <v>175.73534799999999</v>
      </c>
      <c r="F146">
        <v>5.554862</v>
      </c>
      <c r="G146">
        <v>259.83292375000002</v>
      </c>
      <c r="H146">
        <v>-20</v>
      </c>
      <c r="I146">
        <v>-20</v>
      </c>
      <c r="J146">
        <v>1.175</v>
      </c>
      <c r="K146">
        <v>20.804330499999999</v>
      </c>
      <c r="L146">
        <v>1.0556376453450409</v>
      </c>
      <c r="M146">
        <v>-1.282242857013685</v>
      </c>
      <c r="N146">
        <v>-0.41487867167524439</v>
      </c>
      <c r="O146">
        <v>-0.16050332906923739</v>
      </c>
    </row>
    <row r="147" spans="1:15" x14ac:dyDescent="0.25">
      <c r="A147">
        <v>186.55724699999999</v>
      </c>
      <c r="B147">
        <v>-25.281859499999999</v>
      </c>
      <c r="C147">
        <v>21.587472500000001</v>
      </c>
      <c r="D147">
        <v>223.60297025</v>
      </c>
      <c r="E147">
        <v>189.54919050000001</v>
      </c>
      <c r="F147">
        <v>5.4086802499999997</v>
      </c>
      <c r="G147">
        <v>256.40686025000002</v>
      </c>
      <c r="H147">
        <v>-20</v>
      </c>
      <c r="I147">
        <v>-16</v>
      </c>
      <c r="J147">
        <v>1.18</v>
      </c>
      <c r="K147">
        <v>20.625726499999999</v>
      </c>
      <c r="L147">
        <v>0.86193075167325994</v>
      </c>
      <c r="M147">
        <v>-1.3003879118101711</v>
      </c>
      <c r="N147">
        <v>-0.34934261553578211</v>
      </c>
      <c r="O147">
        <v>-3.7887888347015668E-2</v>
      </c>
    </row>
    <row r="148" spans="1:15" x14ac:dyDescent="0.25">
      <c r="A148">
        <v>169.22408300000001</v>
      </c>
      <c r="B148">
        <v>-15.447354750000001</v>
      </c>
      <c r="C148">
        <v>47.420208000000002</v>
      </c>
      <c r="D148">
        <v>229.34311274999999</v>
      </c>
      <c r="E148">
        <v>199.02664949999999</v>
      </c>
      <c r="F148">
        <v>5.1163204999999996</v>
      </c>
      <c r="G148">
        <v>254.78109724999999</v>
      </c>
      <c r="H148">
        <v>-20</v>
      </c>
      <c r="I148">
        <v>-12</v>
      </c>
      <c r="J148">
        <v>1.1775</v>
      </c>
      <c r="K148">
        <v>20.592797000000001</v>
      </c>
      <c r="L148">
        <v>0.66544902972414421</v>
      </c>
      <c r="M148">
        <v>-1.3373566548082909</v>
      </c>
      <c r="N148">
        <v>-0.3046020024023901</v>
      </c>
      <c r="O148">
        <v>5.938795684368732E-2</v>
      </c>
    </row>
    <row r="149" spans="1:15" x14ac:dyDescent="0.25">
      <c r="A149">
        <v>149.81454450000001</v>
      </c>
      <c r="B149">
        <v>-12.330055</v>
      </c>
      <c r="C149">
        <v>71.988403250000005</v>
      </c>
      <c r="D149">
        <v>233.24290450000001</v>
      </c>
      <c r="E149">
        <v>205.59828175000001</v>
      </c>
      <c r="F149">
        <v>4.9701412500000002</v>
      </c>
      <c r="G149">
        <v>253.99130600000001</v>
      </c>
      <c r="H149">
        <v>-20</v>
      </c>
      <c r="I149">
        <v>-8</v>
      </c>
      <c r="J149">
        <v>1.18</v>
      </c>
      <c r="K149">
        <v>20.544333000000002</v>
      </c>
      <c r="L149">
        <v>0.44277558099757658</v>
      </c>
      <c r="M149">
        <v>-1.397136192253448</v>
      </c>
      <c r="N149">
        <v>-0.27532214237493202</v>
      </c>
      <c r="O149">
        <v>0.14143514857980891</v>
      </c>
    </row>
    <row r="150" spans="1:15" x14ac:dyDescent="0.25">
      <c r="A150">
        <v>127.42587475000001</v>
      </c>
      <c r="B150">
        <v>-11.7063945</v>
      </c>
      <c r="C150">
        <v>93.982357000000007</v>
      </c>
      <c r="D150">
        <v>232.41037750000001</v>
      </c>
      <c r="E150">
        <v>206.93943400000001</v>
      </c>
      <c r="F150">
        <v>5.0675964999999996</v>
      </c>
      <c r="G150">
        <v>250.36483000000001</v>
      </c>
      <c r="H150">
        <v>-20</v>
      </c>
      <c r="I150">
        <v>-4</v>
      </c>
      <c r="J150">
        <v>1.18</v>
      </c>
      <c r="K150">
        <v>20.390143999999999</v>
      </c>
      <c r="L150">
        <v>0.20170613354145209</v>
      </c>
      <c r="M150">
        <v>-1.472340666639953</v>
      </c>
      <c r="N150">
        <v>-0.26192524321329352</v>
      </c>
      <c r="O150">
        <v>0.21756138348362</v>
      </c>
    </row>
    <row r="151" spans="1:15" x14ac:dyDescent="0.25">
      <c r="A151">
        <v>114.38085525</v>
      </c>
      <c r="B151">
        <v>-13.911258</v>
      </c>
      <c r="C151">
        <v>128.17008175000001</v>
      </c>
      <c r="D151">
        <v>254.27552800000001</v>
      </c>
      <c r="E151">
        <v>226.92255800000001</v>
      </c>
      <c r="F151">
        <v>5.6035864999999996</v>
      </c>
      <c r="G151">
        <v>274.00476824999998</v>
      </c>
      <c r="H151">
        <v>-20</v>
      </c>
      <c r="I151">
        <v>0</v>
      </c>
      <c r="J151">
        <v>1.18</v>
      </c>
      <c r="K151">
        <v>21.328703999999998</v>
      </c>
      <c r="L151">
        <v>-7.8061169910126113E-2</v>
      </c>
      <c r="M151">
        <v>-1.5178733613447879</v>
      </c>
      <c r="N151">
        <v>-0.26648510638189082</v>
      </c>
      <c r="O151">
        <v>0.25260956216353692</v>
      </c>
    </row>
    <row r="152" spans="1:15" x14ac:dyDescent="0.25">
      <c r="A152">
        <v>102.41916675</v>
      </c>
      <c r="B152">
        <v>-13.431618</v>
      </c>
      <c r="C152">
        <v>170.8934515</v>
      </c>
      <c r="D152">
        <v>284.68518074999997</v>
      </c>
      <c r="E152">
        <v>255.5784645</v>
      </c>
      <c r="F152">
        <v>6.9679319999999993</v>
      </c>
      <c r="G152">
        <v>308.26033050000001</v>
      </c>
      <c r="H152">
        <v>-20</v>
      </c>
      <c r="I152">
        <v>4</v>
      </c>
      <c r="J152">
        <v>1.18</v>
      </c>
      <c r="K152">
        <v>22.5978545</v>
      </c>
      <c r="L152">
        <v>-0.32438058709340789</v>
      </c>
      <c r="M152">
        <v>-1.4123267041960139</v>
      </c>
      <c r="N152">
        <v>-0.2495878474644542</v>
      </c>
      <c r="O152">
        <v>0.17778066001166681</v>
      </c>
    </row>
    <row r="153" spans="1:15" x14ac:dyDescent="0.25">
      <c r="A153">
        <v>72.356956249999996</v>
      </c>
      <c r="B153">
        <v>-9.5480274999999999</v>
      </c>
      <c r="C153">
        <v>192.34546275</v>
      </c>
      <c r="D153">
        <v>278.13865650000002</v>
      </c>
      <c r="E153">
        <v>248.64918900000001</v>
      </c>
      <c r="F153">
        <v>6.6268459999999996</v>
      </c>
      <c r="G153">
        <v>304.885582</v>
      </c>
      <c r="H153">
        <v>-20</v>
      </c>
      <c r="I153">
        <v>8</v>
      </c>
      <c r="J153">
        <v>1.18</v>
      </c>
      <c r="K153">
        <v>22.483833499999999</v>
      </c>
      <c r="L153">
        <v>-0.55230646206814527</v>
      </c>
      <c r="M153">
        <v>-1.3242626841763869</v>
      </c>
      <c r="N153">
        <v>-0.25887889158709332</v>
      </c>
      <c r="O153">
        <v>0.1140551516726956</v>
      </c>
    </row>
    <row r="154" spans="1:15" x14ac:dyDescent="0.25">
      <c r="A154">
        <v>41.5273915</v>
      </c>
      <c r="B154">
        <v>-3.0698669999999999</v>
      </c>
      <c r="C154">
        <v>207.70058075</v>
      </c>
      <c r="D154">
        <v>263.03912350000002</v>
      </c>
      <c r="E154">
        <v>231.48247900000001</v>
      </c>
      <c r="F154">
        <v>6.09085375</v>
      </c>
      <c r="G154">
        <v>295.47727950000001</v>
      </c>
      <c r="H154">
        <v>-20</v>
      </c>
      <c r="I154">
        <v>12</v>
      </c>
      <c r="J154">
        <v>1.18</v>
      </c>
      <c r="K154">
        <v>22.146899250000001</v>
      </c>
      <c r="L154">
        <v>-0.78291132690594689</v>
      </c>
      <c r="M154">
        <v>-1.253740503534023</v>
      </c>
      <c r="N154">
        <v>-0.30150609909804987</v>
      </c>
      <c r="O154">
        <v>6.1898709904902573E-2</v>
      </c>
    </row>
    <row r="155" spans="1:15" x14ac:dyDescent="0.25">
      <c r="A155">
        <v>12.59364225</v>
      </c>
      <c r="B155">
        <v>-1.1030247500000001</v>
      </c>
      <c r="C155">
        <v>221.33955</v>
      </c>
      <c r="D155">
        <v>248.44774649999999</v>
      </c>
      <c r="E155">
        <v>212.08050925000001</v>
      </c>
      <c r="F155">
        <v>6.2370334999999999</v>
      </c>
      <c r="G155">
        <v>288.89784275</v>
      </c>
      <c r="H155">
        <v>-20</v>
      </c>
      <c r="I155">
        <v>16</v>
      </c>
      <c r="J155">
        <v>1.18</v>
      </c>
      <c r="K155">
        <v>21.888029750000001</v>
      </c>
      <c r="L155">
        <v>-1.011685637308805</v>
      </c>
      <c r="M155">
        <v>-1.20945449043475</v>
      </c>
      <c r="N155">
        <v>-0.3723018047108233</v>
      </c>
      <c r="O155">
        <v>-2.3895561373710838E-3</v>
      </c>
    </row>
    <row r="156" spans="1:15" x14ac:dyDescent="0.25">
      <c r="A156">
        <v>-21.801308500000001</v>
      </c>
      <c r="B156">
        <v>-21.108251249999999</v>
      </c>
      <c r="C156">
        <v>230.10099025</v>
      </c>
      <c r="D156">
        <v>231.35874949999999</v>
      </c>
      <c r="E156">
        <v>182.70932775</v>
      </c>
      <c r="F156">
        <v>5.7497660000000002</v>
      </c>
      <c r="G156">
        <v>282.57572974999999</v>
      </c>
      <c r="H156">
        <v>-20</v>
      </c>
      <c r="I156">
        <v>20</v>
      </c>
      <c r="J156">
        <v>1.18</v>
      </c>
      <c r="K156">
        <v>21.660941999999999</v>
      </c>
      <c r="L156">
        <v>-1.2338250446617449</v>
      </c>
      <c r="M156">
        <v>-1.23659228901559</v>
      </c>
      <c r="N156">
        <v>-0.48915212099425859</v>
      </c>
      <c r="O156">
        <v>-0.13325047101840931</v>
      </c>
    </row>
    <row r="157" spans="1:15" x14ac:dyDescent="0.25">
      <c r="A157">
        <v>-55.449193999999999</v>
      </c>
      <c r="B157">
        <v>-52.150639499999997</v>
      </c>
      <c r="C157">
        <v>236.92047124999999</v>
      </c>
      <c r="D157">
        <v>214.21227250000001</v>
      </c>
      <c r="E157">
        <v>151.14760200000001</v>
      </c>
      <c r="F157">
        <v>5.9934007500000002</v>
      </c>
      <c r="G157">
        <v>279.27840424999999</v>
      </c>
      <c r="H157">
        <v>-20</v>
      </c>
      <c r="I157">
        <v>24</v>
      </c>
      <c r="J157">
        <v>1.18</v>
      </c>
      <c r="K157">
        <v>21.52196125</v>
      </c>
      <c r="L157">
        <v>-1.4265546250470129</v>
      </c>
      <c r="M157">
        <v>-1.2996592032367931</v>
      </c>
      <c r="N157">
        <v>-0.62518652887472437</v>
      </c>
      <c r="O157">
        <v>-0.29174355607418329</v>
      </c>
    </row>
    <row r="158" spans="1:15" x14ac:dyDescent="0.25">
      <c r="A158">
        <v>-93.556438499999999</v>
      </c>
      <c r="B158">
        <v>-90.922174499999997</v>
      </c>
      <c r="C158">
        <v>239.67536924999999</v>
      </c>
      <c r="D158">
        <v>193.76979825000001</v>
      </c>
      <c r="E158">
        <v>111.36015325</v>
      </c>
      <c r="F158">
        <v>5.6035884999999999</v>
      </c>
      <c r="G158">
        <v>274.41298699999999</v>
      </c>
      <c r="H158">
        <v>-20</v>
      </c>
      <c r="I158">
        <v>28</v>
      </c>
      <c r="J158">
        <v>1.1775</v>
      </c>
      <c r="K158">
        <v>21.367758250000001</v>
      </c>
      <c r="L158">
        <v>-1.6367229885068131</v>
      </c>
      <c r="M158">
        <v>-1.3983068465953341</v>
      </c>
      <c r="N158">
        <v>-0.80086150842918424</v>
      </c>
      <c r="O158">
        <v>-0.48054804646427179</v>
      </c>
    </row>
    <row r="159" spans="1:15" x14ac:dyDescent="0.25">
      <c r="A159">
        <v>-131.57360075</v>
      </c>
      <c r="B159">
        <v>-130.93752275</v>
      </c>
      <c r="C159">
        <v>242.88188174999999</v>
      </c>
      <c r="D159">
        <v>172.51113874999999</v>
      </c>
      <c r="E159">
        <v>69.292762749999994</v>
      </c>
      <c r="F159">
        <v>5.554862</v>
      </c>
      <c r="G159">
        <v>271.75628675000002</v>
      </c>
      <c r="H159">
        <v>-20</v>
      </c>
      <c r="I159">
        <v>32</v>
      </c>
      <c r="J159">
        <v>1.18</v>
      </c>
      <c r="K159">
        <v>21.2412025</v>
      </c>
      <c r="L159">
        <v>-1.8671643517695771</v>
      </c>
      <c r="M159">
        <v>-1.5130981981659191</v>
      </c>
      <c r="N159">
        <v>-1.009555597417529</v>
      </c>
      <c r="O159">
        <v>-0.68217969372581932</v>
      </c>
    </row>
    <row r="160" spans="1:15" x14ac:dyDescent="0.25">
      <c r="A160">
        <v>-169.36552825000001</v>
      </c>
      <c r="B160">
        <v>-171.43267449999999</v>
      </c>
      <c r="C160">
        <v>243.06253050000001</v>
      </c>
      <c r="D160">
        <v>149.21545424999999</v>
      </c>
      <c r="E160">
        <v>22.352518</v>
      </c>
      <c r="F160">
        <v>5.5061355000000001</v>
      </c>
      <c r="G160">
        <v>270.43591325</v>
      </c>
      <c r="H160">
        <v>-20</v>
      </c>
      <c r="I160">
        <v>36</v>
      </c>
      <c r="J160">
        <v>1.18</v>
      </c>
      <c r="K160">
        <v>21.190410249999999</v>
      </c>
      <c r="L160">
        <v>-2.1397263886409772</v>
      </c>
      <c r="M160">
        <v>-1.6635718004664339</v>
      </c>
      <c r="N160">
        <v>-1.2871081270431071</v>
      </c>
      <c r="O160">
        <v>-0.9126219546520028</v>
      </c>
    </row>
    <row r="161" spans="1:15" x14ac:dyDescent="0.25">
      <c r="A161">
        <v>-209.31957625000001</v>
      </c>
      <c r="B161">
        <v>-209.5767975</v>
      </c>
      <c r="C161">
        <v>236.017235</v>
      </c>
      <c r="D161">
        <v>122.41949099999999</v>
      </c>
      <c r="E161">
        <v>-29.347334499999999</v>
      </c>
      <c r="F161">
        <v>5.2137762499999996</v>
      </c>
      <c r="G161">
        <v>265.67459100000002</v>
      </c>
      <c r="H161">
        <v>-20</v>
      </c>
      <c r="I161">
        <v>40</v>
      </c>
      <c r="J161">
        <v>1.1775</v>
      </c>
      <c r="K161">
        <v>21.033329500000001</v>
      </c>
      <c r="L161">
        <v>-2.4726990280642949</v>
      </c>
      <c r="M161">
        <v>-1.843389782305636</v>
      </c>
      <c r="N161">
        <v>-1.638089640134023</v>
      </c>
      <c r="O161">
        <v>-1.19188795143332</v>
      </c>
    </row>
    <row r="162" spans="1:15" x14ac:dyDescent="0.25">
      <c r="A162">
        <v>-245.12957750000001</v>
      </c>
      <c r="B162">
        <v>-244.31434250000001</v>
      </c>
      <c r="C162">
        <v>231.04940400000001</v>
      </c>
      <c r="D162">
        <v>96.343423749999999</v>
      </c>
      <c r="E162">
        <v>-80.7274745</v>
      </c>
      <c r="F162">
        <v>5.5548599999999997</v>
      </c>
      <c r="G162">
        <v>264.19416024999998</v>
      </c>
      <c r="H162">
        <v>-20</v>
      </c>
      <c r="I162">
        <v>44</v>
      </c>
      <c r="J162">
        <v>1.1775</v>
      </c>
      <c r="K162">
        <v>20.959644000000001</v>
      </c>
      <c r="L162">
        <v>-2.903683958829971</v>
      </c>
      <c r="M162">
        <v>-2.07726107737889</v>
      </c>
      <c r="N162">
        <v>-2.1032939269844899</v>
      </c>
      <c r="O162">
        <v>-1.5261457838026</v>
      </c>
    </row>
    <row r="163" spans="1:15" x14ac:dyDescent="0.25">
      <c r="A163">
        <v>231.921402</v>
      </c>
      <c r="B163">
        <v>-227.02577199999999</v>
      </c>
      <c r="C163">
        <v>-251.96620575</v>
      </c>
      <c r="D163">
        <v>76.014402250000003</v>
      </c>
      <c r="E163">
        <v>-20.739378500000001</v>
      </c>
      <c r="F163">
        <v>5.2625027499999986</v>
      </c>
      <c r="G163">
        <v>260.24818425000001</v>
      </c>
      <c r="H163">
        <v>-16</v>
      </c>
      <c r="I163">
        <v>-44</v>
      </c>
      <c r="J163">
        <v>1.18</v>
      </c>
      <c r="K163">
        <v>20.788915500000002</v>
      </c>
      <c r="L163">
        <v>2.2119950782150331</v>
      </c>
      <c r="M163">
        <v>-1.3852904785002551</v>
      </c>
      <c r="N163">
        <v>-1.2844853229162849</v>
      </c>
      <c r="O163">
        <v>-1.1188677968177241</v>
      </c>
    </row>
    <row r="164" spans="1:15" x14ac:dyDescent="0.25">
      <c r="A164">
        <v>235.62274525000001</v>
      </c>
      <c r="B164">
        <v>-182.34664925000001</v>
      </c>
      <c r="C164">
        <v>-211.317768</v>
      </c>
      <c r="D164">
        <v>104.3677215</v>
      </c>
      <c r="E164">
        <v>27.359477999999999</v>
      </c>
      <c r="F164">
        <v>5.3599559999999986</v>
      </c>
      <c r="G164">
        <v>258.20749649999999</v>
      </c>
      <c r="H164">
        <v>-16</v>
      </c>
      <c r="I164">
        <v>-40</v>
      </c>
      <c r="J164">
        <v>1.18</v>
      </c>
      <c r="K164">
        <v>20.701571999999999</v>
      </c>
      <c r="L164">
        <v>1.993605944614409</v>
      </c>
      <c r="M164">
        <v>-1.2788960325543659</v>
      </c>
      <c r="N164">
        <v>-1.0297486434153429</v>
      </c>
      <c r="O164">
        <v>-0.90189350142621016</v>
      </c>
    </row>
    <row r="165" spans="1:15" x14ac:dyDescent="0.25">
      <c r="A165">
        <v>236.11927025</v>
      </c>
      <c r="B165">
        <v>-138.36482225</v>
      </c>
      <c r="C165">
        <v>-170.84978100000001</v>
      </c>
      <c r="D165">
        <v>128.33461750000001</v>
      </c>
      <c r="E165">
        <v>68.130430250000003</v>
      </c>
      <c r="F165">
        <v>5.3599560000000004</v>
      </c>
      <c r="G165">
        <v>257.23220850000001</v>
      </c>
      <c r="H165">
        <v>-16</v>
      </c>
      <c r="I165">
        <v>-36</v>
      </c>
      <c r="J165">
        <v>1.18</v>
      </c>
      <c r="K165">
        <v>20.661608999999999</v>
      </c>
      <c r="L165">
        <v>1.8271296373374111</v>
      </c>
      <c r="M165">
        <v>-1.197368038964937</v>
      </c>
      <c r="N165">
        <v>-0.84899399662894748</v>
      </c>
      <c r="O165">
        <v>-0.71819056157067085</v>
      </c>
    </row>
    <row r="166" spans="1:15" x14ac:dyDescent="0.25">
      <c r="A166">
        <v>231.83110775</v>
      </c>
      <c r="B166">
        <v>-93.129253500000004</v>
      </c>
      <c r="C166">
        <v>-127.67491325</v>
      </c>
      <c r="D166">
        <v>148.30486300000001</v>
      </c>
      <c r="E166">
        <v>105.459097</v>
      </c>
      <c r="F166">
        <v>5.1650497499999997</v>
      </c>
      <c r="G166">
        <v>253.43114499999999</v>
      </c>
      <c r="H166">
        <v>-16</v>
      </c>
      <c r="I166">
        <v>-32</v>
      </c>
      <c r="J166">
        <v>1.18</v>
      </c>
      <c r="K166">
        <v>20.5131625</v>
      </c>
      <c r="L166">
        <v>1.665456939202677</v>
      </c>
      <c r="M166">
        <v>-1.1184715285095119</v>
      </c>
      <c r="N166">
        <v>-0.68550279177952145</v>
      </c>
      <c r="O166">
        <v>-0.53537868321685922</v>
      </c>
    </row>
    <row r="167" spans="1:15" x14ac:dyDescent="0.25">
      <c r="A167">
        <v>236.11926675000001</v>
      </c>
      <c r="B167">
        <v>-58.295745749999988</v>
      </c>
      <c r="C167">
        <v>-87.79341500000001</v>
      </c>
      <c r="D167">
        <v>174.32937625</v>
      </c>
      <c r="E167">
        <v>143.81598299999999</v>
      </c>
      <c r="F167">
        <v>5.5061355000000001</v>
      </c>
      <c r="G167">
        <v>262.55370325000001</v>
      </c>
      <c r="H167">
        <v>-16</v>
      </c>
      <c r="I167">
        <v>-28</v>
      </c>
      <c r="J167">
        <v>1.18</v>
      </c>
      <c r="K167">
        <v>20.872724000000002</v>
      </c>
      <c r="L167">
        <v>1.4936608324694629</v>
      </c>
      <c r="M167">
        <v>-1.0727048893933591</v>
      </c>
      <c r="N167">
        <v>-0.54755939765258788</v>
      </c>
      <c r="O167">
        <v>-0.3622167628995544</v>
      </c>
    </row>
    <row r="168" spans="1:15" x14ac:dyDescent="0.25">
      <c r="A168">
        <v>260.40375549999999</v>
      </c>
      <c r="B168">
        <v>-27.58661</v>
      </c>
      <c r="C168">
        <v>-50.21278075</v>
      </c>
      <c r="D168">
        <v>215.77590950000001</v>
      </c>
      <c r="E168">
        <v>195.53966124999999</v>
      </c>
      <c r="F168">
        <v>6.3832135000000001</v>
      </c>
      <c r="G168">
        <v>298.08367900000002</v>
      </c>
      <c r="H168">
        <v>-16</v>
      </c>
      <c r="I168">
        <v>-24</v>
      </c>
      <c r="J168">
        <v>1.18</v>
      </c>
      <c r="K168">
        <v>22.235229</v>
      </c>
      <c r="L168">
        <v>1.324922651694677</v>
      </c>
      <c r="M168">
        <v>-1.0380632570517689</v>
      </c>
      <c r="N168">
        <v>-0.43739910360643408</v>
      </c>
      <c r="O168">
        <v>-0.19314935541572281</v>
      </c>
    </row>
    <row r="169" spans="1:15" x14ac:dyDescent="0.25">
      <c r="A169">
        <v>258.50794250000001</v>
      </c>
      <c r="B169">
        <v>-3.0227425000000001</v>
      </c>
      <c r="C169">
        <v>-2.4361997500000001</v>
      </c>
      <c r="D169">
        <v>241.17172249999999</v>
      </c>
      <c r="E169">
        <v>231.2142485</v>
      </c>
      <c r="F169">
        <v>6.4319397499999997</v>
      </c>
      <c r="G169">
        <v>310.40713499999998</v>
      </c>
      <c r="H169">
        <v>-16</v>
      </c>
      <c r="I169">
        <v>-20</v>
      </c>
      <c r="J169">
        <v>1.18</v>
      </c>
      <c r="K169">
        <v>22.698276249999999</v>
      </c>
      <c r="L169">
        <v>1.11540606397315</v>
      </c>
      <c r="M169">
        <v>-1.0438071083714819</v>
      </c>
      <c r="N169">
        <v>-0.33851385083404201</v>
      </c>
      <c r="O169">
        <v>-3.9144171760671281E-2</v>
      </c>
    </row>
    <row r="170" spans="1:15" x14ac:dyDescent="0.25">
      <c r="A170">
        <v>233.7720755</v>
      </c>
      <c r="B170">
        <v>12.939098749999999</v>
      </c>
      <c r="C170">
        <v>41.820102749999997</v>
      </c>
      <c r="D170">
        <v>244.66379549999999</v>
      </c>
      <c r="E170">
        <v>242.926941</v>
      </c>
      <c r="F170">
        <v>6.3344865000000006</v>
      </c>
      <c r="G170">
        <v>299.00392900000003</v>
      </c>
      <c r="H170">
        <v>-16</v>
      </c>
      <c r="I170">
        <v>-16</v>
      </c>
      <c r="J170">
        <v>1.18</v>
      </c>
      <c r="K170">
        <v>22.27217525</v>
      </c>
      <c r="L170">
        <v>0.89054334609373065</v>
      </c>
      <c r="M170">
        <v>-1.075053472875291</v>
      </c>
      <c r="N170">
        <v>-0.26017403555444901</v>
      </c>
      <c r="O170">
        <v>9.7637677947033721E-2</v>
      </c>
    </row>
    <row r="171" spans="1:15" x14ac:dyDescent="0.25">
      <c r="A171">
        <v>209.62300500000001</v>
      </c>
      <c r="B171">
        <v>25.252858499999999</v>
      </c>
      <c r="C171">
        <v>75.375562500000001</v>
      </c>
      <c r="D171">
        <v>248.34438324999999</v>
      </c>
      <c r="E171">
        <v>251.86795425</v>
      </c>
      <c r="F171">
        <v>6.09085375</v>
      </c>
      <c r="G171">
        <v>292.28204349999999</v>
      </c>
      <c r="H171">
        <v>-16</v>
      </c>
      <c r="I171">
        <v>-12</v>
      </c>
      <c r="J171">
        <v>1.18</v>
      </c>
      <c r="K171">
        <v>22.0242915</v>
      </c>
      <c r="L171">
        <v>0.66606995858692009</v>
      </c>
      <c r="M171">
        <v>-1.106857880629637</v>
      </c>
      <c r="N171">
        <v>-0.2005292695489633</v>
      </c>
      <c r="O171">
        <v>0.2194099538268505</v>
      </c>
    </row>
    <row r="172" spans="1:15" x14ac:dyDescent="0.25">
      <c r="A172">
        <v>184.8419835</v>
      </c>
      <c r="B172">
        <v>29.1971095</v>
      </c>
      <c r="C172">
        <v>99.672787</v>
      </c>
      <c r="D172">
        <v>248.14101400000001</v>
      </c>
      <c r="E172">
        <v>253.96908575</v>
      </c>
      <c r="F172">
        <v>6.1883067500000006</v>
      </c>
      <c r="G172">
        <v>285.28007524999998</v>
      </c>
      <c r="H172">
        <v>-16</v>
      </c>
      <c r="I172">
        <v>-8</v>
      </c>
      <c r="J172">
        <v>1.175</v>
      </c>
      <c r="K172">
        <v>21.795801000000001</v>
      </c>
      <c r="L172">
        <v>0.44939603298911962</v>
      </c>
      <c r="M172">
        <v>-1.1551903514168911</v>
      </c>
      <c r="N172">
        <v>-0.16525527792866329</v>
      </c>
      <c r="O172">
        <v>0.30734939717261739</v>
      </c>
    </row>
    <row r="173" spans="1:15" x14ac:dyDescent="0.25">
      <c r="A173">
        <v>159.7450025</v>
      </c>
      <c r="B173">
        <v>28.379398500000001</v>
      </c>
      <c r="C173">
        <v>124.873251</v>
      </c>
      <c r="D173">
        <v>247.73085025</v>
      </c>
      <c r="E173">
        <v>254.55024725000001</v>
      </c>
      <c r="F173">
        <v>6.0421275000000003</v>
      </c>
      <c r="G173">
        <v>281.55904375</v>
      </c>
      <c r="H173">
        <v>-16</v>
      </c>
      <c r="I173">
        <v>-4</v>
      </c>
      <c r="J173">
        <v>1.175</v>
      </c>
      <c r="K173">
        <v>21.65574925</v>
      </c>
      <c r="L173">
        <v>0.195975621386767</v>
      </c>
      <c r="M173">
        <v>-1.232866499665352</v>
      </c>
      <c r="N173">
        <v>-0.15182336806004201</v>
      </c>
      <c r="O173">
        <v>0.39672080826752881</v>
      </c>
    </row>
    <row r="174" spans="1:15" x14ac:dyDescent="0.25">
      <c r="A174">
        <v>134.91885375000001</v>
      </c>
      <c r="B174">
        <v>28.523700999999999</v>
      </c>
      <c r="C174">
        <v>146.59622974999999</v>
      </c>
      <c r="D174">
        <v>244.29777924999999</v>
      </c>
      <c r="E174">
        <v>251.55501175000001</v>
      </c>
      <c r="F174">
        <v>5.7984945000000003</v>
      </c>
      <c r="G174">
        <v>277.35785675</v>
      </c>
      <c r="H174">
        <v>-16</v>
      </c>
      <c r="I174">
        <v>0</v>
      </c>
      <c r="J174">
        <v>1.175</v>
      </c>
      <c r="K174">
        <v>21.499658749999998</v>
      </c>
      <c r="L174">
        <v>-6.8783092418626846E-2</v>
      </c>
      <c r="M174">
        <v>-1.270510236759909</v>
      </c>
      <c r="N174">
        <v>-0.15195434084807161</v>
      </c>
      <c r="O174">
        <v>0.44705899483751149</v>
      </c>
    </row>
    <row r="175" spans="1:15" x14ac:dyDescent="0.25">
      <c r="A175">
        <v>109.73159575</v>
      </c>
      <c r="B175">
        <v>31.55404025</v>
      </c>
      <c r="C175">
        <v>165.33851225000001</v>
      </c>
      <c r="D175">
        <v>239.08405300000001</v>
      </c>
      <c r="E175">
        <v>246.19041050000001</v>
      </c>
      <c r="F175">
        <v>5.7010415000000014</v>
      </c>
      <c r="G175">
        <v>272.27644325</v>
      </c>
      <c r="H175">
        <v>-16</v>
      </c>
      <c r="I175">
        <v>4</v>
      </c>
      <c r="J175">
        <v>1.18</v>
      </c>
      <c r="K175">
        <v>21.256120750000001</v>
      </c>
      <c r="L175">
        <v>-0.31680589282407889</v>
      </c>
      <c r="M175">
        <v>-1.182179566670903</v>
      </c>
      <c r="N175">
        <v>-0.14862348425037111</v>
      </c>
      <c r="O175">
        <v>0.36996675219544922</v>
      </c>
    </row>
    <row r="176" spans="1:15" x14ac:dyDescent="0.25">
      <c r="A176">
        <v>84.589477500000001</v>
      </c>
      <c r="B176">
        <v>37.181812499999999</v>
      </c>
      <c r="C176">
        <v>184.62274174999999</v>
      </c>
      <c r="D176">
        <v>233.14042624999999</v>
      </c>
      <c r="E176">
        <v>239.17174499999999</v>
      </c>
      <c r="F176">
        <v>5.3112294999999996</v>
      </c>
      <c r="G176">
        <v>269.39561474999999</v>
      </c>
      <c r="H176">
        <v>-16</v>
      </c>
      <c r="I176">
        <v>8</v>
      </c>
      <c r="J176">
        <v>1.18</v>
      </c>
      <c r="K176">
        <v>21.156573999999999</v>
      </c>
      <c r="L176">
        <v>-0.5610821541353106</v>
      </c>
      <c r="M176">
        <v>-1.099119065763563</v>
      </c>
      <c r="N176">
        <v>-0.16952802427890809</v>
      </c>
      <c r="O176">
        <v>0.31173913522604718</v>
      </c>
    </row>
    <row r="177" spans="1:15" x14ac:dyDescent="0.25">
      <c r="A177">
        <v>58.002927499999998</v>
      </c>
      <c r="B177">
        <v>44.15640475</v>
      </c>
      <c r="C177">
        <v>200.92626575</v>
      </c>
      <c r="D177">
        <v>222.56679149999999</v>
      </c>
      <c r="E177">
        <v>226.92255399999999</v>
      </c>
      <c r="F177">
        <v>5.554862</v>
      </c>
      <c r="G177">
        <v>264.87435900000003</v>
      </c>
      <c r="H177">
        <v>-16</v>
      </c>
      <c r="I177">
        <v>12</v>
      </c>
      <c r="J177">
        <v>1.18</v>
      </c>
      <c r="K177">
        <v>20.964841499999999</v>
      </c>
      <c r="L177">
        <v>-0.81279328992977651</v>
      </c>
      <c r="M177">
        <v>-1.014607195525735</v>
      </c>
      <c r="N177">
        <v>-0.2158375922446365</v>
      </c>
      <c r="O177">
        <v>0.25889487168065312</v>
      </c>
    </row>
    <row r="178" spans="1:15" x14ac:dyDescent="0.25">
      <c r="A178">
        <v>31.777486249999999</v>
      </c>
      <c r="B178">
        <v>36.075499749999999</v>
      </c>
      <c r="C178">
        <v>213.1651995</v>
      </c>
      <c r="D178">
        <v>211.26326374999999</v>
      </c>
      <c r="E178">
        <v>210.47113049999999</v>
      </c>
      <c r="F178">
        <v>5.5061355000000001</v>
      </c>
      <c r="G178">
        <v>262.67374425000003</v>
      </c>
      <c r="H178">
        <v>-16</v>
      </c>
      <c r="I178">
        <v>16</v>
      </c>
      <c r="J178">
        <v>1.18</v>
      </c>
      <c r="K178">
        <v>20.877673999999999</v>
      </c>
      <c r="L178">
        <v>-1.027433914664448</v>
      </c>
      <c r="M178">
        <v>-0.99231501796278232</v>
      </c>
      <c r="N178">
        <v>-0.29569199712784849</v>
      </c>
      <c r="O178">
        <v>0.16098029104606251</v>
      </c>
    </row>
    <row r="179" spans="1:15" x14ac:dyDescent="0.25">
      <c r="A179">
        <v>2.1666590000000001</v>
      </c>
      <c r="B179">
        <v>14.57451975</v>
      </c>
      <c r="C179">
        <v>225.26865749999999</v>
      </c>
      <c r="D179">
        <v>198.87701774999999</v>
      </c>
      <c r="E179">
        <v>187.53746425</v>
      </c>
      <c r="F179">
        <v>5.4086825000000003</v>
      </c>
      <c r="G179">
        <v>261.51342025000002</v>
      </c>
      <c r="H179">
        <v>-16</v>
      </c>
      <c r="I179">
        <v>20</v>
      </c>
      <c r="J179">
        <v>1.18</v>
      </c>
      <c r="K179">
        <v>20.834484750000001</v>
      </c>
      <c r="L179">
        <v>-1.245230904895813</v>
      </c>
      <c r="M179">
        <v>-1.028672376185606</v>
      </c>
      <c r="N179">
        <v>-0.41290053556884138</v>
      </c>
      <c r="O179">
        <v>1.6526312754024979E-2</v>
      </c>
    </row>
    <row r="180" spans="1:15" x14ac:dyDescent="0.25">
      <c r="A180">
        <v>-30.765069</v>
      </c>
      <c r="B180">
        <v>-15.496457250000001</v>
      </c>
      <c r="C180">
        <v>230.41712575</v>
      </c>
      <c r="D180">
        <v>182.22725299999999</v>
      </c>
      <c r="E180">
        <v>156.64631299999999</v>
      </c>
      <c r="F180">
        <v>5.3112294999999996</v>
      </c>
      <c r="G180">
        <v>257.39225800000003</v>
      </c>
      <c r="H180">
        <v>-16</v>
      </c>
      <c r="I180">
        <v>24</v>
      </c>
      <c r="J180">
        <v>1.18</v>
      </c>
      <c r="K180">
        <v>20.67017075</v>
      </c>
      <c r="L180">
        <v>-1.452810659808218</v>
      </c>
      <c r="M180">
        <v>-1.099827192500979</v>
      </c>
      <c r="N180">
        <v>-0.56039420028479714</v>
      </c>
      <c r="O180">
        <v>-0.15820650249641949</v>
      </c>
    </row>
    <row r="181" spans="1:15" x14ac:dyDescent="0.25">
      <c r="A181">
        <v>-68.827270499999997</v>
      </c>
      <c r="B181">
        <v>-51.43111425</v>
      </c>
      <c r="C181">
        <v>236.01723475</v>
      </c>
      <c r="D181">
        <v>164.68023299999999</v>
      </c>
      <c r="E181">
        <v>121.418785</v>
      </c>
      <c r="F181">
        <v>4.9701434999999998</v>
      </c>
      <c r="G181">
        <v>256.15191650000003</v>
      </c>
      <c r="H181">
        <v>-16</v>
      </c>
      <c r="I181">
        <v>28</v>
      </c>
      <c r="J181">
        <v>1.18</v>
      </c>
      <c r="K181">
        <v>20.633268999999999</v>
      </c>
      <c r="L181">
        <v>-1.679153823814213</v>
      </c>
      <c r="M181">
        <v>-1.190397626767925</v>
      </c>
      <c r="N181">
        <v>-0.74215411817648791</v>
      </c>
      <c r="O181">
        <v>-0.35858381888412061</v>
      </c>
    </row>
    <row r="182" spans="1:15" x14ac:dyDescent="0.25">
      <c r="A182">
        <v>-107.65521825</v>
      </c>
      <c r="B182">
        <v>-87.077674999999999</v>
      </c>
      <c r="C182">
        <v>239.04309850000001</v>
      </c>
      <c r="D182">
        <v>143.61695474999999</v>
      </c>
      <c r="E182">
        <v>81.094879249999991</v>
      </c>
      <c r="F182">
        <v>5.3112294999999996</v>
      </c>
      <c r="G182">
        <v>254.15135175</v>
      </c>
      <c r="H182">
        <v>-16</v>
      </c>
      <c r="I182">
        <v>32</v>
      </c>
      <c r="J182">
        <v>1.18</v>
      </c>
      <c r="K182">
        <v>20.53686575</v>
      </c>
      <c r="L182">
        <v>-1.9427329969063361</v>
      </c>
      <c r="M182">
        <v>-1.2927050094155199</v>
      </c>
      <c r="N182">
        <v>-0.96974092406300372</v>
      </c>
      <c r="O182">
        <v>-0.575359547954434</v>
      </c>
    </row>
    <row r="183" spans="1:15" x14ac:dyDescent="0.25">
      <c r="A183">
        <v>-146.07776625</v>
      </c>
      <c r="B183">
        <v>-124.6041565</v>
      </c>
      <c r="C183">
        <v>237.64306625</v>
      </c>
      <c r="D183">
        <v>119.60771175000001</v>
      </c>
      <c r="E183">
        <v>33.39465225</v>
      </c>
      <c r="F183">
        <v>5.1650495000000003</v>
      </c>
      <c r="G183">
        <v>251.3905795</v>
      </c>
      <c r="H183">
        <v>-16</v>
      </c>
      <c r="I183">
        <v>36</v>
      </c>
      <c r="J183">
        <v>1.18</v>
      </c>
      <c r="K183">
        <v>20.42868975</v>
      </c>
      <c r="L183">
        <v>-2.27409086587341</v>
      </c>
      <c r="M183">
        <v>-1.447301078664601</v>
      </c>
      <c r="N183">
        <v>-1.2919360304118319</v>
      </c>
      <c r="O183">
        <v>-0.83268665505751616</v>
      </c>
    </row>
    <row r="184" spans="1:15" x14ac:dyDescent="0.25">
      <c r="A184">
        <v>-183.46430599999999</v>
      </c>
      <c r="B184">
        <v>-160.15737150000001</v>
      </c>
      <c r="C184">
        <v>235.38497150000001</v>
      </c>
      <c r="D184">
        <v>95.204292249999995</v>
      </c>
      <c r="E184">
        <v>-16.368499750000002</v>
      </c>
      <c r="F184">
        <v>5.1163232499999998</v>
      </c>
      <c r="G184">
        <v>250.63035199999999</v>
      </c>
      <c r="H184">
        <v>-16</v>
      </c>
      <c r="I184">
        <v>40</v>
      </c>
      <c r="J184">
        <v>1.18</v>
      </c>
      <c r="K184">
        <v>20.399151499999999</v>
      </c>
      <c r="L184">
        <v>-2.6947186385517932</v>
      </c>
      <c r="M184">
        <v>-1.642815476883432</v>
      </c>
      <c r="N184">
        <v>-1.7177780594653971</v>
      </c>
      <c r="O184">
        <v>-1.138230021943508</v>
      </c>
    </row>
    <row r="185" spans="1:15" x14ac:dyDescent="0.25">
      <c r="A185">
        <v>-217.15723399999999</v>
      </c>
      <c r="B185">
        <v>-193.26359575000001</v>
      </c>
      <c r="C185">
        <v>228.11386074999999</v>
      </c>
      <c r="D185">
        <v>68.474376500000005</v>
      </c>
      <c r="E185">
        <v>-69.711074749999995</v>
      </c>
      <c r="F185">
        <v>4.9701434999999998</v>
      </c>
      <c r="G185">
        <v>247.78956575000001</v>
      </c>
      <c r="H185">
        <v>-16</v>
      </c>
      <c r="I185">
        <v>44</v>
      </c>
      <c r="J185">
        <v>1.18</v>
      </c>
      <c r="K185">
        <v>20.286899999999999</v>
      </c>
      <c r="L185">
        <v>-3.2861639265110871</v>
      </c>
      <c r="M185">
        <v>-1.931656133557238</v>
      </c>
      <c r="N185">
        <v>-2.3432011394971508</v>
      </c>
      <c r="O185">
        <v>-1.551155108909261</v>
      </c>
    </row>
    <row r="186" spans="1:15" x14ac:dyDescent="0.25">
      <c r="A186">
        <v>229.12281775</v>
      </c>
      <c r="B186">
        <v>-178.24584200000001</v>
      </c>
      <c r="C186">
        <v>-231.845001</v>
      </c>
      <c r="D186">
        <v>49.723840000000003</v>
      </c>
      <c r="E186">
        <v>-14.807470500000001</v>
      </c>
      <c r="F186">
        <v>5.01887025</v>
      </c>
      <c r="G186">
        <v>246.0290565</v>
      </c>
      <c r="H186">
        <v>-12</v>
      </c>
      <c r="I186">
        <v>-44</v>
      </c>
      <c r="J186">
        <v>1.18</v>
      </c>
      <c r="K186">
        <v>20.211179250000001</v>
      </c>
      <c r="L186">
        <v>2.423178292035264</v>
      </c>
      <c r="M186">
        <v>-1.198347581189479</v>
      </c>
      <c r="N186">
        <v>-1.3711711272081091</v>
      </c>
      <c r="O186">
        <v>-1.104254171790185</v>
      </c>
    </row>
    <row r="187" spans="1:15" x14ac:dyDescent="0.25">
      <c r="A187">
        <v>233.18526825000001</v>
      </c>
      <c r="B187">
        <v>-136.74310274999999</v>
      </c>
      <c r="C187">
        <v>-194.08390775000001</v>
      </c>
      <c r="D187">
        <v>77.27515425</v>
      </c>
      <c r="E187">
        <v>31.874680000000001</v>
      </c>
      <c r="F187">
        <v>4.9214172499999993</v>
      </c>
      <c r="G187">
        <v>244.86874775000001</v>
      </c>
      <c r="H187">
        <v>-12</v>
      </c>
      <c r="I187">
        <v>-40</v>
      </c>
      <c r="J187">
        <v>1.175</v>
      </c>
      <c r="K187">
        <v>20.209586250000001</v>
      </c>
      <c r="L187">
        <v>2.1657129421584438</v>
      </c>
      <c r="M187">
        <v>-1.08479670419851</v>
      </c>
      <c r="N187">
        <v>-1.079610681077777</v>
      </c>
      <c r="O187">
        <v>-0.86338206682071739</v>
      </c>
    </row>
    <row r="188" spans="1:15" x14ac:dyDescent="0.25">
      <c r="A188">
        <v>262.02874774999998</v>
      </c>
      <c r="B188">
        <v>-108.48286025</v>
      </c>
      <c r="C188">
        <v>-176.57936475</v>
      </c>
      <c r="D188">
        <v>113.51064100000001</v>
      </c>
      <c r="E188">
        <v>82.4360255</v>
      </c>
      <c r="F188">
        <v>5.7984945000000003</v>
      </c>
      <c r="G188">
        <v>272.63653575000001</v>
      </c>
      <c r="H188">
        <v>-12</v>
      </c>
      <c r="I188">
        <v>-36</v>
      </c>
      <c r="J188">
        <v>1.18</v>
      </c>
      <c r="K188">
        <v>21.266527499999999</v>
      </c>
      <c r="L188">
        <v>1.9496795004974641</v>
      </c>
      <c r="M188">
        <v>-0.98678796047906503</v>
      </c>
      <c r="N188">
        <v>-0.84549556814868354</v>
      </c>
      <c r="O188">
        <v>-0.65934538193929415</v>
      </c>
    </row>
    <row r="189" spans="1:15" x14ac:dyDescent="0.25">
      <c r="A189">
        <v>291.82012924999998</v>
      </c>
      <c r="B189">
        <v>-72.401876250000001</v>
      </c>
      <c r="C189">
        <v>-148.42772274999999</v>
      </c>
      <c r="D189">
        <v>155.23717875</v>
      </c>
      <c r="E189">
        <v>141.446617</v>
      </c>
      <c r="F189">
        <v>6.7242990000000002</v>
      </c>
      <c r="G189">
        <v>305.80583949999999</v>
      </c>
      <c r="H189">
        <v>-12</v>
      </c>
      <c r="I189">
        <v>-32</v>
      </c>
      <c r="J189">
        <v>1.18</v>
      </c>
      <c r="K189">
        <v>22.514792</v>
      </c>
      <c r="L189">
        <v>1.7480066524632509</v>
      </c>
      <c r="M189">
        <v>-0.90384571342911924</v>
      </c>
      <c r="N189">
        <v>-0.65260914790396862</v>
      </c>
      <c r="O189">
        <v>-0.46511718302428001</v>
      </c>
    </row>
    <row r="190" spans="1:15" x14ac:dyDescent="0.25">
      <c r="A190">
        <v>286.44864625000002</v>
      </c>
      <c r="B190">
        <v>-30.179444</v>
      </c>
      <c r="C190">
        <v>-96.681032250000001</v>
      </c>
      <c r="D190">
        <v>179.87068174999999</v>
      </c>
      <c r="E190">
        <v>181.50228874999999</v>
      </c>
      <c r="F190">
        <v>6.6755727499999997</v>
      </c>
      <c r="G190">
        <v>305.60579675000002</v>
      </c>
      <c r="H190">
        <v>-12</v>
      </c>
      <c r="I190">
        <v>-28</v>
      </c>
      <c r="J190">
        <v>1.18</v>
      </c>
      <c r="K190">
        <v>22.50912125</v>
      </c>
      <c r="L190">
        <v>1.5642353710231081</v>
      </c>
      <c r="M190">
        <v>-0.8575987360335473</v>
      </c>
      <c r="N190">
        <v>-0.50670153832997766</v>
      </c>
      <c r="O190">
        <v>-0.28623017146151669</v>
      </c>
    </row>
    <row r="191" spans="1:15" x14ac:dyDescent="0.25">
      <c r="A191">
        <v>269.47659325000001</v>
      </c>
      <c r="B191">
        <v>7.5518285000000001</v>
      </c>
      <c r="C191">
        <v>-42.949295999999997</v>
      </c>
      <c r="D191">
        <v>192.83057400000001</v>
      </c>
      <c r="E191">
        <v>208.86174374999999</v>
      </c>
      <c r="F191">
        <v>6.1395809999999997</v>
      </c>
      <c r="G191">
        <v>294.72273250000001</v>
      </c>
      <c r="H191">
        <v>-12</v>
      </c>
      <c r="I191">
        <v>-24</v>
      </c>
      <c r="J191">
        <v>1.18</v>
      </c>
      <c r="K191">
        <v>22.116139499999999</v>
      </c>
      <c r="L191">
        <v>1.379000276579929</v>
      </c>
      <c r="M191">
        <v>-0.81778721207448579</v>
      </c>
      <c r="N191">
        <v>-0.37898122189724093</v>
      </c>
      <c r="O191">
        <v>-0.1052194904039022</v>
      </c>
    </row>
    <row r="192" spans="1:15" x14ac:dyDescent="0.25">
      <c r="A192">
        <v>253.27188475</v>
      </c>
      <c r="B192">
        <v>33.429963999999998</v>
      </c>
      <c r="C192">
        <v>1.9419485000000001</v>
      </c>
      <c r="D192">
        <v>203.39493949999999</v>
      </c>
      <c r="E192">
        <v>229.91781225</v>
      </c>
      <c r="F192">
        <v>6.1883067500000006</v>
      </c>
      <c r="G192">
        <v>288.52099625</v>
      </c>
      <c r="H192">
        <v>-12</v>
      </c>
      <c r="I192">
        <v>-20</v>
      </c>
      <c r="J192">
        <v>1.1725000000000001</v>
      </c>
      <c r="K192">
        <v>21.94528425</v>
      </c>
      <c r="L192">
        <v>1.184227617581846</v>
      </c>
      <c r="M192">
        <v>-0.80084884322439853</v>
      </c>
      <c r="N192">
        <v>-0.276137816082766</v>
      </c>
      <c r="O192">
        <v>5.4176252121242822E-2</v>
      </c>
    </row>
    <row r="193" spans="1:15" x14ac:dyDescent="0.25">
      <c r="A193">
        <v>233.18526449999999</v>
      </c>
      <c r="B193">
        <v>48.9183655</v>
      </c>
      <c r="C193">
        <v>43.897561749999987</v>
      </c>
      <c r="D193">
        <v>211.00043099999999</v>
      </c>
      <c r="E193">
        <v>243.50810999999999</v>
      </c>
      <c r="F193">
        <v>5.7010417499999999</v>
      </c>
      <c r="G193">
        <v>281.79911025000001</v>
      </c>
      <c r="H193">
        <v>-12</v>
      </c>
      <c r="I193">
        <v>-16</v>
      </c>
      <c r="J193">
        <v>1.18</v>
      </c>
      <c r="K193">
        <v>21.632444249999999</v>
      </c>
      <c r="L193">
        <v>0.96036950761081619</v>
      </c>
      <c r="M193">
        <v>-0.82234499311935649</v>
      </c>
      <c r="N193">
        <v>-0.19428319704965369</v>
      </c>
      <c r="O193">
        <v>0.20653190727380211</v>
      </c>
    </row>
    <row r="194" spans="1:15" x14ac:dyDescent="0.25">
      <c r="A194">
        <v>212.1507455</v>
      </c>
      <c r="B194">
        <v>60.362121500000001</v>
      </c>
      <c r="C194">
        <v>80.117583999999994</v>
      </c>
      <c r="D194">
        <v>217.936577</v>
      </c>
      <c r="E194">
        <v>252.00207125</v>
      </c>
      <c r="F194">
        <v>5.9446744999999996</v>
      </c>
      <c r="G194">
        <v>277.51790625000001</v>
      </c>
      <c r="H194">
        <v>-12</v>
      </c>
      <c r="I194">
        <v>-12</v>
      </c>
      <c r="J194">
        <v>1.18</v>
      </c>
      <c r="K194">
        <v>21.454453999999998</v>
      </c>
      <c r="L194">
        <v>0.7263940271653232</v>
      </c>
      <c r="M194">
        <v>-0.86693665647917628</v>
      </c>
      <c r="N194">
        <v>-0.14038210900282799</v>
      </c>
      <c r="O194">
        <v>0.35374128758950629</v>
      </c>
    </row>
    <row r="195" spans="1:15" x14ac:dyDescent="0.25">
      <c r="A195">
        <v>191.25164774999999</v>
      </c>
      <c r="B195">
        <v>66.571294749999993</v>
      </c>
      <c r="C195">
        <v>109.15683199999999</v>
      </c>
      <c r="D195">
        <v>222.99073425</v>
      </c>
      <c r="E195">
        <v>258.75251750000001</v>
      </c>
      <c r="F195">
        <v>6.0421275000000003</v>
      </c>
      <c r="G195">
        <v>275.23725899999999</v>
      </c>
      <c r="H195">
        <v>-12</v>
      </c>
      <c r="I195">
        <v>-8</v>
      </c>
      <c r="J195">
        <v>1.175</v>
      </c>
      <c r="K195">
        <v>21.405844250000001</v>
      </c>
      <c r="L195">
        <v>0.48039361237119188</v>
      </c>
      <c r="M195">
        <v>-0.9153361383653511</v>
      </c>
      <c r="N195">
        <v>-9.6473353626006064E-2</v>
      </c>
      <c r="O195">
        <v>0.47880892254080393</v>
      </c>
    </row>
    <row r="196" spans="1:15" x14ac:dyDescent="0.25">
      <c r="A196">
        <v>167.05743799999999</v>
      </c>
      <c r="B196">
        <v>66.956102250000001</v>
      </c>
      <c r="C196">
        <v>131.55723599999999</v>
      </c>
      <c r="D196">
        <v>221.44334000000001</v>
      </c>
      <c r="E196">
        <v>257.41136925000001</v>
      </c>
      <c r="F196">
        <v>5.6523149999999998</v>
      </c>
      <c r="G196">
        <v>270.07582074999999</v>
      </c>
      <c r="H196">
        <v>-12</v>
      </c>
      <c r="I196">
        <v>-4</v>
      </c>
      <c r="J196">
        <v>1.18</v>
      </c>
      <c r="K196">
        <v>21.170152999999999</v>
      </c>
      <c r="L196">
        <v>0.22445434173897419</v>
      </c>
      <c r="M196">
        <v>-0.97681907519263289</v>
      </c>
      <c r="N196">
        <v>-8.0089837957660545E-2</v>
      </c>
      <c r="O196">
        <v>0.59186782097229984</v>
      </c>
    </row>
    <row r="197" spans="1:15" x14ac:dyDescent="0.25">
      <c r="A197">
        <v>143.94654825000001</v>
      </c>
      <c r="B197">
        <v>66.426990499999988</v>
      </c>
      <c r="C197">
        <v>152.24150449999999</v>
      </c>
      <c r="D197">
        <v>220.84407825</v>
      </c>
      <c r="E197">
        <v>257.14313874999999</v>
      </c>
      <c r="F197">
        <v>5.7984947499999997</v>
      </c>
      <c r="G197">
        <v>268.23529825000003</v>
      </c>
      <c r="H197">
        <v>-12</v>
      </c>
      <c r="I197">
        <v>0</v>
      </c>
      <c r="J197">
        <v>1.18</v>
      </c>
      <c r="K197">
        <v>21.090472999999999</v>
      </c>
      <c r="L197">
        <v>-5.4569626603627013E-2</v>
      </c>
      <c r="M197">
        <v>-1.016222590580663</v>
      </c>
      <c r="N197">
        <v>-7.3029399007308468E-2</v>
      </c>
      <c r="O197">
        <v>0.65407369118949976</v>
      </c>
    </row>
    <row r="198" spans="1:15" x14ac:dyDescent="0.25">
      <c r="A198">
        <v>119.52664175</v>
      </c>
      <c r="B198">
        <v>70.034539999999993</v>
      </c>
      <c r="C198">
        <v>173.2418825</v>
      </c>
      <c r="D198">
        <v>217.96656050000001</v>
      </c>
      <c r="E198">
        <v>254.28202049999999</v>
      </c>
      <c r="F198">
        <v>5.4086825000000003</v>
      </c>
      <c r="G198">
        <v>266.03469074999998</v>
      </c>
      <c r="H198">
        <v>-12</v>
      </c>
      <c r="I198">
        <v>4</v>
      </c>
      <c r="J198">
        <v>1.18</v>
      </c>
      <c r="K198">
        <v>21.017582999999998</v>
      </c>
      <c r="L198">
        <v>-0.33676178404969459</v>
      </c>
      <c r="M198">
        <v>-0.92742963160414327</v>
      </c>
      <c r="N198">
        <v>-7.3692429554385375E-2</v>
      </c>
      <c r="O198">
        <v>0.5603706092170444</v>
      </c>
    </row>
    <row r="199" spans="1:15" x14ac:dyDescent="0.25">
      <c r="A199">
        <v>93.707444750000008</v>
      </c>
      <c r="B199">
        <v>73.88259149999999</v>
      </c>
      <c r="C199">
        <v>190.629299</v>
      </c>
      <c r="D199">
        <v>210.86893875000001</v>
      </c>
      <c r="E199">
        <v>246.19041050000001</v>
      </c>
      <c r="F199">
        <v>5.4574090000000002</v>
      </c>
      <c r="G199">
        <v>262.31362899999999</v>
      </c>
      <c r="H199">
        <v>-12</v>
      </c>
      <c r="I199">
        <v>8</v>
      </c>
      <c r="J199">
        <v>1.1775</v>
      </c>
      <c r="K199">
        <v>20.887275750000001</v>
      </c>
      <c r="L199">
        <v>-0.59681420730960355</v>
      </c>
      <c r="M199">
        <v>-0.84353298477576044</v>
      </c>
      <c r="N199">
        <v>-9.9289817960155818E-2</v>
      </c>
      <c r="O199">
        <v>0.48240463683325119</v>
      </c>
    </row>
    <row r="200" spans="1:15" x14ac:dyDescent="0.25">
      <c r="A200">
        <v>67.617422000000005</v>
      </c>
      <c r="B200">
        <v>72.343372250000002</v>
      </c>
      <c r="C200">
        <v>206.52637125000001</v>
      </c>
      <c r="D200">
        <v>202.93893449999999</v>
      </c>
      <c r="E200">
        <v>236.75765999999999</v>
      </c>
      <c r="F200">
        <v>5.0188697500000004</v>
      </c>
      <c r="G200">
        <v>260.99327875</v>
      </c>
      <c r="H200">
        <v>-12</v>
      </c>
      <c r="I200">
        <v>12</v>
      </c>
      <c r="J200">
        <v>1.1775</v>
      </c>
      <c r="K200">
        <v>20.851390250000001</v>
      </c>
      <c r="L200">
        <v>-0.83287660519707263</v>
      </c>
      <c r="M200">
        <v>-0.78305156923722696</v>
      </c>
      <c r="N200">
        <v>-0.1453253853964758</v>
      </c>
      <c r="O200">
        <v>0.38953070294873288</v>
      </c>
    </row>
    <row r="201" spans="1:15" x14ac:dyDescent="0.25">
      <c r="A201">
        <v>40.308653749999998</v>
      </c>
      <c r="B201">
        <v>61.319739249999998</v>
      </c>
      <c r="C201">
        <v>219.57823174999999</v>
      </c>
      <c r="D201">
        <v>190.47192774999999</v>
      </c>
      <c r="E201">
        <v>220.26152400000001</v>
      </c>
      <c r="F201">
        <v>5.1650497499999997</v>
      </c>
      <c r="G201">
        <v>258.11245724999998</v>
      </c>
      <c r="H201">
        <v>-12</v>
      </c>
      <c r="I201">
        <v>16</v>
      </c>
      <c r="J201">
        <v>1.18</v>
      </c>
      <c r="K201">
        <v>20.705654249999998</v>
      </c>
      <c r="L201">
        <v>-1.0579667360907521</v>
      </c>
      <c r="M201">
        <v>-0.76220106453539527</v>
      </c>
      <c r="N201">
        <v>-0.22338099267627681</v>
      </c>
      <c r="O201">
        <v>0.26940178528648551</v>
      </c>
    </row>
    <row r="202" spans="1:15" x14ac:dyDescent="0.25">
      <c r="A202">
        <v>8.0797972500000004</v>
      </c>
      <c r="B202">
        <v>40.735532749999997</v>
      </c>
      <c r="C202">
        <v>229.01710524999999</v>
      </c>
      <c r="D202">
        <v>176.05949774999999</v>
      </c>
      <c r="E202">
        <v>196.79139724999999</v>
      </c>
      <c r="F202">
        <v>5.3599560000000004</v>
      </c>
      <c r="G202">
        <v>255.91184999999999</v>
      </c>
      <c r="H202">
        <v>-12</v>
      </c>
      <c r="I202">
        <v>20</v>
      </c>
      <c r="J202">
        <v>1.18</v>
      </c>
      <c r="K202">
        <v>20.6073825</v>
      </c>
      <c r="L202">
        <v>-1.2816680041532691</v>
      </c>
      <c r="M202">
        <v>-0.78501593138397008</v>
      </c>
      <c r="N202">
        <v>-0.34297358208085499</v>
      </c>
      <c r="O202">
        <v>0.1105073189977398</v>
      </c>
    </row>
    <row r="203" spans="1:15" x14ac:dyDescent="0.25">
      <c r="A203">
        <v>-27.521899749999999</v>
      </c>
      <c r="B203">
        <v>14.478318249999999</v>
      </c>
      <c r="C203">
        <v>236.55919249999999</v>
      </c>
      <c r="D203">
        <v>162.35826474999999</v>
      </c>
      <c r="E203">
        <v>170.86250699999999</v>
      </c>
      <c r="F203">
        <v>5.2625029999999997</v>
      </c>
      <c r="G203">
        <v>254.99158125</v>
      </c>
      <c r="H203">
        <v>-12</v>
      </c>
      <c r="I203">
        <v>24</v>
      </c>
      <c r="J203">
        <v>1.18</v>
      </c>
      <c r="K203">
        <v>20.573518</v>
      </c>
      <c r="L203">
        <v>-1.488756710179878</v>
      </c>
      <c r="M203">
        <v>-0.83367034412135232</v>
      </c>
      <c r="N203">
        <v>-0.47428093801149518</v>
      </c>
      <c r="O203">
        <v>-6.64363991329954E-2</v>
      </c>
    </row>
    <row r="204" spans="1:15" x14ac:dyDescent="0.25">
      <c r="A204">
        <v>-72.520879750000006</v>
      </c>
      <c r="B204">
        <v>-20.247575999999999</v>
      </c>
      <c r="C204">
        <v>239.6753655</v>
      </c>
      <c r="D204">
        <v>141.27688599999999</v>
      </c>
      <c r="E204">
        <v>131.03035349999999</v>
      </c>
      <c r="F204">
        <v>4.9701434999999998</v>
      </c>
      <c r="G204">
        <v>251.67065825</v>
      </c>
      <c r="H204">
        <v>-12</v>
      </c>
      <c r="I204">
        <v>28</v>
      </c>
      <c r="J204">
        <v>1.18</v>
      </c>
      <c r="K204">
        <v>20.448383499999998</v>
      </c>
      <c r="L204">
        <v>-1.7597031168293871</v>
      </c>
      <c r="M204">
        <v>-0.91043243415706177</v>
      </c>
      <c r="N204">
        <v>-0.67999091362796582</v>
      </c>
      <c r="O204">
        <v>-0.28945758143348632</v>
      </c>
    </row>
    <row r="205" spans="1:15" x14ac:dyDescent="0.25">
      <c r="A205">
        <v>-123.37558174999999</v>
      </c>
      <c r="B205">
        <v>-58.487665249999999</v>
      </c>
      <c r="C205">
        <v>259.99833699999999</v>
      </c>
      <c r="D205">
        <v>128.96717824999999</v>
      </c>
      <c r="E205">
        <v>96.562805249999997</v>
      </c>
      <c r="F205">
        <v>5.6035884999999999</v>
      </c>
      <c r="G205">
        <v>268.71543124999999</v>
      </c>
      <c r="H205">
        <v>-12</v>
      </c>
      <c r="I205">
        <v>32</v>
      </c>
      <c r="J205">
        <v>1.18</v>
      </c>
      <c r="K205">
        <v>21.117471999999999</v>
      </c>
      <c r="L205">
        <v>-2.0446818489258241</v>
      </c>
      <c r="M205">
        <v>-0.9997578990494469</v>
      </c>
      <c r="N205">
        <v>-0.91813727052366123</v>
      </c>
      <c r="O205">
        <v>-0.51484484176370926</v>
      </c>
    </row>
    <row r="206" spans="1:15" x14ac:dyDescent="0.25">
      <c r="A206">
        <v>-188.32906349999999</v>
      </c>
      <c r="B206">
        <v>-107.42730725</v>
      </c>
      <c r="C206">
        <v>295.45058449999999</v>
      </c>
      <c r="D206">
        <v>116.04417625000001</v>
      </c>
      <c r="E206">
        <v>51.500172500000012</v>
      </c>
      <c r="F206">
        <v>6.3832129999999996</v>
      </c>
      <c r="G206">
        <v>303.72526549999998</v>
      </c>
      <c r="H206">
        <v>-12</v>
      </c>
      <c r="I206">
        <v>36</v>
      </c>
      <c r="J206">
        <v>1.18</v>
      </c>
      <c r="K206">
        <v>22.44921575</v>
      </c>
      <c r="L206">
        <v>-2.4264947001081349</v>
      </c>
      <c r="M206">
        <v>-1.120853215037714</v>
      </c>
      <c r="N206">
        <v>-1.265108407993758</v>
      </c>
      <c r="O206">
        <v>-0.77373807854259669</v>
      </c>
    </row>
    <row r="207" spans="1:15" x14ac:dyDescent="0.25">
      <c r="A207">
        <v>-232.74246224999999</v>
      </c>
      <c r="B207">
        <v>-151.28106299999999</v>
      </c>
      <c r="C207">
        <v>296.12801350000001</v>
      </c>
      <c r="D207">
        <v>85.817481999999998</v>
      </c>
      <c r="E207">
        <v>-13.246441750000001</v>
      </c>
      <c r="F207">
        <v>6.4319395000000004</v>
      </c>
      <c r="G207">
        <v>305.76583125000002</v>
      </c>
      <c r="H207">
        <v>-12</v>
      </c>
      <c r="I207">
        <v>40</v>
      </c>
      <c r="J207">
        <v>1.18</v>
      </c>
      <c r="K207">
        <v>22.524322999999999</v>
      </c>
      <c r="L207">
        <v>-2.958520627960358</v>
      </c>
      <c r="M207">
        <v>-1.326362951596386</v>
      </c>
      <c r="N207">
        <v>-1.7846391432963939</v>
      </c>
      <c r="O207">
        <v>-1.110110624801639</v>
      </c>
    </row>
    <row r="208" spans="1:15" x14ac:dyDescent="0.25">
      <c r="A208">
        <v>-262.6066515</v>
      </c>
      <c r="B208">
        <v>-185.49082575</v>
      </c>
      <c r="C208">
        <v>282.17294349999997</v>
      </c>
      <c r="D208">
        <v>50.114935750000001</v>
      </c>
      <c r="E208">
        <v>-79.121845250000007</v>
      </c>
      <c r="F208">
        <v>6.1883067500000006</v>
      </c>
      <c r="G208">
        <v>296.08311450000002</v>
      </c>
      <c r="H208">
        <v>-12</v>
      </c>
      <c r="I208">
        <v>44</v>
      </c>
      <c r="J208">
        <v>1.18</v>
      </c>
      <c r="K208">
        <v>22.166348249999999</v>
      </c>
      <c r="L208">
        <v>-3.7590479301172852</v>
      </c>
      <c r="M208">
        <v>-1.6256988911513279</v>
      </c>
      <c r="N208">
        <v>-2.5889863201432961</v>
      </c>
      <c r="O208">
        <v>-1.588663470307591</v>
      </c>
    </row>
    <row r="209" spans="1:15" x14ac:dyDescent="0.25">
      <c r="A209">
        <v>273.90016150000002</v>
      </c>
      <c r="B209">
        <v>-161.69272599999999</v>
      </c>
      <c r="C209">
        <v>-272.63836674999999</v>
      </c>
      <c r="D209">
        <v>25.057445000000001</v>
      </c>
      <c r="E209">
        <v>-16.234696</v>
      </c>
      <c r="F209">
        <v>5.7010415000000014</v>
      </c>
      <c r="G209">
        <v>284.83995825</v>
      </c>
      <c r="H209">
        <v>-8</v>
      </c>
      <c r="I209">
        <v>-44</v>
      </c>
      <c r="J209">
        <v>1.18</v>
      </c>
      <c r="K209">
        <v>21.751242000000001</v>
      </c>
      <c r="L209">
        <v>2.7201588583114771</v>
      </c>
      <c r="M209">
        <v>-0.92942366338082716</v>
      </c>
      <c r="N209">
        <v>-1.4985277100282259</v>
      </c>
      <c r="O209">
        <v>-1.1092285541857161</v>
      </c>
    </row>
    <row r="210" spans="1:15" x14ac:dyDescent="0.25">
      <c r="A210">
        <v>272.99739049999999</v>
      </c>
      <c r="B210">
        <v>-113.47278774999999</v>
      </c>
      <c r="C210">
        <v>-226.59679800000001</v>
      </c>
      <c r="D210">
        <v>57.781129</v>
      </c>
      <c r="E210">
        <v>39.38512025</v>
      </c>
      <c r="F210">
        <v>5.7497680000000004</v>
      </c>
      <c r="G210">
        <v>278.71823875000001</v>
      </c>
      <c r="H210">
        <v>-8</v>
      </c>
      <c r="I210">
        <v>-40</v>
      </c>
      <c r="J210">
        <v>1.18</v>
      </c>
      <c r="K210">
        <v>21.509494499999999</v>
      </c>
      <c r="L210">
        <v>2.3856371803461398</v>
      </c>
      <c r="M210">
        <v>-0.81775301605565209</v>
      </c>
      <c r="N210">
        <v>-1.142862237592968</v>
      </c>
      <c r="O210">
        <v>-0.83939459279470774</v>
      </c>
    </row>
    <row r="211" spans="1:15" x14ac:dyDescent="0.25">
      <c r="A211">
        <v>272.04948424999998</v>
      </c>
      <c r="B211">
        <v>-70.146818249999995</v>
      </c>
      <c r="C211">
        <v>-180.300274</v>
      </c>
      <c r="D211">
        <v>87.788786000000002</v>
      </c>
      <c r="E211">
        <v>88.873548749999998</v>
      </c>
      <c r="F211">
        <v>5.9446747499999999</v>
      </c>
      <c r="G211">
        <v>276.27756525000001</v>
      </c>
      <c r="H211">
        <v>-8</v>
      </c>
      <c r="I211">
        <v>-36</v>
      </c>
      <c r="J211">
        <v>1.18</v>
      </c>
      <c r="K211">
        <v>21.40540425</v>
      </c>
      <c r="L211">
        <v>2.1128256261613538</v>
      </c>
      <c r="M211">
        <v>-0.7376848699550016</v>
      </c>
      <c r="N211">
        <v>-0.87532643728251869</v>
      </c>
      <c r="O211">
        <v>-0.61265195132470629</v>
      </c>
    </row>
    <row r="212" spans="1:15" x14ac:dyDescent="0.25">
      <c r="A212">
        <v>265.95579550000002</v>
      </c>
      <c r="B212">
        <v>-31.810764750000001</v>
      </c>
      <c r="C212">
        <v>-132.115284</v>
      </c>
      <c r="D212">
        <v>114.64967175</v>
      </c>
      <c r="E212">
        <v>131.25387574999999</v>
      </c>
      <c r="F212">
        <v>5.554862</v>
      </c>
      <c r="G212">
        <v>271.35616325000001</v>
      </c>
      <c r="H212">
        <v>-8</v>
      </c>
      <c r="I212">
        <v>-32</v>
      </c>
      <c r="J212">
        <v>1.18</v>
      </c>
      <c r="K212">
        <v>21.225236500000001</v>
      </c>
      <c r="L212">
        <v>1.8669801936316159</v>
      </c>
      <c r="M212">
        <v>-0.68690536217403131</v>
      </c>
      <c r="N212">
        <v>-0.65708994524462794</v>
      </c>
      <c r="O212">
        <v>-0.41046342829789922</v>
      </c>
    </row>
    <row r="213" spans="1:15" x14ac:dyDescent="0.25">
      <c r="A213">
        <v>260.13292725000002</v>
      </c>
      <c r="B213">
        <v>6.1569102500000001</v>
      </c>
      <c r="C213">
        <v>-84.945583499999998</v>
      </c>
      <c r="D213">
        <v>135.2315485</v>
      </c>
      <c r="E213">
        <v>168.58254600000001</v>
      </c>
      <c r="F213">
        <v>5.7010414999999997</v>
      </c>
      <c r="G213">
        <v>269.47566225000003</v>
      </c>
      <c r="H213">
        <v>-8</v>
      </c>
      <c r="I213">
        <v>-28</v>
      </c>
      <c r="J213">
        <v>1.18</v>
      </c>
      <c r="K213">
        <v>21.14416275</v>
      </c>
      <c r="L213">
        <v>1.65921508568292</v>
      </c>
      <c r="M213">
        <v>-0.62061717954875162</v>
      </c>
      <c r="N213">
        <v>-0.48512286122630383</v>
      </c>
      <c r="O213">
        <v>-0.21682527907485349</v>
      </c>
    </row>
    <row r="214" spans="1:15" x14ac:dyDescent="0.25">
      <c r="A214">
        <v>251.28579325000001</v>
      </c>
      <c r="B214">
        <v>34.723826500000001</v>
      </c>
      <c r="C214">
        <v>-40.462691499999998</v>
      </c>
      <c r="D214">
        <v>154.46274174999999</v>
      </c>
      <c r="E214">
        <v>198.17725375000001</v>
      </c>
      <c r="F214">
        <v>5.5061355000000001</v>
      </c>
      <c r="G214">
        <v>267.99523149999999</v>
      </c>
      <c r="H214">
        <v>-8</v>
      </c>
      <c r="I214">
        <v>-24</v>
      </c>
      <c r="J214">
        <v>1.18</v>
      </c>
      <c r="K214">
        <v>21.0925735</v>
      </c>
      <c r="L214">
        <v>1.451179024965858</v>
      </c>
      <c r="M214">
        <v>-0.59557981632736645</v>
      </c>
      <c r="N214">
        <v>-0.34729143268780849</v>
      </c>
      <c r="O214">
        <v>-4.165250497316085E-2</v>
      </c>
    </row>
    <row r="215" spans="1:15" x14ac:dyDescent="0.25">
      <c r="A215">
        <v>237.96995175000001</v>
      </c>
      <c r="B215">
        <v>57.428130250000002</v>
      </c>
      <c r="C215">
        <v>-0.90225449999999996</v>
      </c>
      <c r="D215">
        <v>165.10779575000001</v>
      </c>
      <c r="E215">
        <v>217.75802974999999</v>
      </c>
      <c r="F215">
        <v>5.3112294999999996</v>
      </c>
      <c r="G215">
        <v>263.59399400000001</v>
      </c>
      <c r="H215">
        <v>-8</v>
      </c>
      <c r="I215">
        <v>-20</v>
      </c>
      <c r="J215">
        <v>1.18</v>
      </c>
      <c r="K215">
        <v>20.922891499999999</v>
      </c>
      <c r="L215">
        <v>1.260572587039247</v>
      </c>
      <c r="M215">
        <v>-0.56825990249715463</v>
      </c>
      <c r="N215">
        <v>-0.2418937945635842</v>
      </c>
      <c r="O215">
        <v>0.1211280523055504</v>
      </c>
    </row>
    <row r="216" spans="1:15" x14ac:dyDescent="0.25">
      <c r="A216">
        <v>224.6992305</v>
      </c>
      <c r="B216">
        <v>74.155635750000002</v>
      </c>
      <c r="C216">
        <v>36.671621500000001</v>
      </c>
      <c r="D216">
        <v>176.10330200000001</v>
      </c>
      <c r="E216">
        <v>234.61181250000001</v>
      </c>
      <c r="F216">
        <v>5.4086824999999994</v>
      </c>
      <c r="G216">
        <v>262.35363749999999</v>
      </c>
      <c r="H216">
        <v>-8</v>
      </c>
      <c r="I216">
        <v>-16</v>
      </c>
      <c r="J216">
        <v>1.18</v>
      </c>
      <c r="K216">
        <v>20.868633249999998</v>
      </c>
      <c r="L216">
        <v>1.0492782966447991</v>
      </c>
      <c r="M216">
        <v>-0.56891524129592641</v>
      </c>
      <c r="N216">
        <v>-0.1548193060909907</v>
      </c>
      <c r="O216">
        <v>0.27904858972556001</v>
      </c>
    </row>
    <row r="217" spans="1:15" x14ac:dyDescent="0.25">
      <c r="A217">
        <v>206.68899525</v>
      </c>
      <c r="B217">
        <v>85.955846750000006</v>
      </c>
      <c r="C217">
        <v>74.381997999999996</v>
      </c>
      <c r="D217">
        <v>185.18302925</v>
      </c>
      <c r="E217">
        <v>244.17868824999999</v>
      </c>
      <c r="F217">
        <v>5.4086825000000003</v>
      </c>
      <c r="G217">
        <v>259.71290599999998</v>
      </c>
      <c r="H217">
        <v>-8</v>
      </c>
      <c r="I217">
        <v>-12</v>
      </c>
      <c r="J217">
        <v>1.18</v>
      </c>
      <c r="K217">
        <v>20.76111525</v>
      </c>
      <c r="L217">
        <v>0.80672317209990374</v>
      </c>
      <c r="M217">
        <v>-0.60499098939713802</v>
      </c>
      <c r="N217">
        <v>-9.4722977318348889E-2</v>
      </c>
      <c r="O217">
        <v>0.45583101652694602</v>
      </c>
    </row>
    <row r="218" spans="1:15" x14ac:dyDescent="0.25">
      <c r="A218">
        <v>188.13709249999999</v>
      </c>
      <c r="B218">
        <v>92.677022999999991</v>
      </c>
      <c r="C218">
        <v>104.459965</v>
      </c>
      <c r="D218">
        <v>190.03386325</v>
      </c>
      <c r="E218">
        <v>249.45387650000001</v>
      </c>
      <c r="F218">
        <v>5.5061355000000001</v>
      </c>
      <c r="G218">
        <v>257.19220000000001</v>
      </c>
      <c r="H218">
        <v>-8</v>
      </c>
      <c r="I218">
        <v>-8</v>
      </c>
      <c r="J218">
        <v>1.18</v>
      </c>
      <c r="K218">
        <v>20.653971500000001</v>
      </c>
      <c r="L218">
        <v>0.55458093958878407</v>
      </c>
      <c r="M218">
        <v>-0.64521938226431252</v>
      </c>
      <c r="N218">
        <v>-5.1297085205571781E-2</v>
      </c>
      <c r="O218">
        <v>0.61679935207253189</v>
      </c>
    </row>
    <row r="219" spans="1:15" x14ac:dyDescent="0.25">
      <c r="A219">
        <v>166.69633074999999</v>
      </c>
      <c r="B219">
        <v>94.889221249999991</v>
      </c>
      <c r="C219">
        <v>129.34429950000001</v>
      </c>
      <c r="D219">
        <v>192.09277725000001</v>
      </c>
      <c r="E219">
        <v>252.00207125</v>
      </c>
      <c r="F219">
        <v>5.3599560000000004</v>
      </c>
      <c r="G219">
        <v>256.23193375</v>
      </c>
      <c r="H219">
        <v>-8</v>
      </c>
      <c r="I219">
        <v>-4</v>
      </c>
      <c r="J219">
        <v>1.18</v>
      </c>
      <c r="K219">
        <v>20.62054075</v>
      </c>
      <c r="L219">
        <v>0.26701429988269798</v>
      </c>
      <c r="M219">
        <v>-0.69488821512621279</v>
      </c>
      <c r="N219">
        <v>-3.0248142570860011E-2</v>
      </c>
      <c r="O219">
        <v>0.76318033569216159</v>
      </c>
    </row>
    <row r="220" spans="1:15" x14ac:dyDescent="0.25">
      <c r="A220">
        <v>143.49515925</v>
      </c>
      <c r="B220">
        <v>93.82468025</v>
      </c>
      <c r="C220">
        <v>148.718853</v>
      </c>
      <c r="D220">
        <v>190.74692924999999</v>
      </c>
      <c r="E220">
        <v>250.16915875000001</v>
      </c>
      <c r="F220">
        <v>5.0188697500000004</v>
      </c>
      <c r="G220">
        <v>252.95100400000001</v>
      </c>
      <c r="H220">
        <v>-8</v>
      </c>
      <c r="I220">
        <v>0</v>
      </c>
      <c r="J220">
        <v>1.18</v>
      </c>
      <c r="K220">
        <v>20.499362000000001</v>
      </c>
      <c r="L220">
        <v>-3.9721528341867172E-2</v>
      </c>
      <c r="M220">
        <v>-0.73699706164572942</v>
      </c>
      <c r="N220">
        <v>-2.11615525647799E-2</v>
      </c>
      <c r="O220">
        <v>0.86416202291401434</v>
      </c>
    </row>
    <row r="221" spans="1:15" x14ac:dyDescent="0.25">
      <c r="A221">
        <v>123.49882700000001</v>
      </c>
      <c r="B221">
        <v>98.750612250000003</v>
      </c>
      <c r="C221">
        <v>173.28704825</v>
      </c>
      <c r="D221">
        <v>193.10033774999999</v>
      </c>
      <c r="E221">
        <v>253.477329</v>
      </c>
      <c r="F221">
        <v>5.3599560000000004</v>
      </c>
      <c r="G221">
        <v>257.79237000000001</v>
      </c>
      <c r="H221">
        <v>-8</v>
      </c>
      <c r="I221">
        <v>4</v>
      </c>
      <c r="J221">
        <v>1.18</v>
      </c>
      <c r="K221">
        <v>20.684482750000001</v>
      </c>
      <c r="L221">
        <v>-0.34976434677025792</v>
      </c>
      <c r="M221">
        <v>-0.66280541231635504</v>
      </c>
      <c r="N221">
        <v>-3.0332619538121001E-2</v>
      </c>
      <c r="O221">
        <v>0.74298520582009264</v>
      </c>
    </row>
    <row r="222" spans="1:15" x14ac:dyDescent="0.25">
      <c r="A222">
        <v>111.44685749999999</v>
      </c>
      <c r="B222">
        <v>115.67397699999999</v>
      </c>
      <c r="C222">
        <v>219.533062</v>
      </c>
      <c r="D222">
        <v>214.60948200000001</v>
      </c>
      <c r="E222">
        <v>285.3519895</v>
      </c>
      <c r="F222">
        <v>6.28576025</v>
      </c>
      <c r="G222">
        <v>293.48239150000001</v>
      </c>
      <c r="H222">
        <v>-8</v>
      </c>
      <c r="I222">
        <v>8</v>
      </c>
      <c r="J222">
        <v>1.18</v>
      </c>
      <c r="K222">
        <v>22.062881749999999</v>
      </c>
      <c r="L222">
        <v>-0.62913754669706823</v>
      </c>
      <c r="M222">
        <v>-0.57589119381793152</v>
      </c>
      <c r="N222">
        <v>-4.7359273804870282E-2</v>
      </c>
      <c r="O222">
        <v>0.62450372509267282</v>
      </c>
    </row>
    <row r="223" spans="1:15" x14ac:dyDescent="0.25">
      <c r="A223">
        <v>85.808216000000002</v>
      </c>
      <c r="B223">
        <v>116.868267</v>
      </c>
      <c r="C223">
        <v>253.58530049999999</v>
      </c>
      <c r="D223">
        <v>218.99015075</v>
      </c>
      <c r="E223">
        <v>293.13066874999998</v>
      </c>
      <c r="F223">
        <v>6.821752</v>
      </c>
      <c r="G223">
        <v>312.00758374999998</v>
      </c>
      <c r="H223">
        <v>-8</v>
      </c>
      <c r="I223">
        <v>12</v>
      </c>
      <c r="J223">
        <v>1.18</v>
      </c>
      <c r="K223">
        <v>22.743424000000001</v>
      </c>
      <c r="L223">
        <v>-0.87482318350559796</v>
      </c>
      <c r="M223">
        <v>-0.53246328842898227</v>
      </c>
      <c r="N223">
        <v>-9.8473498115841274E-2</v>
      </c>
      <c r="O223">
        <v>0.49280687564738468</v>
      </c>
    </row>
    <row r="224" spans="1:15" x14ac:dyDescent="0.25">
      <c r="A224">
        <v>46.22179225</v>
      </c>
      <c r="B224">
        <v>97.822879749999998</v>
      </c>
      <c r="C224">
        <v>260.40477725</v>
      </c>
      <c r="D224">
        <v>197.74385475</v>
      </c>
      <c r="E224">
        <v>265.77120174999999</v>
      </c>
      <c r="F224">
        <v>6.4806664999999999</v>
      </c>
      <c r="G224">
        <v>299.64411899999999</v>
      </c>
      <c r="H224">
        <v>-8</v>
      </c>
      <c r="I224">
        <v>16</v>
      </c>
      <c r="J224">
        <v>1.18</v>
      </c>
      <c r="K224">
        <v>22.290963000000001</v>
      </c>
      <c r="L224">
        <v>-1.105460374274547</v>
      </c>
      <c r="M224">
        <v>-0.5157242497594956</v>
      </c>
      <c r="N224">
        <v>-0.17483557215680409</v>
      </c>
      <c r="O224">
        <v>0.33828322149382128</v>
      </c>
    </row>
    <row r="225" spans="1:15" x14ac:dyDescent="0.25">
      <c r="A225">
        <v>2.7083202499999999</v>
      </c>
      <c r="B225">
        <v>73.049522249999995</v>
      </c>
      <c r="C225">
        <v>268.48880774999998</v>
      </c>
      <c r="D225">
        <v>177.110859</v>
      </c>
      <c r="E225">
        <v>235.46121600000001</v>
      </c>
      <c r="F225">
        <v>6.1395805000000001</v>
      </c>
      <c r="G225">
        <v>293.32234199999999</v>
      </c>
      <c r="H225">
        <v>-8</v>
      </c>
      <c r="I225">
        <v>20</v>
      </c>
      <c r="J225">
        <v>1.18</v>
      </c>
      <c r="K225">
        <v>22.062418749999999</v>
      </c>
      <c r="L225">
        <v>-1.3451583106774421</v>
      </c>
      <c r="M225">
        <v>-0.52667682594719811</v>
      </c>
      <c r="N225">
        <v>-0.29284210163457208</v>
      </c>
      <c r="O225">
        <v>0.16064477778030389</v>
      </c>
    </row>
    <row r="226" spans="1:15" x14ac:dyDescent="0.25">
      <c r="A226">
        <v>-39.053168499999998</v>
      </c>
      <c r="B226">
        <v>44.387684</v>
      </c>
      <c r="C226">
        <v>270.97272475</v>
      </c>
      <c r="D226">
        <v>155.60171500000001</v>
      </c>
      <c r="E226">
        <v>199.25017550000001</v>
      </c>
      <c r="F226">
        <v>6.1883072500000003</v>
      </c>
      <c r="G226">
        <v>285.52014924999997</v>
      </c>
      <c r="H226">
        <v>-8</v>
      </c>
      <c r="I226">
        <v>24</v>
      </c>
      <c r="J226">
        <v>1.18</v>
      </c>
      <c r="K226">
        <v>21.758763250000001</v>
      </c>
      <c r="L226">
        <v>-1.577088632709114</v>
      </c>
      <c r="M226">
        <v>-0.56574739019696363</v>
      </c>
      <c r="N226">
        <v>-0.43886856264920859</v>
      </c>
      <c r="O226">
        <v>-1.791706957633853E-2</v>
      </c>
    </row>
    <row r="227" spans="1:15" x14ac:dyDescent="0.25">
      <c r="A227">
        <v>-83.151268250000001</v>
      </c>
      <c r="B227">
        <v>12.264773</v>
      </c>
      <c r="C227">
        <v>272.95986199999999</v>
      </c>
      <c r="D227">
        <v>131.81462475000001</v>
      </c>
      <c r="E227">
        <v>155.66280750000001</v>
      </c>
      <c r="F227">
        <v>5.9446744999999996</v>
      </c>
      <c r="G227">
        <v>281.59906000000001</v>
      </c>
      <c r="H227">
        <v>-8</v>
      </c>
      <c r="I227">
        <v>28</v>
      </c>
      <c r="J227">
        <v>1.18</v>
      </c>
      <c r="K227">
        <v>21.615059500000001</v>
      </c>
      <c r="L227">
        <v>-1.863431308927447</v>
      </c>
      <c r="M227">
        <v>-0.62556712526341096</v>
      </c>
      <c r="N227">
        <v>-0.6589893444960494</v>
      </c>
      <c r="O227">
        <v>-0.21656405187496669</v>
      </c>
    </row>
    <row r="228" spans="1:15" x14ac:dyDescent="0.25">
      <c r="A228">
        <v>-124.907072</v>
      </c>
      <c r="B228">
        <v>-20.77535675</v>
      </c>
      <c r="C228">
        <v>273.81793974999999</v>
      </c>
      <c r="D228">
        <v>106.49429125</v>
      </c>
      <c r="E228">
        <v>107.336708</v>
      </c>
      <c r="F228">
        <v>5.7984947499999997</v>
      </c>
      <c r="G228">
        <v>277.79798125000002</v>
      </c>
      <c r="H228">
        <v>-8</v>
      </c>
      <c r="I228">
        <v>32</v>
      </c>
      <c r="J228">
        <v>1.18</v>
      </c>
      <c r="K228">
        <v>21.471278250000001</v>
      </c>
      <c r="L228">
        <v>-2.2130461592174591</v>
      </c>
      <c r="M228">
        <v>-0.7063826225743145</v>
      </c>
      <c r="N228">
        <v>-0.94615011947653882</v>
      </c>
      <c r="O228">
        <v>-0.43648384014640729</v>
      </c>
    </row>
    <row r="229" spans="1:15" x14ac:dyDescent="0.25">
      <c r="A229">
        <v>-165.13138950000001</v>
      </c>
      <c r="B229">
        <v>-55.225021499999997</v>
      </c>
      <c r="C229">
        <v>270.20495599999998</v>
      </c>
      <c r="D229">
        <v>76.83708575</v>
      </c>
      <c r="E229">
        <v>51.231942250000003</v>
      </c>
      <c r="F229">
        <v>5.7010415000000014</v>
      </c>
      <c r="G229">
        <v>272.07638524999999</v>
      </c>
      <c r="H229">
        <v>-8</v>
      </c>
      <c r="I229">
        <v>36</v>
      </c>
      <c r="J229">
        <v>1.1775</v>
      </c>
      <c r="K229">
        <v>21.270797250000001</v>
      </c>
      <c r="L229">
        <v>-2.6971235324108931</v>
      </c>
      <c r="M229">
        <v>-0.81818459735886317</v>
      </c>
      <c r="N229">
        <v>-1.3682566893242101</v>
      </c>
      <c r="O229">
        <v>-0.71793484934104279</v>
      </c>
    </row>
    <row r="230" spans="1:15" x14ac:dyDescent="0.25">
      <c r="A230">
        <v>-201.30174224999999</v>
      </c>
      <c r="B230">
        <v>-88.523170250000007</v>
      </c>
      <c r="C230">
        <v>265.46295175</v>
      </c>
      <c r="D230">
        <v>45.82186875</v>
      </c>
      <c r="E230">
        <v>-7.8943442499999996</v>
      </c>
      <c r="F230">
        <v>5.5061352499999998</v>
      </c>
      <c r="G230">
        <v>268.87548800000002</v>
      </c>
      <c r="H230">
        <v>-8</v>
      </c>
      <c r="I230">
        <v>40</v>
      </c>
      <c r="J230">
        <v>1.17</v>
      </c>
      <c r="K230">
        <v>21.218008749999999</v>
      </c>
      <c r="L230">
        <v>-3.4066921672543762</v>
      </c>
      <c r="M230">
        <v>-0.98047469427433076</v>
      </c>
      <c r="N230">
        <v>-2.0200186860395282</v>
      </c>
      <c r="O230">
        <v>-1.097827377122768</v>
      </c>
    </row>
    <row r="231" spans="1:15" x14ac:dyDescent="0.25">
      <c r="A231">
        <v>-233.86856449999999</v>
      </c>
      <c r="B231">
        <v>-121.6294</v>
      </c>
      <c r="C231">
        <v>258.86927774999998</v>
      </c>
      <c r="D231">
        <v>14.587619500000001</v>
      </c>
      <c r="E231">
        <v>-67.971639499999995</v>
      </c>
      <c r="F231">
        <v>5.4086825000000003</v>
      </c>
      <c r="G231">
        <v>264.71430950000001</v>
      </c>
      <c r="H231">
        <v>-8</v>
      </c>
      <c r="I231">
        <v>44</v>
      </c>
      <c r="J231">
        <v>1.17</v>
      </c>
      <c r="K231">
        <v>21.053680499999999</v>
      </c>
      <c r="L231">
        <v>-4.4886827775311744</v>
      </c>
      <c r="M231">
        <v>-1.2408746710556871</v>
      </c>
      <c r="N231">
        <v>-3.0306836545005011</v>
      </c>
      <c r="O231">
        <v>-1.6685175342869381</v>
      </c>
    </row>
    <row r="232" spans="1:15" x14ac:dyDescent="0.25">
      <c r="A232">
        <v>256.29616575</v>
      </c>
      <c r="B232">
        <v>-103.63687899999999</v>
      </c>
      <c r="C232">
        <v>-250.09610749999999</v>
      </c>
      <c r="D232">
        <v>-8.4354027499999997</v>
      </c>
      <c r="E232">
        <v>-13.335644</v>
      </c>
      <c r="F232">
        <v>5.4574090000000002</v>
      </c>
      <c r="G232">
        <v>261.75347900000003</v>
      </c>
      <c r="H232">
        <v>-4</v>
      </c>
      <c r="I232">
        <v>-44</v>
      </c>
      <c r="J232">
        <v>1.17</v>
      </c>
      <c r="K232">
        <v>20.931145749999999</v>
      </c>
      <c r="L232">
        <v>3.096698511786228</v>
      </c>
      <c r="M232">
        <v>-0.58217094627997468</v>
      </c>
      <c r="N232">
        <v>-1.682260762593967</v>
      </c>
      <c r="O232">
        <v>-1.1149469630619071</v>
      </c>
    </row>
    <row r="233" spans="1:15" x14ac:dyDescent="0.25">
      <c r="A233">
        <v>257.60517900000002</v>
      </c>
      <c r="B233">
        <v>-64.34123224999999</v>
      </c>
      <c r="C233">
        <v>-209.4720725</v>
      </c>
      <c r="D233">
        <v>24.663184749999999</v>
      </c>
      <c r="E233">
        <v>38.267494999999997</v>
      </c>
      <c r="F233">
        <v>5.2625027499999986</v>
      </c>
      <c r="G233">
        <v>259.51284800000002</v>
      </c>
      <c r="H233">
        <v>-4</v>
      </c>
      <c r="I233">
        <v>-40</v>
      </c>
      <c r="J233">
        <v>1.17</v>
      </c>
      <c r="K233">
        <v>20.847442999999998</v>
      </c>
      <c r="L233">
        <v>2.6664197943934962</v>
      </c>
      <c r="M233">
        <v>-0.50806056576857428</v>
      </c>
      <c r="N233">
        <v>-1.263041548574569</v>
      </c>
      <c r="O233">
        <v>-0.81160305151576795</v>
      </c>
    </row>
    <row r="234" spans="1:15" x14ac:dyDescent="0.25">
      <c r="A234">
        <v>255.43853799999999</v>
      </c>
      <c r="B234">
        <v>-29.411765500000001</v>
      </c>
      <c r="C234">
        <v>-167.92944725000001</v>
      </c>
      <c r="D234">
        <v>54.495617000000003</v>
      </c>
      <c r="E234">
        <v>84.358341249999995</v>
      </c>
      <c r="F234">
        <v>5.2625027499999986</v>
      </c>
      <c r="G234">
        <v>256.55202474999999</v>
      </c>
      <c r="H234">
        <v>-4</v>
      </c>
      <c r="I234">
        <v>-36</v>
      </c>
      <c r="J234">
        <v>1.1775</v>
      </c>
      <c r="K234">
        <v>20.65971025</v>
      </c>
      <c r="L234">
        <v>2.3131417073030649</v>
      </c>
      <c r="M234">
        <v>-0.45843954336920378</v>
      </c>
      <c r="N234">
        <v>-0.94082656534165643</v>
      </c>
      <c r="O234">
        <v>-0.56785465149339109</v>
      </c>
    </row>
    <row r="235" spans="1:15" x14ac:dyDescent="0.25">
      <c r="A235">
        <v>253.36216350000001</v>
      </c>
      <c r="B235">
        <v>4.3768744999999996</v>
      </c>
      <c r="C235">
        <v>-123.77069849999999</v>
      </c>
      <c r="D235">
        <v>80.99873174999999</v>
      </c>
      <c r="E235">
        <v>125.8445815</v>
      </c>
      <c r="F235">
        <v>5.2137760000000002</v>
      </c>
      <c r="G235">
        <v>255.511719</v>
      </c>
      <c r="H235">
        <v>-4</v>
      </c>
      <c r="I235">
        <v>-32</v>
      </c>
      <c r="J235">
        <v>1.18</v>
      </c>
      <c r="K235">
        <v>20.59693425</v>
      </c>
      <c r="L235">
        <v>2.032603028160676</v>
      </c>
      <c r="M235">
        <v>-0.41296599099038989</v>
      </c>
      <c r="N235">
        <v>-0.69885921224039405</v>
      </c>
      <c r="O235">
        <v>-0.3498430435800079</v>
      </c>
    </row>
    <row r="236" spans="1:15" x14ac:dyDescent="0.25">
      <c r="A236">
        <v>246.99764250000001</v>
      </c>
      <c r="B236">
        <v>34.536277750000004</v>
      </c>
      <c r="C236">
        <v>-80.057819499999994</v>
      </c>
      <c r="D236">
        <v>102.726904</v>
      </c>
      <c r="E236">
        <v>160.40153900000001</v>
      </c>
      <c r="F236">
        <v>4.77523725</v>
      </c>
      <c r="G236">
        <v>252.35083750000001</v>
      </c>
      <c r="H236">
        <v>-4</v>
      </c>
      <c r="I236">
        <v>-28</v>
      </c>
      <c r="J236">
        <v>1.18</v>
      </c>
      <c r="K236">
        <v>20.484617</v>
      </c>
      <c r="L236">
        <v>1.785611608064384</v>
      </c>
      <c r="M236">
        <v>-0.3723260388192548</v>
      </c>
      <c r="N236">
        <v>-0.50204306992587044</v>
      </c>
      <c r="O236">
        <v>-0.15032311074764171</v>
      </c>
    </row>
    <row r="237" spans="1:15" x14ac:dyDescent="0.25">
      <c r="A237">
        <v>238.91785824999999</v>
      </c>
      <c r="B237">
        <v>59.444001999999998</v>
      </c>
      <c r="C237">
        <v>-41.367479500000002</v>
      </c>
      <c r="D237">
        <v>120.20582225</v>
      </c>
      <c r="E237">
        <v>188.52097724999999</v>
      </c>
      <c r="F237">
        <v>5.0188697500000004</v>
      </c>
      <c r="G237">
        <v>250.63035600000001</v>
      </c>
      <c r="H237">
        <v>-4</v>
      </c>
      <c r="I237">
        <v>-24</v>
      </c>
      <c r="J237">
        <v>1.18</v>
      </c>
      <c r="K237">
        <v>20.403201750000001</v>
      </c>
      <c r="L237">
        <v>1.56168245535105</v>
      </c>
      <c r="M237">
        <v>-0.33850306539300451</v>
      </c>
      <c r="N237">
        <v>-0.34607885461490989</v>
      </c>
      <c r="O237">
        <v>2.2418495943232541E-2</v>
      </c>
    </row>
    <row r="238" spans="1:15" x14ac:dyDescent="0.25">
      <c r="A238">
        <v>229.93530250000001</v>
      </c>
      <c r="B238">
        <v>79.552875499999999</v>
      </c>
      <c r="C238">
        <v>-7.0365280000000006</v>
      </c>
      <c r="D238">
        <v>134.57444774999999</v>
      </c>
      <c r="E238">
        <v>211.18640550000001</v>
      </c>
      <c r="F238">
        <v>4.9214167499999997</v>
      </c>
      <c r="G238">
        <v>249.910156</v>
      </c>
      <c r="H238">
        <v>-4</v>
      </c>
      <c r="I238">
        <v>-20</v>
      </c>
      <c r="J238">
        <v>1.18</v>
      </c>
      <c r="K238">
        <v>20.377318500000001</v>
      </c>
      <c r="L238">
        <v>1.3546875735454329</v>
      </c>
      <c r="M238">
        <v>-0.31453253425982652</v>
      </c>
      <c r="N238">
        <v>-0.22137607993506181</v>
      </c>
      <c r="O238">
        <v>0.17914272488648261</v>
      </c>
    </row>
    <row r="239" spans="1:15" x14ac:dyDescent="0.25">
      <c r="A239">
        <v>215.445854</v>
      </c>
      <c r="B239">
        <v>93.680324499999998</v>
      </c>
      <c r="C239">
        <v>26.60048475</v>
      </c>
      <c r="D239">
        <v>145.70137800000001</v>
      </c>
      <c r="E239">
        <v>225.26847824999999</v>
      </c>
      <c r="F239">
        <v>5.1650495000000003</v>
      </c>
      <c r="G239">
        <v>246.5492055</v>
      </c>
      <c r="H239">
        <v>-4</v>
      </c>
      <c r="I239">
        <v>-16</v>
      </c>
      <c r="J239">
        <v>1.18</v>
      </c>
      <c r="K239">
        <v>20.22685525</v>
      </c>
      <c r="L239">
        <v>1.143668513123959</v>
      </c>
      <c r="M239">
        <v>-0.31503344971925562</v>
      </c>
      <c r="N239">
        <v>-0.12892808156480229</v>
      </c>
      <c r="O239">
        <v>0.33297837844288558</v>
      </c>
    </row>
    <row r="240" spans="1:15" x14ac:dyDescent="0.25">
      <c r="A240">
        <v>199.96337500000001</v>
      </c>
      <c r="B240">
        <v>105.95092975</v>
      </c>
      <c r="C240">
        <v>63.407615499999999</v>
      </c>
      <c r="D240">
        <v>155.16364675</v>
      </c>
      <c r="E240">
        <v>234.92475475000001</v>
      </c>
      <c r="F240">
        <v>4.8239642500000004</v>
      </c>
      <c r="G240">
        <v>245.508926</v>
      </c>
      <c r="H240">
        <v>-4</v>
      </c>
      <c r="I240">
        <v>-12</v>
      </c>
      <c r="J240">
        <v>1.18</v>
      </c>
      <c r="K240">
        <v>20.197539500000001</v>
      </c>
      <c r="L240">
        <v>0.90888627580722614</v>
      </c>
      <c r="M240">
        <v>-0.32756059800766701</v>
      </c>
      <c r="N240">
        <v>-7.0454517891080065E-2</v>
      </c>
      <c r="O240">
        <v>0.53150324170772989</v>
      </c>
    </row>
    <row r="241" spans="1:15" x14ac:dyDescent="0.25">
      <c r="A241">
        <v>183.26214200000001</v>
      </c>
      <c r="B241">
        <v>113.06085400000001</v>
      </c>
      <c r="C241">
        <v>95.608188499999997</v>
      </c>
      <c r="D241">
        <v>161.38422</v>
      </c>
      <c r="E241">
        <v>240.55758274999999</v>
      </c>
      <c r="F241">
        <v>4.8726905</v>
      </c>
      <c r="G241">
        <v>244.98877725</v>
      </c>
      <c r="H241">
        <v>-4</v>
      </c>
      <c r="I241">
        <v>-8</v>
      </c>
      <c r="J241">
        <v>1.18</v>
      </c>
      <c r="K241">
        <v>20.173653999999999</v>
      </c>
      <c r="L241">
        <v>0.64346125748954697</v>
      </c>
      <c r="M241">
        <v>-0.35473256557680821</v>
      </c>
      <c r="N241">
        <v>-3.2528064011137878E-2</v>
      </c>
      <c r="O241">
        <v>0.73014415338237315</v>
      </c>
    </row>
    <row r="242" spans="1:15" x14ac:dyDescent="0.25">
      <c r="A242">
        <v>183.12672774999999</v>
      </c>
      <c r="B242">
        <v>130.40081774999999</v>
      </c>
      <c r="C242">
        <v>135.17023449999999</v>
      </c>
      <c r="D242">
        <v>181.44772699999999</v>
      </c>
      <c r="E242">
        <v>270.82286825</v>
      </c>
      <c r="F242">
        <v>5.8472212499999996</v>
      </c>
      <c r="G242">
        <v>271.87631974999999</v>
      </c>
      <c r="H242">
        <v>-4</v>
      </c>
      <c r="I242">
        <v>-4</v>
      </c>
      <c r="J242">
        <v>1.18</v>
      </c>
      <c r="K242">
        <v>21.234264499999998</v>
      </c>
      <c r="L242">
        <v>0.34744138483637182</v>
      </c>
      <c r="M242">
        <v>-0.36978084550592549</v>
      </c>
      <c r="N242">
        <v>-7.6720732924165438E-3</v>
      </c>
      <c r="O242">
        <v>0.91963376155138565</v>
      </c>
    </row>
    <row r="243" spans="1:15" x14ac:dyDescent="0.25">
      <c r="A243">
        <v>179.019127</v>
      </c>
      <c r="B243">
        <v>148.26306925</v>
      </c>
      <c r="C243">
        <v>180.46783074999999</v>
      </c>
      <c r="D243">
        <v>204.6215325</v>
      </c>
      <c r="E243">
        <v>304.977486</v>
      </c>
      <c r="F243">
        <v>6.5781194999999997</v>
      </c>
      <c r="G243">
        <v>304.64552300000003</v>
      </c>
      <c r="H243">
        <v>-4</v>
      </c>
      <c r="I243">
        <v>0</v>
      </c>
      <c r="J243">
        <v>1.18</v>
      </c>
      <c r="K243">
        <v>22.476576000000001</v>
      </c>
      <c r="L243">
        <v>-1.022655687662883E-2</v>
      </c>
      <c r="M243">
        <v>-0.39873599540733368</v>
      </c>
      <c r="N243">
        <v>2.3318205662116349E-3</v>
      </c>
      <c r="O243">
        <v>1.111121826979333</v>
      </c>
    </row>
    <row r="244" spans="1:15" x14ac:dyDescent="0.25">
      <c r="A244">
        <v>150.89786525</v>
      </c>
      <c r="B244">
        <v>148.76486575000001</v>
      </c>
      <c r="C244">
        <v>207.700592</v>
      </c>
      <c r="D244">
        <v>205.58527000000001</v>
      </c>
      <c r="E244">
        <v>305.15631124999999</v>
      </c>
      <c r="F244">
        <v>6.6755724999999986</v>
      </c>
      <c r="G244">
        <v>306.92615499999999</v>
      </c>
      <c r="H244">
        <v>-4</v>
      </c>
      <c r="I244">
        <v>4</v>
      </c>
      <c r="J244">
        <v>1.18</v>
      </c>
      <c r="K244">
        <v>22.558781249999999</v>
      </c>
      <c r="L244">
        <v>-0.36570035057646672</v>
      </c>
      <c r="M244">
        <v>-0.36579040221052789</v>
      </c>
      <c r="N244">
        <v>-1.141337609453248E-2</v>
      </c>
      <c r="O244">
        <v>0.92168008762952014</v>
      </c>
    </row>
    <row r="245" spans="1:15" x14ac:dyDescent="0.25">
      <c r="A245">
        <v>114.01975625</v>
      </c>
      <c r="B245">
        <v>143.17559075</v>
      </c>
      <c r="C245">
        <v>221.24922925000001</v>
      </c>
      <c r="D245">
        <v>191.96135699999999</v>
      </c>
      <c r="E245">
        <v>290.89541650000001</v>
      </c>
      <c r="F245">
        <v>6.2857599999999998</v>
      </c>
      <c r="G245">
        <v>294.16256700000002</v>
      </c>
      <c r="H245">
        <v>-4</v>
      </c>
      <c r="I245">
        <v>8</v>
      </c>
      <c r="J245">
        <v>1.18</v>
      </c>
      <c r="K245">
        <v>22.089033499999999</v>
      </c>
      <c r="L245">
        <v>-0.66071578548119991</v>
      </c>
      <c r="M245">
        <v>-0.30056057610048181</v>
      </c>
      <c r="N245">
        <v>-2.0146129623109469E-2</v>
      </c>
      <c r="O245">
        <v>0.75366338316298753</v>
      </c>
    </row>
    <row r="246" spans="1:15" x14ac:dyDescent="0.25">
      <c r="A246">
        <v>77.638154999999998</v>
      </c>
      <c r="B246">
        <v>132.29706175000001</v>
      </c>
      <c r="C246">
        <v>236.37853999999999</v>
      </c>
      <c r="D246">
        <v>179.87067775</v>
      </c>
      <c r="E246">
        <v>276.81333899999998</v>
      </c>
      <c r="F246">
        <v>6.1395805000000001</v>
      </c>
      <c r="G246">
        <v>287.80078924999998</v>
      </c>
      <c r="H246">
        <v>-4</v>
      </c>
      <c r="I246">
        <v>12</v>
      </c>
      <c r="J246">
        <v>1.18</v>
      </c>
      <c r="K246">
        <v>21.84929825</v>
      </c>
      <c r="L246">
        <v>-0.92375694525641561</v>
      </c>
      <c r="M246">
        <v>-0.27683250371989532</v>
      </c>
      <c r="N246">
        <v>-6.3955822627964051E-2</v>
      </c>
      <c r="O246">
        <v>0.57510649008520209</v>
      </c>
    </row>
    <row r="247" spans="1:15" x14ac:dyDescent="0.25">
      <c r="A247">
        <v>39.225330999999997</v>
      </c>
      <c r="B247">
        <v>115.17682075</v>
      </c>
      <c r="C247">
        <v>244.86901850000001</v>
      </c>
      <c r="D247">
        <v>161.25279225</v>
      </c>
      <c r="E247">
        <v>252.270298</v>
      </c>
      <c r="F247">
        <v>5.9446747499999999</v>
      </c>
      <c r="G247">
        <v>278.6782225</v>
      </c>
      <c r="H247">
        <v>-4</v>
      </c>
      <c r="I247">
        <v>16</v>
      </c>
      <c r="J247">
        <v>1.18</v>
      </c>
      <c r="K247">
        <v>21.500229999999998</v>
      </c>
      <c r="L247">
        <v>-1.174653639138042</v>
      </c>
      <c r="M247">
        <v>-0.26317087349077251</v>
      </c>
      <c r="N247">
        <v>-0.15084629375152239</v>
      </c>
      <c r="O247">
        <v>0.40702192039371138</v>
      </c>
    </row>
    <row r="248" spans="1:15" x14ac:dyDescent="0.25">
      <c r="A248">
        <v>-8.9420499999999972E-2</v>
      </c>
      <c r="B248">
        <v>93.920759000000004</v>
      </c>
      <c r="C248">
        <v>251.372364</v>
      </c>
      <c r="D248">
        <v>142.06541425</v>
      </c>
      <c r="E248">
        <v>224.19556424999999</v>
      </c>
      <c r="F248">
        <v>5.7984945000000003</v>
      </c>
      <c r="G248">
        <v>272.07638550000001</v>
      </c>
      <c r="H248">
        <v>-4</v>
      </c>
      <c r="I248">
        <v>20</v>
      </c>
      <c r="J248">
        <v>1.18</v>
      </c>
      <c r="K248">
        <v>21.244255750000001</v>
      </c>
      <c r="L248">
        <v>-1.418452677140448</v>
      </c>
      <c r="M248">
        <v>-0.27157340237080058</v>
      </c>
      <c r="N248">
        <v>-0.27009675792586751</v>
      </c>
      <c r="O248">
        <v>0.23193598194424389</v>
      </c>
    </row>
    <row r="249" spans="1:15" x14ac:dyDescent="0.25">
      <c r="A249">
        <v>-38.422553999999998</v>
      </c>
      <c r="B249">
        <v>71.22209749999999</v>
      </c>
      <c r="C249">
        <v>256.24987775</v>
      </c>
      <c r="D249">
        <v>121.82667325</v>
      </c>
      <c r="E249">
        <v>191.82914725000001</v>
      </c>
      <c r="F249">
        <v>5.7984947499999997</v>
      </c>
      <c r="G249">
        <v>268.39534750000001</v>
      </c>
      <c r="H249">
        <v>-4</v>
      </c>
      <c r="I249">
        <v>24</v>
      </c>
      <c r="J249">
        <v>1.18</v>
      </c>
      <c r="K249">
        <v>21.09690325</v>
      </c>
      <c r="L249">
        <v>-1.679718424506188</v>
      </c>
      <c r="M249">
        <v>-0.28845353379436539</v>
      </c>
      <c r="N249">
        <v>-0.4364530173922242</v>
      </c>
      <c r="O249">
        <v>6.0433339524344487E-2</v>
      </c>
    </row>
    <row r="250" spans="1:15" x14ac:dyDescent="0.25">
      <c r="A250">
        <v>-75.944223499999993</v>
      </c>
      <c r="B250">
        <v>43.765468749999997</v>
      </c>
      <c r="C250">
        <v>256.97247299999998</v>
      </c>
      <c r="D250">
        <v>98.083387500000001</v>
      </c>
      <c r="E250">
        <v>149.76174925000001</v>
      </c>
      <c r="F250">
        <v>5.5061355000000001</v>
      </c>
      <c r="G250">
        <v>261.71347824999998</v>
      </c>
      <c r="H250">
        <v>-4</v>
      </c>
      <c r="I250">
        <v>28</v>
      </c>
      <c r="J250">
        <v>1.18</v>
      </c>
      <c r="K250">
        <v>20.838658500000001</v>
      </c>
      <c r="L250">
        <v>-2.0073810527399329</v>
      </c>
      <c r="M250">
        <v>-0.32750801069531138</v>
      </c>
      <c r="N250">
        <v>-0.67504558921512337</v>
      </c>
      <c r="O250">
        <v>-0.13020892369485629</v>
      </c>
    </row>
    <row r="251" spans="1:15" x14ac:dyDescent="0.25">
      <c r="A251">
        <v>-114.68209075</v>
      </c>
      <c r="B251">
        <v>15.196566499999999</v>
      </c>
      <c r="C251">
        <v>256.43054925000001</v>
      </c>
      <c r="D251">
        <v>71.667884999999998</v>
      </c>
      <c r="E251">
        <v>103.26855675</v>
      </c>
      <c r="F251">
        <v>5.2625027499999986</v>
      </c>
      <c r="G251">
        <v>258.67262299999999</v>
      </c>
      <c r="H251">
        <v>-4</v>
      </c>
      <c r="I251">
        <v>32</v>
      </c>
      <c r="J251">
        <v>1.18</v>
      </c>
      <c r="K251">
        <v>20.724588749999999</v>
      </c>
      <c r="L251">
        <v>-2.4253899050991352</v>
      </c>
      <c r="M251">
        <v>-0.36906107036153057</v>
      </c>
      <c r="N251">
        <v>-1.015638377066967</v>
      </c>
      <c r="O251">
        <v>-0.35947834962587788</v>
      </c>
    </row>
    <row r="252" spans="1:15" x14ac:dyDescent="0.25">
      <c r="A252">
        <v>-152.51906600000001</v>
      </c>
      <c r="B252">
        <v>-12.47480975</v>
      </c>
      <c r="C252">
        <v>255.43695049999999</v>
      </c>
      <c r="D252">
        <v>43.105849499999998</v>
      </c>
      <c r="E252">
        <v>51.857813749999998</v>
      </c>
      <c r="F252">
        <v>5.3112292500000002</v>
      </c>
      <c r="G252">
        <v>255.99186349999999</v>
      </c>
      <c r="H252">
        <v>-4</v>
      </c>
      <c r="I252">
        <v>36</v>
      </c>
      <c r="J252">
        <v>1.1725000000000001</v>
      </c>
      <c r="K252">
        <v>20.67861225</v>
      </c>
      <c r="L252">
        <v>-3.0364675961661369</v>
      </c>
      <c r="M252">
        <v>-0.41369333489648202</v>
      </c>
      <c r="N252">
        <v>-1.519411962966436</v>
      </c>
      <c r="O252">
        <v>-0.65357040440677017</v>
      </c>
    </row>
    <row r="253" spans="1:15" x14ac:dyDescent="0.25">
      <c r="A253">
        <v>-184.68049625</v>
      </c>
      <c r="B253">
        <v>-42.030514749999988</v>
      </c>
      <c r="C253">
        <v>248.70780174999999</v>
      </c>
      <c r="D253">
        <v>12.35347325</v>
      </c>
      <c r="E253">
        <v>-3.6126662500000002</v>
      </c>
      <c r="F253">
        <v>5.0188697500000004</v>
      </c>
      <c r="G253">
        <v>250.27025599999999</v>
      </c>
      <c r="H253">
        <v>-4</v>
      </c>
      <c r="I253">
        <v>40</v>
      </c>
      <c r="J253">
        <v>1.1775</v>
      </c>
      <c r="K253">
        <v>20.409967000000002</v>
      </c>
      <c r="L253">
        <v>-3.949366172768765</v>
      </c>
      <c r="M253">
        <v>-0.49554565765696162</v>
      </c>
      <c r="N253">
        <v>-2.313605034483432</v>
      </c>
      <c r="O253">
        <v>-1.0787100813933881</v>
      </c>
    </row>
    <row r="254" spans="1:15" x14ac:dyDescent="0.25">
      <c r="A254">
        <v>-240.26480849999999</v>
      </c>
      <c r="B254">
        <v>-80.270606999999998</v>
      </c>
      <c r="C254">
        <v>271.42437000000001</v>
      </c>
      <c r="D254">
        <v>-23.033461500000001</v>
      </c>
      <c r="E254">
        <v>-69.532667500000002</v>
      </c>
      <c r="F254">
        <v>5.8959479999999997</v>
      </c>
      <c r="G254">
        <v>276.39759075000001</v>
      </c>
      <c r="H254">
        <v>-4</v>
      </c>
      <c r="I254">
        <v>44</v>
      </c>
      <c r="J254">
        <v>1.1775</v>
      </c>
      <c r="K254">
        <v>21.434717750000001</v>
      </c>
      <c r="L254">
        <v>-5.6395722347053834</v>
      </c>
      <c r="M254">
        <v>-0.63078375741274928</v>
      </c>
      <c r="N254">
        <v>-3.8127331063581908</v>
      </c>
      <c r="O254">
        <v>-1.8313684894988249</v>
      </c>
    </row>
    <row r="255" spans="1:15" x14ac:dyDescent="0.25">
      <c r="A255">
        <v>307.70886224999998</v>
      </c>
      <c r="B255">
        <v>-74.129159749999999</v>
      </c>
      <c r="C255">
        <v>-297.5895615</v>
      </c>
      <c r="D255">
        <v>-53.759312749999999</v>
      </c>
      <c r="E255">
        <v>-17.483519000000001</v>
      </c>
      <c r="F255">
        <v>6.7730257500000004</v>
      </c>
      <c r="G255">
        <v>312.2076265</v>
      </c>
      <c r="H255">
        <v>0</v>
      </c>
      <c r="I255">
        <v>-44</v>
      </c>
      <c r="J255">
        <v>1.17</v>
      </c>
      <c r="K255">
        <v>22.849723999999998</v>
      </c>
      <c r="L255">
        <v>3.5953690308980559</v>
      </c>
      <c r="M255">
        <v>-0.1208081251802392</v>
      </c>
      <c r="N255">
        <v>-1.958438845336266</v>
      </c>
      <c r="O255">
        <v>-1.144217249349303</v>
      </c>
    </row>
    <row r="256" spans="1:15" x14ac:dyDescent="0.25">
      <c r="A256">
        <v>295.97285449999998</v>
      </c>
      <c r="B256">
        <v>-28.116302000000001</v>
      </c>
      <c r="C256">
        <v>-241.165718</v>
      </c>
      <c r="D256">
        <v>-11.188928750000001</v>
      </c>
      <c r="E256">
        <v>43.49797925</v>
      </c>
      <c r="F256">
        <v>6.4319397499999997</v>
      </c>
      <c r="G256">
        <v>296.68328074999999</v>
      </c>
      <c r="H256">
        <v>0</v>
      </c>
      <c r="I256">
        <v>-40</v>
      </c>
      <c r="J256">
        <v>1.175</v>
      </c>
      <c r="K256">
        <v>22.227294000000001</v>
      </c>
      <c r="L256">
        <v>3.015314345153846</v>
      </c>
      <c r="M256">
        <v>-9.5029163472676897E-2</v>
      </c>
      <c r="N256">
        <v>-1.421322711646551</v>
      </c>
      <c r="O256">
        <v>-0.79192819012187421</v>
      </c>
    </row>
    <row r="257" spans="1:15" x14ac:dyDescent="0.25">
      <c r="A257">
        <v>288.07363125000001</v>
      </c>
      <c r="B257">
        <v>9.2807895000000009</v>
      </c>
      <c r="C257">
        <v>-190.06403349999999</v>
      </c>
      <c r="D257">
        <v>24.18131</v>
      </c>
      <c r="E257">
        <v>94.685193749999996</v>
      </c>
      <c r="F257">
        <v>6.4319397499999997</v>
      </c>
      <c r="G257">
        <v>288.40097025</v>
      </c>
      <c r="H257">
        <v>0</v>
      </c>
      <c r="I257">
        <v>-36</v>
      </c>
      <c r="J257">
        <v>1.18</v>
      </c>
      <c r="K257">
        <v>21.8612325</v>
      </c>
      <c r="L257">
        <v>2.5836216746996441</v>
      </c>
      <c r="M257">
        <v>-8.0476078954458172E-2</v>
      </c>
      <c r="N257">
        <v>-1.0468192980043209</v>
      </c>
      <c r="O257">
        <v>-0.52318623837648559</v>
      </c>
    </row>
    <row r="258" spans="1:15" x14ac:dyDescent="0.25">
      <c r="A258">
        <v>277.10498024999998</v>
      </c>
      <c r="B258">
        <v>40.299857250000002</v>
      </c>
      <c r="C258">
        <v>-135.85916900000001</v>
      </c>
      <c r="D258">
        <v>56.466923749999999</v>
      </c>
      <c r="E258">
        <v>138.13844675000001</v>
      </c>
      <c r="F258">
        <v>5.9446744999999996</v>
      </c>
      <c r="G258">
        <v>278.83827975000003</v>
      </c>
      <c r="H258">
        <v>0</v>
      </c>
      <c r="I258">
        <v>-32</v>
      </c>
      <c r="J258">
        <v>1.18</v>
      </c>
      <c r="K258">
        <v>21.506539750000002</v>
      </c>
      <c r="L258">
        <v>2.2212208446474948</v>
      </c>
      <c r="M258">
        <v>-8.6974554345696883E-2</v>
      </c>
      <c r="N258">
        <v>-0.75679385078495076</v>
      </c>
      <c r="O258">
        <v>-0.28896224092778638</v>
      </c>
    </row>
    <row r="259" spans="1:15" x14ac:dyDescent="0.25">
      <c r="A259">
        <v>268.84465075000003</v>
      </c>
      <c r="B259">
        <v>69.394584750000007</v>
      </c>
      <c r="C259">
        <v>-86.919216250000005</v>
      </c>
      <c r="D259">
        <v>80.911117500000003</v>
      </c>
      <c r="E259">
        <v>174.8412515</v>
      </c>
      <c r="F259">
        <v>5.6523149999999998</v>
      </c>
      <c r="G259">
        <v>273.43675250000001</v>
      </c>
      <c r="H259">
        <v>0</v>
      </c>
      <c r="I259">
        <v>-28</v>
      </c>
      <c r="J259">
        <v>1.18</v>
      </c>
      <c r="K259">
        <v>21.304269250000001</v>
      </c>
      <c r="L259">
        <v>1.9377003156582671</v>
      </c>
      <c r="M259">
        <v>-6.2721877193365139E-2</v>
      </c>
      <c r="N259">
        <v>-0.53702699436936896</v>
      </c>
      <c r="O259">
        <v>-7.851632628339085E-2</v>
      </c>
    </row>
    <row r="260" spans="1:15" x14ac:dyDescent="0.25">
      <c r="A260">
        <v>259.13987750000001</v>
      </c>
      <c r="B260">
        <v>92.471645499999994</v>
      </c>
      <c r="C260">
        <v>-44.8803865</v>
      </c>
      <c r="D260">
        <v>100.79940575000001</v>
      </c>
      <c r="E260">
        <v>203.27362049999999</v>
      </c>
      <c r="F260">
        <v>5.8472210000000002</v>
      </c>
      <c r="G260">
        <v>269.07553849999999</v>
      </c>
      <c r="H260">
        <v>0</v>
      </c>
      <c r="I260">
        <v>-24</v>
      </c>
      <c r="J260">
        <v>1.18</v>
      </c>
      <c r="K260">
        <v>21.122249</v>
      </c>
      <c r="L260">
        <v>1.693924444555285</v>
      </c>
      <c r="M260">
        <v>-4.640692494200134E-2</v>
      </c>
      <c r="N260">
        <v>-0.3666544715016275</v>
      </c>
      <c r="O260">
        <v>0.1000027036497846</v>
      </c>
    </row>
    <row r="261" spans="1:15" x14ac:dyDescent="0.25">
      <c r="A261">
        <v>244.01849375</v>
      </c>
      <c r="B261">
        <v>109.4059905</v>
      </c>
      <c r="C261">
        <v>-7.1722625000000004</v>
      </c>
      <c r="D261">
        <v>117.13935075000001</v>
      </c>
      <c r="E261">
        <v>223.88262925000001</v>
      </c>
      <c r="F261">
        <v>5.4086825000000003</v>
      </c>
      <c r="G261">
        <v>263.31392675000001</v>
      </c>
      <c r="H261">
        <v>0</v>
      </c>
      <c r="I261">
        <v>-20</v>
      </c>
      <c r="J261">
        <v>1.18</v>
      </c>
      <c r="K261">
        <v>20.907594750000001</v>
      </c>
      <c r="L261">
        <v>1.4539414901988701</v>
      </c>
      <c r="M261">
        <v>-4.4759871364034559E-2</v>
      </c>
      <c r="N261">
        <v>-0.22824175691094459</v>
      </c>
      <c r="O261">
        <v>0.26457069549865891</v>
      </c>
    </row>
    <row r="262" spans="1:15" x14ac:dyDescent="0.25">
      <c r="A262">
        <v>229.98043425</v>
      </c>
      <c r="B262">
        <v>123.824495</v>
      </c>
      <c r="C262">
        <v>28.000517250000001</v>
      </c>
      <c r="D262">
        <v>131.11371224999999</v>
      </c>
      <c r="E262">
        <v>238.99292775000001</v>
      </c>
      <c r="F262">
        <v>5.3112294999999996</v>
      </c>
      <c r="G262">
        <v>260.39309700000001</v>
      </c>
      <c r="H262">
        <v>0</v>
      </c>
      <c r="I262">
        <v>-16</v>
      </c>
      <c r="J262">
        <v>1.18</v>
      </c>
      <c r="K262">
        <v>20.792837500000001</v>
      </c>
      <c r="L262">
        <v>1.2385246163846211</v>
      </c>
      <c r="M262">
        <v>-4.4705000734988627E-2</v>
      </c>
      <c r="N262">
        <v>-0.13122735564045901</v>
      </c>
      <c r="O262">
        <v>0.43293245728776358</v>
      </c>
    </row>
    <row r="263" spans="1:15" x14ac:dyDescent="0.25">
      <c r="A263">
        <v>211.20284275</v>
      </c>
      <c r="B263">
        <v>133.691666</v>
      </c>
      <c r="C263">
        <v>62.188246999999997</v>
      </c>
      <c r="D263">
        <v>139.39319975000001</v>
      </c>
      <c r="E263">
        <v>246.05629375000001</v>
      </c>
      <c r="F263">
        <v>4.8726909999999997</v>
      </c>
      <c r="G263">
        <v>255.55174249999999</v>
      </c>
      <c r="H263">
        <v>0</v>
      </c>
      <c r="I263">
        <v>-12</v>
      </c>
      <c r="J263">
        <v>1.18</v>
      </c>
      <c r="K263">
        <v>20.612607499999999</v>
      </c>
      <c r="L263">
        <v>1.0060628636887921</v>
      </c>
      <c r="M263">
        <v>-3.8499312555498211E-2</v>
      </c>
      <c r="N263">
        <v>-6.4113765738808989E-2</v>
      </c>
      <c r="O263">
        <v>0.62834455311894677</v>
      </c>
    </row>
    <row r="264" spans="1:15" x14ac:dyDescent="0.25">
      <c r="A264">
        <v>190.845394</v>
      </c>
      <c r="B264">
        <v>139.80892574999999</v>
      </c>
      <c r="C264">
        <v>97.008254999999991</v>
      </c>
      <c r="D264">
        <v>143.99291224999999</v>
      </c>
      <c r="E264">
        <v>249.006832</v>
      </c>
      <c r="F264">
        <v>5.0675964999999996</v>
      </c>
      <c r="G264">
        <v>252.03075774999999</v>
      </c>
      <c r="H264">
        <v>0</v>
      </c>
      <c r="I264">
        <v>-8</v>
      </c>
      <c r="J264">
        <v>1.18</v>
      </c>
      <c r="K264">
        <v>20.459266249999999</v>
      </c>
      <c r="L264">
        <v>0.71854924629671846</v>
      </c>
      <c r="M264">
        <v>-3.199828604652534E-2</v>
      </c>
      <c r="N264">
        <v>-2.3181814241342281E-2</v>
      </c>
      <c r="O264">
        <v>0.8679155190054646</v>
      </c>
    </row>
    <row r="265" spans="1:15" x14ac:dyDescent="0.25">
      <c r="A265">
        <v>171.84211350000001</v>
      </c>
      <c r="B265">
        <v>144.40582275</v>
      </c>
      <c r="C265">
        <v>126.27328475</v>
      </c>
      <c r="D265">
        <v>147.67268749999999</v>
      </c>
      <c r="E265">
        <v>252.71734975000001</v>
      </c>
      <c r="F265">
        <v>5.067596</v>
      </c>
      <c r="G265">
        <v>252.99101250000001</v>
      </c>
      <c r="H265">
        <v>0</v>
      </c>
      <c r="I265">
        <v>-4</v>
      </c>
      <c r="J265">
        <v>1.18</v>
      </c>
      <c r="K265">
        <v>20.499003999999999</v>
      </c>
      <c r="L265">
        <v>0.38822098574171249</v>
      </c>
      <c r="M265">
        <v>-2.781181224607478E-2</v>
      </c>
      <c r="N265">
        <v>-2.3667495422539449E-3</v>
      </c>
      <c r="O265">
        <v>1.109909665273328</v>
      </c>
    </row>
    <row r="266" spans="1:15" x14ac:dyDescent="0.25">
      <c r="A266">
        <v>147.46734599999999</v>
      </c>
      <c r="B266">
        <v>144.26155850000001</v>
      </c>
      <c r="C266">
        <v>148.35757075000001</v>
      </c>
      <c r="D266">
        <v>145.8766095</v>
      </c>
      <c r="E266">
        <v>249.23035049999999</v>
      </c>
      <c r="F266">
        <v>5.0675964999999996</v>
      </c>
      <c r="G266">
        <v>248.98989474999999</v>
      </c>
      <c r="H266">
        <v>0</v>
      </c>
      <c r="I266">
        <v>0</v>
      </c>
      <c r="J266">
        <v>1.18</v>
      </c>
      <c r="K266">
        <v>20.332912499999999</v>
      </c>
      <c r="L266">
        <v>-8.6256209128477337E-3</v>
      </c>
      <c r="M266">
        <v>-1.561826866514575E-2</v>
      </c>
      <c r="N266">
        <v>2.3169232202290791E-3</v>
      </c>
      <c r="O266">
        <v>1.3607982931422311</v>
      </c>
    </row>
    <row r="267" spans="1:15" x14ac:dyDescent="0.25">
      <c r="A267">
        <v>121.2870425</v>
      </c>
      <c r="B267">
        <v>142.20369700000001</v>
      </c>
      <c r="C267">
        <v>166.96438225</v>
      </c>
      <c r="D267">
        <v>143.99290875</v>
      </c>
      <c r="E267">
        <v>246.01158525</v>
      </c>
      <c r="F267">
        <v>4.8726909999999997</v>
      </c>
      <c r="G267">
        <v>246.06907275</v>
      </c>
      <c r="H267">
        <v>0</v>
      </c>
      <c r="I267">
        <v>4</v>
      </c>
      <c r="J267">
        <v>1.18</v>
      </c>
      <c r="K267">
        <v>20.218985</v>
      </c>
      <c r="L267">
        <v>-0.39972140180067123</v>
      </c>
      <c r="M267">
        <v>-1.562464288399015E-2</v>
      </c>
      <c r="N267">
        <v>-5.0602523594161792E-4</v>
      </c>
      <c r="O267">
        <v>1.110381385375325</v>
      </c>
    </row>
    <row r="268" spans="1:15" x14ac:dyDescent="0.25">
      <c r="A268">
        <v>94.113691250000002</v>
      </c>
      <c r="B268">
        <v>139.40474674999999</v>
      </c>
      <c r="C268">
        <v>185.48083500000001</v>
      </c>
      <c r="D268">
        <v>140.00649625</v>
      </c>
      <c r="E268">
        <v>243.55281049999999</v>
      </c>
      <c r="F268">
        <v>4.9701434999999998</v>
      </c>
      <c r="G268">
        <v>245.989048</v>
      </c>
      <c r="H268">
        <v>0</v>
      </c>
      <c r="I268">
        <v>8</v>
      </c>
      <c r="J268">
        <v>1.18</v>
      </c>
      <c r="K268">
        <v>20.21154525</v>
      </c>
      <c r="L268">
        <v>-0.72062685988418118</v>
      </c>
      <c r="M268">
        <v>-4.7170562788507904E-3</v>
      </c>
      <c r="N268">
        <v>-1.9226174682188141E-2</v>
      </c>
      <c r="O268">
        <v>0.88168722730615523</v>
      </c>
    </row>
    <row r="269" spans="1:15" x14ac:dyDescent="0.25">
      <c r="A269">
        <v>67.978525250000004</v>
      </c>
      <c r="B269">
        <v>140.520611</v>
      </c>
      <c r="C269">
        <v>212.93941125000001</v>
      </c>
      <c r="D269">
        <v>141.32069774999999</v>
      </c>
      <c r="E269">
        <v>250.25857174999999</v>
      </c>
      <c r="F269">
        <v>5.4574090000000002</v>
      </c>
      <c r="G269">
        <v>259.87295549999999</v>
      </c>
      <c r="H269">
        <v>0</v>
      </c>
      <c r="I269">
        <v>12</v>
      </c>
      <c r="J269">
        <v>1.18</v>
      </c>
      <c r="K269">
        <v>20.765574999999998</v>
      </c>
      <c r="L269">
        <v>-0.99280079416225964</v>
      </c>
      <c r="M269">
        <v>-5.4691958241416833E-3</v>
      </c>
      <c r="N269">
        <v>-6.5842756375403128E-2</v>
      </c>
      <c r="O269">
        <v>0.67664518510486937</v>
      </c>
    </row>
    <row r="270" spans="1:15" x14ac:dyDescent="0.25">
      <c r="A270">
        <v>38.051730999999997</v>
      </c>
      <c r="B270">
        <v>147.19487375</v>
      </c>
      <c r="C270">
        <v>258.10153200000002</v>
      </c>
      <c r="D270">
        <v>146.79655074999999</v>
      </c>
      <c r="E270">
        <v>268.58760825000002</v>
      </c>
      <c r="F270">
        <v>6.4806664999999999</v>
      </c>
      <c r="G270">
        <v>294.68272400000001</v>
      </c>
      <c r="H270">
        <v>0</v>
      </c>
      <c r="I270">
        <v>16</v>
      </c>
      <c r="J270">
        <v>1.18</v>
      </c>
      <c r="K270">
        <v>22.10147375</v>
      </c>
      <c r="L270">
        <v>-1.247411023625036</v>
      </c>
      <c r="M270">
        <v>2.2497285160986888E-3</v>
      </c>
      <c r="N270">
        <v>-0.14792321144762929</v>
      </c>
      <c r="O270">
        <v>0.48584194019321703</v>
      </c>
    </row>
    <row r="271" spans="1:15" x14ac:dyDescent="0.25">
      <c r="A271">
        <v>-4.5494465000000002</v>
      </c>
      <c r="B271">
        <v>134.7110745</v>
      </c>
      <c r="C271">
        <v>285.96657549999998</v>
      </c>
      <c r="D271">
        <v>135.75723249999999</v>
      </c>
      <c r="E271">
        <v>257.05372599999998</v>
      </c>
      <c r="F271">
        <v>6.7242990000000002</v>
      </c>
      <c r="G271">
        <v>310.48715974999999</v>
      </c>
      <c r="H271">
        <v>0</v>
      </c>
      <c r="I271">
        <v>20</v>
      </c>
      <c r="J271">
        <v>1.18</v>
      </c>
      <c r="K271">
        <v>22.69033675</v>
      </c>
      <c r="L271">
        <v>-1.5129839921281909</v>
      </c>
      <c r="M271">
        <v>-5.4401688133719206E-3</v>
      </c>
      <c r="N271">
        <v>-0.27827993393246409</v>
      </c>
      <c r="O271">
        <v>0.30370266646877497</v>
      </c>
    </row>
    <row r="272" spans="1:15" x14ac:dyDescent="0.25">
      <c r="A272">
        <v>-44.413406500000001</v>
      </c>
      <c r="B272">
        <v>108.251875</v>
      </c>
      <c r="C272">
        <v>284.06976300000002</v>
      </c>
      <c r="D272">
        <v>106.7133255</v>
      </c>
      <c r="E272">
        <v>213.376957</v>
      </c>
      <c r="F272">
        <v>6.3832129999999996</v>
      </c>
      <c r="G272">
        <v>296.60326375</v>
      </c>
      <c r="H272">
        <v>0</v>
      </c>
      <c r="I272">
        <v>24</v>
      </c>
      <c r="J272">
        <v>1.18</v>
      </c>
      <c r="K272">
        <v>22.178768999999999</v>
      </c>
      <c r="L272">
        <v>-1.802605542023819</v>
      </c>
      <c r="M272">
        <v>8.4436069034119314E-3</v>
      </c>
      <c r="N272">
        <v>-0.45672364082123551</v>
      </c>
      <c r="O272">
        <v>0.13592189315662601</v>
      </c>
    </row>
    <row r="273" spans="1:15" x14ac:dyDescent="0.25">
      <c r="A273">
        <v>-84.637718250000006</v>
      </c>
      <c r="B273">
        <v>83.286989000000005</v>
      </c>
      <c r="C273">
        <v>284.16007999999999</v>
      </c>
      <c r="D273">
        <v>75.698112499999993</v>
      </c>
      <c r="E273">
        <v>167.28610649999999</v>
      </c>
      <c r="F273">
        <v>6.4806664999999999</v>
      </c>
      <c r="G273">
        <v>289.76132975000002</v>
      </c>
      <c r="H273">
        <v>0</v>
      </c>
      <c r="I273">
        <v>28</v>
      </c>
      <c r="J273">
        <v>1.18</v>
      </c>
      <c r="K273">
        <v>21.91202075</v>
      </c>
      <c r="L273">
        <v>-2.147238039915254</v>
      </c>
      <c r="M273">
        <v>4.4164142136405897E-2</v>
      </c>
      <c r="N273">
        <v>-0.71309416969223594</v>
      </c>
      <c r="O273">
        <v>-6.3756184954338435E-2</v>
      </c>
    </row>
    <row r="274" spans="1:15" x14ac:dyDescent="0.25">
      <c r="A274">
        <v>-125.9430905</v>
      </c>
      <c r="B274">
        <v>55.444499</v>
      </c>
      <c r="C274">
        <v>280.592285</v>
      </c>
      <c r="D274">
        <v>42.01068025</v>
      </c>
      <c r="E274">
        <v>114.176569</v>
      </c>
      <c r="F274">
        <v>6.2370334999999999</v>
      </c>
      <c r="G274">
        <v>283.59961675</v>
      </c>
      <c r="H274">
        <v>0</v>
      </c>
      <c r="I274">
        <v>32</v>
      </c>
      <c r="J274">
        <v>1.18</v>
      </c>
      <c r="K274">
        <v>21.681926000000001</v>
      </c>
      <c r="L274">
        <v>-2.6036473689202522</v>
      </c>
      <c r="M274">
        <v>8.6041077321994425E-2</v>
      </c>
      <c r="N274">
        <v>-1.085087408400812</v>
      </c>
      <c r="O274">
        <v>-0.30873289855584601</v>
      </c>
    </row>
    <row r="275" spans="1:15" x14ac:dyDescent="0.25">
      <c r="A275">
        <v>-165.94218425</v>
      </c>
      <c r="B275">
        <v>24.670448749999998</v>
      </c>
      <c r="C275">
        <v>276.21154024999998</v>
      </c>
      <c r="D275">
        <v>9.1993832500000003</v>
      </c>
      <c r="E275">
        <v>56.462426000000001</v>
      </c>
      <c r="F275">
        <v>5.9446742500000003</v>
      </c>
      <c r="G275">
        <v>278.51817299999999</v>
      </c>
      <c r="H275">
        <v>0</v>
      </c>
      <c r="I275">
        <v>36</v>
      </c>
      <c r="J275">
        <v>1.18</v>
      </c>
      <c r="K275">
        <v>21.493924499999999</v>
      </c>
      <c r="L275">
        <v>-3.2792977900987448</v>
      </c>
      <c r="M275">
        <v>0.1147346855826557</v>
      </c>
      <c r="N275">
        <v>-1.646911605308196</v>
      </c>
      <c r="O275">
        <v>-0.62533532409407078</v>
      </c>
    </row>
    <row r="276" spans="1:15" x14ac:dyDescent="0.25">
      <c r="A276">
        <v>-203.59898375</v>
      </c>
      <c r="B276">
        <v>-6.0454852499999996</v>
      </c>
      <c r="C276">
        <v>273.63730624999999</v>
      </c>
      <c r="D276">
        <v>-27.229310999999999</v>
      </c>
      <c r="E276">
        <v>-5.0398924999999997</v>
      </c>
      <c r="F276">
        <v>5.5061355000000001</v>
      </c>
      <c r="G276">
        <v>275.79741675000002</v>
      </c>
      <c r="H276">
        <v>0</v>
      </c>
      <c r="I276">
        <v>40</v>
      </c>
      <c r="J276">
        <v>1.18</v>
      </c>
      <c r="K276">
        <v>21.403756000000001</v>
      </c>
      <c r="L276">
        <v>-4.3242477281622023</v>
      </c>
      <c r="M276">
        <v>0.1918116452410451</v>
      </c>
      <c r="N276">
        <v>-2.544849760034646</v>
      </c>
      <c r="O276">
        <v>-1.095684509365966</v>
      </c>
    </row>
    <row r="277" spans="1:15" x14ac:dyDescent="0.25">
      <c r="A277">
        <v>-234.904583</v>
      </c>
      <c r="B277">
        <v>-38.138786250000003</v>
      </c>
      <c r="C277">
        <v>266.09523050000001</v>
      </c>
      <c r="D277">
        <v>-63.986694249999999</v>
      </c>
      <c r="E277">
        <v>-69.086656750000003</v>
      </c>
      <c r="F277">
        <v>5.6523149999999998</v>
      </c>
      <c r="G277">
        <v>271.1961215</v>
      </c>
      <c r="H277">
        <v>0</v>
      </c>
      <c r="I277">
        <v>44</v>
      </c>
      <c r="J277">
        <v>1.18</v>
      </c>
      <c r="K277">
        <v>21.214952</v>
      </c>
      <c r="L277">
        <v>-6.2350932895614841</v>
      </c>
      <c r="M277">
        <v>0.32160222392227178</v>
      </c>
      <c r="N277">
        <v>-4.2349531267474303</v>
      </c>
      <c r="O277">
        <v>-1.9301961113562349</v>
      </c>
    </row>
    <row r="278" spans="1:15" x14ac:dyDescent="0.25">
      <c r="A278">
        <v>264.37593874999999</v>
      </c>
      <c r="B278">
        <v>-24.0810225</v>
      </c>
      <c r="C278">
        <v>-255.68888475</v>
      </c>
      <c r="D278">
        <v>-86.451967499999995</v>
      </c>
      <c r="E278">
        <v>-18.64313975</v>
      </c>
      <c r="F278">
        <v>5.6035884999999999</v>
      </c>
      <c r="G278">
        <v>268.51538075000002</v>
      </c>
      <c r="H278">
        <v>4</v>
      </c>
      <c r="I278">
        <v>-44</v>
      </c>
      <c r="J278">
        <v>1.18</v>
      </c>
      <c r="K278">
        <v>21.10955225</v>
      </c>
      <c r="L278">
        <v>3.4119105325317038</v>
      </c>
      <c r="M278">
        <v>0.40920007858091262</v>
      </c>
      <c r="N278">
        <v>-1.883933074972818</v>
      </c>
      <c r="O278">
        <v>-1.1590832479345701</v>
      </c>
    </row>
    <row r="279" spans="1:15" x14ac:dyDescent="0.25">
      <c r="A279">
        <v>265.09815250000003</v>
      </c>
      <c r="B279">
        <v>11.87826025</v>
      </c>
      <c r="C279">
        <v>-216.26887149999999</v>
      </c>
      <c r="D279">
        <v>-48.951569749999997</v>
      </c>
      <c r="E279">
        <v>35.8087205</v>
      </c>
      <c r="F279">
        <v>5.554862</v>
      </c>
      <c r="G279">
        <v>265.47453300000001</v>
      </c>
      <c r="H279">
        <v>4</v>
      </c>
      <c r="I279">
        <v>-40</v>
      </c>
      <c r="J279">
        <v>1.18</v>
      </c>
      <c r="K279">
        <v>20.989085500000002</v>
      </c>
      <c r="L279">
        <v>2.8581993313867091</v>
      </c>
      <c r="M279">
        <v>0.36114908254155631</v>
      </c>
      <c r="N279">
        <v>-1.3636996789476801</v>
      </c>
      <c r="O279">
        <v>-0.82034425462032567</v>
      </c>
    </row>
    <row r="280" spans="1:15" x14ac:dyDescent="0.25">
      <c r="A280">
        <v>262.02874750000001</v>
      </c>
      <c r="B280">
        <v>42.367787499999999</v>
      </c>
      <c r="C280">
        <v>-170.35402275000001</v>
      </c>
      <c r="D280">
        <v>-11.669703999999999</v>
      </c>
      <c r="E280">
        <v>84.358343000000005</v>
      </c>
      <c r="F280">
        <v>5.3599560000000004</v>
      </c>
      <c r="G280">
        <v>262.63372800000002</v>
      </c>
      <c r="H280">
        <v>4</v>
      </c>
      <c r="I280">
        <v>-36</v>
      </c>
      <c r="J280">
        <v>1.18</v>
      </c>
      <c r="K280">
        <v>20.881982499999999</v>
      </c>
      <c r="L280">
        <v>2.4655567025855269</v>
      </c>
      <c r="M280">
        <v>0.30812682675647401</v>
      </c>
      <c r="N280">
        <v>-1.016576534594188</v>
      </c>
      <c r="O280">
        <v>-0.54953667992942035</v>
      </c>
    </row>
    <row r="281" spans="1:15" x14ac:dyDescent="0.25">
      <c r="A281">
        <v>260.35861225000002</v>
      </c>
      <c r="B281">
        <v>69.596723749999995</v>
      </c>
      <c r="C281">
        <v>-127.96558175</v>
      </c>
      <c r="D281">
        <v>18.617845750000001</v>
      </c>
      <c r="E281">
        <v>126.38103475</v>
      </c>
      <c r="F281">
        <v>5.4086824999999994</v>
      </c>
      <c r="G281">
        <v>261.43339550000002</v>
      </c>
      <c r="H281">
        <v>4</v>
      </c>
      <c r="I281">
        <v>-32</v>
      </c>
      <c r="J281">
        <v>1.18</v>
      </c>
      <c r="K281">
        <v>20.831229</v>
      </c>
      <c r="L281">
        <v>2.1447865006188418</v>
      </c>
      <c r="M281">
        <v>0.28157528136163978</v>
      </c>
      <c r="N281">
        <v>-0.74592766097201857</v>
      </c>
      <c r="O281">
        <v>-0.33185114276564481</v>
      </c>
    </row>
    <row r="282" spans="1:15" x14ac:dyDescent="0.25">
      <c r="A282">
        <v>253.99409474999999</v>
      </c>
      <c r="B282">
        <v>95.26069824999999</v>
      </c>
      <c r="C282">
        <v>-81.004982249999998</v>
      </c>
      <c r="D282">
        <v>45.909481999999997</v>
      </c>
      <c r="E282">
        <v>162.86031</v>
      </c>
      <c r="F282">
        <v>5.2137762499999996</v>
      </c>
      <c r="G282">
        <v>258.55258974999998</v>
      </c>
      <c r="H282">
        <v>4</v>
      </c>
      <c r="I282">
        <v>-28</v>
      </c>
      <c r="J282">
        <v>1.18</v>
      </c>
      <c r="K282">
        <v>20.721674499999999</v>
      </c>
      <c r="L282">
        <v>1.856902886632497</v>
      </c>
      <c r="M282">
        <v>0.27352791728650078</v>
      </c>
      <c r="N282">
        <v>-0.53042378211357599</v>
      </c>
      <c r="O282">
        <v>-0.1261584424590306</v>
      </c>
    </row>
    <row r="283" spans="1:15" x14ac:dyDescent="0.25">
      <c r="A283">
        <v>245.05669025</v>
      </c>
      <c r="B283">
        <v>113.30923825000001</v>
      </c>
      <c r="C283">
        <v>-41.136602250000003</v>
      </c>
      <c r="D283">
        <v>70.1346475</v>
      </c>
      <c r="E283">
        <v>191.56091674999999</v>
      </c>
      <c r="F283">
        <v>5.0675964999999996</v>
      </c>
      <c r="G283">
        <v>254.91155624999999</v>
      </c>
      <c r="H283">
        <v>4</v>
      </c>
      <c r="I283">
        <v>-24</v>
      </c>
      <c r="J283">
        <v>1.18</v>
      </c>
      <c r="K283">
        <v>20.578247000000001</v>
      </c>
      <c r="L283">
        <v>1.616352369176727</v>
      </c>
      <c r="M283">
        <v>0.24382953018400499</v>
      </c>
      <c r="N283">
        <v>-0.35779553943002318</v>
      </c>
      <c r="O283">
        <v>5.3279030163334892E-2</v>
      </c>
    </row>
    <row r="284" spans="1:15" x14ac:dyDescent="0.25">
      <c r="A284">
        <v>234.94567850000001</v>
      </c>
      <c r="B284">
        <v>129.25835050000001</v>
      </c>
      <c r="C284">
        <v>-5.1868449999999999</v>
      </c>
      <c r="D284">
        <v>89.803899749999999</v>
      </c>
      <c r="E284">
        <v>213.37695325000001</v>
      </c>
      <c r="F284">
        <v>4.9701434999999998</v>
      </c>
      <c r="G284">
        <v>253.03102100000001</v>
      </c>
      <c r="H284">
        <v>4</v>
      </c>
      <c r="I284">
        <v>-20</v>
      </c>
      <c r="J284">
        <v>1.18</v>
      </c>
      <c r="K284">
        <v>20.504686</v>
      </c>
      <c r="L284">
        <v>1.4037094863788611</v>
      </c>
      <c r="M284">
        <v>0.2306466817233252</v>
      </c>
      <c r="N284">
        <v>-0.23182234288780321</v>
      </c>
      <c r="O284">
        <v>0.21829173465617571</v>
      </c>
    </row>
    <row r="285" spans="1:15" x14ac:dyDescent="0.25">
      <c r="A285">
        <v>219.418049</v>
      </c>
      <c r="B285">
        <v>141.14583575</v>
      </c>
      <c r="C285">
        <v>30.71025375</v>
      </c>
      <c r="D285">
        <v>103.42781625000001</v>
      </c>
      <c r="E285">
        <v>227.72724174999999</v>
      </c>
      <c r="F285">
        <v>5.0675964999999996</v>
      </c>
      <c r="G285">
        <v>249.18996799999999</v>
      </c>
      <c r="H285">
        <v>4</v>
      </c>
      <c r="I285">
        <v>-16</v>
      </c>
      <c r="J285">
        <v>1.18</v>
      </c>
      <c r="K285">
        <v>20.341254750000001</v>
      </c>
      <c r="L285">
        <v>1.174584461843279</v>
      </c>
      <c r="M285">
        <v>0.23478380127099741</v>
      </c>
      <c r="N285">
        <v>-0.13359508361384631</v>
      </c>
      <c r="O285">
        <v>0.38592491779651572</v>
      </c>
    </row>
    <row r="286" spans="1:15" x14ac:dyDescent="0.25">
      <c r="A286">
        <v>224.92493049999999</v>
      </c>
      <c r="B286">
        <v>166.28549975000001</v>
      </c>
      <c r="C286">
        <v>70.904540749999995</v>
      </c>
      <c r="D286">
        <v>124.23604575</v>
      </c>
      <c r="E286">
        <v>260.27249124999997</v>
      </c>
      <c r="F286">
        <v>5.6035884999999999</v>
      </c>
      <c r="G286">
        <v>272.31645200000003</v>
      </c>
      <c r="H286">
        <v>4</v>
      </c>
      <c r="I286">
        <v>-12</v>
      </c>
      <c r="J286">
        <v>1.18</v>
      </c>
      <c r="K286">
        <v>21.261547</v>
      </c>
      <c r="L286">
        <v>0.94663256531208273</v>
      </c>
      <c r="M286">
        <v>0.25845989710780048</v>
      </c>
      <c r="N286">
        <v>-7.4045742782749807E-2</v>
      </c>
      <c r="O286">
        <v>0.56526695372312052</v>
      </c>
    </row>
    <row r="287" spans="1:15" x14ac:dyDescent="0.25">
      <c r="A287">
        <v>231.96654100000001</v>
      </c>
      <c r="B287">
        <v>197.23298625000001</v>
      </c>
      <c r="C287">
        <v>120.67318899999999</v>
      </c>
      <c r="D287">
        <v>146.75273899999999</v>
      </c>
      <c r="E287">
        <v>301.22225974999998</v>
      </c>
      <c r="F287">
        <v>6.6755724999999986</v>
      </c>
      <c r="G287">
        <v>306.80611425000001</v>
      </c>
      <c r="H287">
        <v>4</v>
      </c>
      <c r="I287">
        <v>-8</v>
      </c>
      <c r="J287">
        <v>1.18</v>
      </c>
      <c r="K287">
        <v>22.554236499999998</v>
      </c>
      <c r="L287">
        <v>0.6644591422155528</v>
      </c>
      <c r="M287">
        <v>0.30130955035010498</v>
      </c>
      <c r="N287">
        <v>-3.3411492075830752E-2</v>
      </c>
      <c r="O287">
        <v>0.75846219604312048</v>
      </c>
    </row>
    <row r="288" spans="1:15" x14ac:dyDescent="0.25">
      <c r="A288">
        <v>205.10915349999999</v>
      </c>
      <c r="B288">
        <v>199.56183999999999</v>
      </c>
      <c r="C288">
        <v>152.01571250000001</v>
      </c>
      <c r="D288">
        <v>148.15456025</v>
      </c>
      <c r="E288">
        <v>302.42929874999999</v>
      </c>
      <c r="F288">
        <v>6.2370334999999999</v>
      </c>
      <c r="G288">
        <v>303.56520849999998</v>
      </c>
      <c r="H288">
        <v>4</v>
      </c>
      <c r="I288">
        <v>-4</v>
      </c>
      <c r="J288">
        <v>1.18</v>
      </c>
      <c r="K288">
        <v>22.448736749999998</v>
      </c>
      <c r="L288">
        <v>0.34849625495608483</v>
      </c>
      <c r="M288">
        <v>0.33744411112705919</v>
      </c>
      <c r="N288">
        <v>-7.4698926384333354E-3</v>
      </c>
      <c r="O288">
        <v>0.94427548908557735</v>
      </c>
    </row>
    <row r="289" spans="1:15" x14ac:dyDescent="0.25">
      <c r="A289">
        <v>171.46979124999999</v>
      </c>
      <c r="B289">
        <v>195.33015825000001</v>
      </c>
      <c r="C289">
        <v>172.20317825000001</v>
      </c>
      <c r="D289">
        <v>141.1016655</v>
      </c>
      <c r="E289">
        <v>291.25304399999999</v>
      </c>
      <c r="F289">
        <v>6.2370334999999999</v>
      </c>
      <c r="G289">
        <v>291.72188575000001</v>
      </c>
      <c r="H289">
        <v>4</v>
      </c>
      <c r="I289">
        <v>0</v>
      </c>
      <c r="J289">
        <v>1.18</v>
      </c>
      <c r="K289">
        <v>21.997102250000001</v>
      </c>
      <c r="L289">
        <v>-5.4289536384616449E-3</v>
      </c>
      <c r="M289">
        <v>0.40130204716335438</v>
      </c>
      <c r="N289">
        <v>-3.474055092536892E-3</v>
      </c>
      <c r="O289">
        <v>1.1090939123764769</v>
      </c>
    </row>
    <row r="290" spans="1:15" x14ac:dyDescent="0.25">
      <c r="A290">
        <v>138.01534649999999</v>
      </c>
      <c r="B290">
        <v>188.64604174999999</v>
      </c>
      <c r="C290">
        <v>190.53900150000001</v>
      </c>
      <c r="D290">
        <v>138.03518675000001</v>
      </c>
      <c r="E290">
        <v>282.40145074999998</v>
      </c>
      <c r="F290">
        <v>5.7984945000000003</v>
      </c>
      <c r="G290">
        <v>283.39955099999997</v>
      </c>
      <c r="H290">
        <v>4</v>
      </c>
      <c r="I290">
        <v>4</v>
      </c>
      <c r="J290">
        <v>1.18</v>
      </c>
      <c r="K290">
        <v>21.6912375</v>
      </c>
      <c r="L290">
        <v>-0.36380024718683279</v>
      </c>
      <c r="M290">
        <v>0.3505399523299117</v>
      </c>
      <c r="N290">
        <v>-6.9143541943277719E-3</v>
      </c>
      <c r="O290">
        <v>0.91584961362638495</v>
      </c>
    </row>
    <row r="291" spans="1:15" x14ac:dyDescent="0.25">
      <c r="A291">
        <v>103.81171424999999</v>
      </c>
      <c r="B291">
        <v>179.17286675</v>
      </c>
      <c r="C291">
        <v>206.61670699999999</v>
      </c>
      <c r="D291">
        <v>132.55933775</v>
      </c>
      <c r="E291">
        <v>271.76168050000001</v>
      </c>
      <c r="F291">
        <v>5.8472212499999996</v>
      </c>
      <c r="G291">
        <v>275.67738350000002</v>
      </c>
      <c r="H291">
        <v>4</v>
      </c>
      <c r="I291">
        <v>8</v>
      </c>
      <c r="J291">
        <v>1.18</v>
      </c>
      <c r="K291">
        <v>21.385489499999998</v>
      </c>
      <c r="L291">
        <v>-0.6694073020768232</v>
      </c>
      <c r="M291">
        <v>0.30353073133182001</v>
      </c>
      <c r="N291">
        <v>-2.5507468347252711E-2</v>
      </c>
      <c r="O291">
        <v>0.73148284305340816</v>
      </c>
    </row>
    <row r="292" spans="1:15" x14ac:dyDescent="0.25">
      <c r="A292">
        <v>69.91489</v>
      </c>
      <c r="B292">
        <v>169.33864199999999</v>
      </c>
      <c r="C292">
        <v>221.38470874999999</v>
      </c>
      <c r="D292">
        <v>124.45508225</v>
      </c>
      <c r="E292">
        <v>260.09367350000002</v>
      </c>
      <c r="F292">
        <v>5.7497682499999998</v>
      </c>
      <c r="G292">
        <v>271.23613</v>
      </c>
      <c r="H292">
        <v>4</v>
      </c>
      <c r="I292">
        <v>12</v>
      </c>
      <c r="J292">
        <v>1.18</v>
      </c>
      <c r="K292">
        <v>21.212654749999999</v>
      </c>
      <c r="L292">
        <v>-0.92977727577300828</v>
      </c>
      <c r="M292">
        <v>0.2755129821299564</v>
      </c>
      <c r="N292">
        <v>-6.8395724021305296E-2</v>
      </c>
      <c r="O292">
        <v>0.56128122824199267</v>
      </c>
    </row>
    <row r="293" spans="1:15" x14ac:dyDescent="0.25">
      <c r="A293">
        <v>33.443228750000003</v>
      </c>
      <c r="B293">
        <v>154.84073624999999</v>
      </c>
      <c r="C293">
        <v>231.04943075</v>
      </c>
      <c r="D293">
        <v>110.61213125</v>
      </c>
      <c r="E293">
        <v>239.93172050000001</v>
      </c>
      <c r="F293">
        <v>5.3599559999999986</v>
      </c>
      <c r="G293">
        <v>264.99439224999998</v>
      </c>
      <c r="H293">
        <v>4</v>
      </c>
      <c r="I293">
        <v>16</v>
      </c>
      <c r="J293">
        <v>1.18</v>
      </c>
      <c r="K293">
        <v>20.977564999999998</v>
      </c>
      <c r="L293">
        <v>-1.176908750386447</v>
      </c>
      <c r="M293">
        <v>0.26341879543274788</v>
      </c>
      <c r="N293">
        <v>-0.14927014227596269</v>
      </c>
      <c r="O293">
        <v>0.39705963954977069</v>
      </c>
    </row>
    <row r="294" spans="1:15" x14ac:dyDescent="0.25">
      <c r="A294">
        <v>-2.3873337499999998</v>
      </c>
      <c r="B294">
        <v>139.31829049999999</v>
      </c>
      <c r="C294">
        <v>240.08184424999999</v>
      </c>
      <c r="D294">
        <v>91.775207750000007</v>
      </c>
      <c r="E294">
        <v>215.6122015</v>
      </c>
      <c r="F294">
        <v>5.2137760000000002</v>
      </c>
      <c r="G294">
        <v>261.55343649999998</v>
      </c>
      <c r="H294">
        <v>4</v>
      </c>
      <c r="I294">
        <v>20</v>
      </c>
      <c r="J294">
        <v>1.18</v>
      </c>
      <c r="K294">
        <v>20.844038250000001</v>
      </c>
      <c r="L294">
        <v>-1.418641331510307</v>
      </c>
      <c r="M294">
        <v>0.27815914964086591</v>
      </c>
      <c r="N294">
        <v>-0.26879366958603029</v>
      </c>
      <c r="O294">
        <v>0.23099389350941441</v>
      </c>
    </row>
    <row r="295" spans="1:15" x14ac:dyDescent="0.25">
      <c r="A295">
        <v>-37.972109750000001</v>
      </c>
      <c r="B295">
        <v>122.00573375</v>
      </c>
      <c r="C295">
        <v>246.90132525000001</v>
      </c>
      <c r="D295">
        <v>68.513794000000004</v>
      </c>
      <c r="E295">
        <v>184.58693725000001</v>
      </c>
      <c r="F295">
        <v>5.2137764999999998</v>
      </c>
      <c r="G295">
        <v>259.15274825</v>
      </c>
      <c r="H295">
        <v>4</v>
      </c>
      <c r="I295">
        <v>24</v>
      </c>
      <c r="J295">
        <v>1.18</v>
      </c>
      <c r="K295">
        <v>20.746203999999999</v>
      </c>
      <c r="L295">
        <v>-1.682500978056946</v>
      </c>
      <c r="M295">
        <v>0.31593018350483359</v>
      </c>
      <c r="N295">
        <v>-0.44040557301725858</v>
      </c>
      <c r="O295">
        <v>5.9395266602666377E-2</v>
      </c>
    </row>
    <row r="296" spans="1:15" x14ac:dyDescent="0.25">
      <c r="A296">
        <v>-72.025394250000005</v>
      </c>
      <c r="B296">
        <v>102.09622374999999</v>
      </c>
      <c r="C296">
        <v>246.991646</v>
      </c>
      <c r="D296">
        <v>38.812782499999997</v>
      </c>
      <c r="E296">
        <v>146.09594000000001</v>
      </c>
      <c r="F296">
        <v>5.0188697500000004</v>
      </c>
      <c r="G296">
        <v>253.2710955</v>
      </c>
      <c r="H296">
        <v>4</v>
      </c>
      <c r="I296">
        <v>28</v>
      </c>
      <c r="J296">
        <v>1.18</v>
      </c>
      <c r="K296">
        <v>20.51259275</v>
      </c>
      <c r="L296">
        <v>-1.960742963772834</v>
      </c>
      <c r="M296">
        <v>0.38894405641643598</v>
      </c>
      <c r="N296">
        <v>-0.65871680802255828</v>
      </c>
      <c r="O296">
        <v>-0.1329060818907862</v>
      </c>
    </row>
    <row r="297" spans="1:15" x14ac:dyDescent="0.25">
      <c r="A297">
        <v>-109.637148</v>
      </c>
      <c r="B297">
        <v>79.926454250000006</v>
      </c>
      <c r="C297">
        <v>248.03037674999999</v>
      </c>
      <c r="D297">
        <v>5.5634192499999999</v>
      </c>
      <c r="E297">
        <v>100.22861475000001</v>
      </c>
      <c r="F297">
        <v>4.9214167499999997</v>
      </c>
      <c r="G297">
        <v>250.95043924999999</v>
      </c>
      <c r="H297">
        <v>4</v>
      </c>
      <c r="I297">
        <v>32</v>
      </c>
      <c r="J297">
        <v>1.18</v>
      </c>
      <c r="K297">
        <v>20.42053525</v>
      </c>
      <c r="L297">
        <v>-2.3489720822424309</v>
      </c>
      <c r="M297">
        <v>0.4883800432698151</v>
      </c>
      <c r="N297">
        <v>-0.98986830386812341</v>
      </c>
      <c r="O297">
        <v>-0.37407402938250778</v>
      </c>
    </row>
    <row r="298" spans="1:15" x14ac:dyDescent="0.25">
      <c r="A298">
        <v>-146.57325725000001</v>
      </c>
      <c r="B298">
        <v>54.29796125</v>
      </c>
      <c r="C298">
        <v>247.03679675000001</v>
      </c>
      <c r="D298">
        <v>-28.147152250000001</v>
      </c>
      <c r="E298">
        <v>49.175514249999999</v>
      </c>
      <c r="F298">
        <v>5.0188697500000004</v>
      </c>
      <c r="G298">
        <v>248.5497665</v>
      </c>
      <c r="H298">
        <v>4</v>
      </c>
      <c r="I298">
        <v>36</v>
      </c>
      <c r="J298">
        <v>1.18</v>
      </c>
      <c r="K298">
        <v>20.31659475</v>
      </c>
      <c r="L298">
        <v>-2.8828967309961109</v>
      </c>
      <c r="M298">
        <v>0.60382569807067921</v>
      </c>
      <c r="N298">
        <v>-1.4602768414269529</v>
      </c>
      <c r="O298">
        <v>-0.67661104782298431</v>
      </c>
    </row>
    <row r="299" spans="1:15" x14ac:dyDescent="0.25">
      <c r="A299">
        <v>-177.29327749999999</v>
      </c>
      <c r="B299">
        <v>27.940565750000001</v>
      </c>
      <c r="C299">
        <v>241.03026199999999</v>
      </c>
      <c r="D299">
        <v>-61.364288500000001</v>
      </c>
      <c r="E299">
        <v>-4.5938842500000003</v>
      </c>
      <c r="F299">
        <v>4.9701434999999998</v>
      </c>
      <c r="G299">
        <v>243.82844900000001</v>
      </c>
      <c r="H299">
        <v>4</v>
      </c>
      <c r="I299">
        <v>40</v>
      </c>
      <c r="J299">
        <v>1.18</v>
      </c>
      <c r="K299">
        <v>20.120748249999998</v>
      </c>
      <c r="L299">
        <v>-3.646373981831438</v>
      </c>
      <c r="M299">
        <v>0.77838857563719754</v>
      </c>
      <c r="N299">
        <v>-2.1655111534211171</v>
      </c>
      <c r="O299">
        <v>-1.083454386685389</v>
      </c>
    </row>
    <row r="300" spans="1:15" x14ac:dyDescent="0.25">
      <c r="A300">
        <v>-224.99488825</v>
      </c>
      <c r="B300">
        <v>0.62547575</v>
      </c>
      <c r="C300">
        <v>256.43053424999999</v>
      </c>
      <c r="D300">
        <v>-103.19165599999999</v>
      </c>
      <c r="E300">
        <v>-65.563196250000004</v>
      </c>
      <c r="F300">
        <v>5.4086825000000003</v>
      </c>
      <c r="G300">
        <v>262.59371950000002</v>
      </c>
      <c r="H300">
        <v>4</v>
      </c>
      <c r="I300">
        <v>44</v>
      </c>
      <c r="J300">
        <v>1.18</v>
      </c>
      <c r="K300">
        <v>20.878314499999998</v>
      </c>
      <c r="L300">
        <v>-4.886656474503555</v>
      </c>
      <c r="M300">
        <v>1.053650027218948</v>
      </c>
      <c r="N300">
        <v>-3.3310404691311439</v>
      </c>
      <c r="O300">
        <v>-1.720520616497496</v>
      </c>
    </row>
    <row r="301" spans="1:15" x14ac:dyDescent="0.25">
      <c r="A301">
        <v>297.46243275</v>
      </c>
      <c r="B301">
        <v>13.176816499999999</v>
      </c>
      <c r="C301">
        <v>-291.86149575000002</v>
      </c>
      <c r="D301">
        <v>-149.21486300000001</v>
      </c>
      <c r="E301">
        <v>-25.065656499999999</v>
      </c>
      <c r="F301">
        <v>6.5293929999999998</v>
      </c>
      <c r="G301">
        <v>304.12536625000001</v>
      </c>
      <c r="H301">
        <v>8</v>
      </c>
      <c r="I301">
        <v>-44</v>
      </c>
      <c r="J301">
        <v>1.18</v>
      </c>
      <c r="K301">
        <v>22.458809500000001</v>
      </c>
      <c r="L301">
        <v>3.014893926630883</v>
      </c>
      <c r="M301">
        <v>0.83081624428404577</v>
      </c>
      <c r="N301">
        <v>-1.6841283830356779</v>
      </c>
      <c r="O301">
        <v>-1.1616783650250979</v>
      </c>
    </row>
    <row r="302" spans="1:15" x14ac:dyDescent="0.25">
      <c r="A302">
        <v>301.93113699999998</v>
      </c>
      <c r="B302">
        <v>51.123855499999998</v>
      </c>
      <c r="C302">
        <v>-248.74302299999999</v>
      </c>
      <c r="D302">
        <v>-104.85251425</v>
      </c>
      <c r="E302">
        <v>36.211067</v>
      </c>
      <c r="F302">
        <v>6.0908540000000002</v>
      </c>
      <c r="G302">
        <v>304.20539124999999</v>
      </c>
      <c r="H302">
        <v>8</v>
      </c>
      <c r="I302">
        <v>-40</v>
      </c>
      <c r="J302">
        <v>1.18</v>
      </c>
      <c r="K302">
        <v>22.478404000000001</v>
      </c>
      <c r="L302">
        <v>2.5852396300386942</v>
      </c>
      <c r="M302">
        <v>0.7322359643602715</v>
      </c>
      <c r="N302">
        <v>-1.258149103083108</v>
      </c>
      <c r="O302">
        <v>-0.85859789089143168</v>
      </c>
    </row>
    <row r="303" spans="1:15" x14ac:dyDescent="0.25">
      <c r="A303">
        <v>291.1430585</v>
      </c>
      <c r="B303">
        <v>83.05225575</v>
      </c>
      <c r="C303">
        <v>-191.0112</v>
      </c>
      <c r="D303">
        <v>-61.801356499999997</v>
      </c>
      <c r="E303">
        <v>86.548887250000007</v>
      </c>
      <c r="F303">
        <v>6.3832135000000001</v>
      </c>
      <c r="G303">
        <v>293.52239225</v>
      </c>
      <c r="H303">
        <v>8</v>
      </c>
      <c r="I303">
        <v>-36</v>
      </c>
      <c r="J303">
        <v>1.18</v>
      </c>
      <c r="K303">
        <v>22.060732999999999</v>
      </c>
      <c r="L303">
        <v>2.2641202166548751</v>
      </c>
      <c r="M303">
        <v>0.68020926790504399</v>
      </c>
      <c r="N303">
        <v>-0.97193413818463326</v>
      </c>
      <c r="O303">
        <v>-0.62355898143085875</v>
      </c>
    </row>
    <row r="304" spans="1:15" x14ac:dyDescent="0.25">
      <c r="A304">
        <v>279.36191550000001</v>
      </c>
      <c r="B304">
        <v>108.01120175</v>
      </c>
      <c r="C304">
        <v>-135.173687</v>
      </c>
      <c r="D304">
        <v>-19.71174675</v>
      </c>
      <c r="E304">
        <v>131.16446675</v>
      </c>
      <c r="F304">
        <v>5.8959479999999997</v>
      </c>
      <c r="G304">
        <v>282.79937749999999</v>
      </c>
      <c r="H304">
        <v>8</v>
      </c>
      <c r="I304">
        <v>-32</v>
      </c>
      <c r="J304">
        <v>1.18</v>
      </c>
      <c r="K304">
        <v>21.663969999999999</v>
      </c>
      <c r="L304">
        <v>1.987169583894705</v>
      </c>
      <c r="M304">
        <v>0.61223019499530373</v>
      </c>
      <c r="N304">
        <v>-0.72689461486526497</v>
      </c>
      <c r="O304">
        <v>-0.39949416091750539</v>
      </c>
    </row>
    <row r="305" spans="1:15" x14ac:dyDescent="0.25">
      <c r="A305">
        <v>269.52172124999998</v>
      </c>
      <c r="B305">
        <v>129.36355975000001</v>
      </c>
      <c r="C305">
        <v>-86.28203225</v>
      </c>
      <c r="D305">
        <v>14.806653750000001</v>
      </c>
      <c r="E305">
        <v>168.85077674999999</v>
      </c>
      <c r="F305">
        <v>5.6035884999999999</v>
      </c>
      <c r="G305">
        <v>276.47762325000002</v>
      </c>
      <c r="H305">
        <v>8</v>
      </c>
      <c r="I305">
        <v>-28</v>
      </c>
      <c r="J305">
        <v>1.18</v>
      </c>
      <c r="K305">
        <v>21.426814749999998</v>
      </c>
      <c r="L305">
        <v>1.739119010808464</v>
      </c>
      <c r="M305">
        <v>0.55993551841494582</v>
      </c>
      <c r="N305">
        <v>-0.52607128925846225</v>
      </c>
      <c r="O305">
        <v>-0.20207050692854861</v>
      </c>
    </row>
    <row r="306" spans="1:15" x14ac:dyDescent="0.25">
      <c r="A306">
        <v>257.99452224999999</v>
      </c>
      <c r="B306">
        <v>146.60047524999999</v>
      </c>
      <c r="C306">
        <v>-39.329812250000003</v>
      </c>
      <c r="D306">
        <v>45.602835749999997</v>
      </c>
      <c r="E306">
        <v>197.77490599999999</v>
      </c>
      <c r="F306">
        <v>5.3112292500000002</v>
      </c>
      <c r="G306">
        <v>270.91604625000002</v>
      </c>
      <c r="H306">
        <v>8</v>
      </c>
      <c r="I306">
        <v>-24</v>
      </c>
      <c r="J306">
        <v>1.18</v>
      </c>
      <c r="K306">
        <v>21.217380500000001</v>
      </c>
      <c r="L306">
        <v>1.527577682459933</v>
      </c>
      <c r="M306">
        <v>0.51889577588888036</v>
      </c>
      <c r="N306">
        <v>-0.37578266450867392</v>
      </c>
      <c r="O306">
        <v>-1.1174897919287901E-2</v>
      </c>
    </row>
    <row r="307" spans="1:15" x14ac:dyDescent="0.25">
      <c r="A307">
        <v>244.0025445</v>
      </c>
      <c r="B307">
        <v>159.33510999999999</v>
      </c>
      <c r="C307">
        <v>0.36153774999999999</v>
      </c>
      <c r="D307">
        <v>68.820442249999999</v>
      </c>
      <c r="E307">
        <v>217.84744275</v>
      </c>
      <c r="F307">
        <v>5.2625025000000001</v>
      </c>
      <c r="G307">
        <v>265.35450750000001</v>
      </c>
      <c r="H307">
        <v>8</v>
      </c>
      <c r="I307">
        <v>-20</v>
      </c>
      <c r="J307">
        <v>1.18</v>
      </c>
      <c r="K307">
        <v>20.996040499999999</v>
      </c>
      <c r="L307">
        <v>1.329504331569759</v>
      </c>
      <c r="M307">
        <v>0.49391960939974983</v>
      </c>
      <c r="N307">
        <v>-0.2592365243456427</v>
      </c>
      <c r="O307">
        <v>0.16004560311477251</v>
      </c>
    </row>
    <row r="308" spans="1:15" x14ac:dyDescent="0.25">
      <c r="A308">
        <v>228.79181274999999</v>
      </c>
      <c r="B308">
        <v>170.76954649999999</v>
      </c>
      <c r="C308">
        <v>38.703947999999997</v>
      </c>
      <c r="D308">
        <v>83.057651249999992</v>
      </c>
      <c r="E308">
        <v>233.62830349999999</v>
      </c>
      <c r="F308">
        <v>5.6035884999999999</v>
      </c>
      <c r="G308">
        <v>262.35363749999999</v>
      </c>
      <c r="H308">
        <v>8</v>
      </c>
      <c r="I308">
        <v>-16</v>
      </c>
      <c r="J308">
        <v>1.18</v>
      </c>
      <c r="K308">
        <v>20.860714999999999</v>
      </c>
      <c r="L308">
        <v>1.100379712025696</v>
      </c>
      <c r="M308">
        <v>0.50774527773615463</v>
      </c>
      <c r="N308">
        <v>-0.16628489462705071</v>
      </c>
      <c r="O308">
        <v>0.31998878183702772</v>
      </c>
    </row>
    <row r="309" spans="1:15" x14ac:dyDescent="0.25">
      <c r="A309">
        <v>209.64068225</v>
      </c>
      <c r="B309">
        <v>177.59836949999999</v>
      </c>
      <c r="C309">
        <v>72.259406999999996</v>
      </c>
      <c r="D309">
        <v>93.921741499999996</v>
      </c>
      <c r="E309">
        <v>241.76461800000001</v>
      </c>
      <c r="F309">
        <v>5.1650495000000003</v>
      </c>
      <c r="G309">
        <v>257.19220000000001</v>
      </c>
      <c r="H309">
        <v>8</v>
      </c>
      <c r="I309">
        <v>-12</v>
      </c>
      <c r="J309">
        <v>1.18</v>
      </c>
      <c r="K309">
        <v>20.667960000000001</v>
      </c>
      <c r="L309">
        <v>0.86580240875849168</v>
      </c>
      <c r="M309">
        <v>0.52734342465664807</v>
      </c>
      <c r="N309">
        <v>-9.7231785235735224E-2</v>
      </c>
      <c r="O309">
        <v>0.49111052582506243</v>
      </c>
    </row>
    <row r="310" spans="1:15" x14ac:dyDescent="0.25">
      <c r="A310">
        <v>190.05316174999999</v>
      </c>
      <c r="B310">
        <v>182.55171949999999</v>
      </c>
      <c r="C310">
        <v>99.492168500000005</v>
      </c>
      <c r="D310">
        <v>97.470090999999996</v>
      </c>
      <c r="E310">
        <v>246.05628974999999</v>
      </c>
      <c r="F310">
        <v>5.1163227500000001</v>
      </c>
      <c r="G310">
        <v>253.79125575</v>
      </c>
      <c r="H310">
        <v>8</v>
      </c>
      <c r="I310">
        <v>-8</v>
      </c>
      <c r="J310">
        <v>1.18</v>
      </c>
      <c r="K310">
        <v>20.530049250000001</v>
      </c>
      <c r="L310">
        <v>0.61366930140868869</v>
      </c>
      <c r="M310">
        <v>0.57652863200985083</v>
      </c>
      <c r="N310">
        <v>-5.2420601825678287E-2</v>
      </c>
      <c r="O310">
        <v>0.63266895178884819</v>
      </c>
    </row>
    <row r="311" spans="1:15" x14ac:dyDescent="0.25">
      <c r="A311">
        <v>168.49076099999999</v>
      </c>
      <c r="B311">
        <v>185.5332985</v>
      </c>
      <c r="C311">
        <v>123.47325524999999</v>
      </c>
      <c r="D311">
        <v>97.163441000000006</v>
      </c>
      <c r="E311">
        <v>248.06803124999999</v>
      </c>
      <c r="F311">
        <v>5.0675964999999996</v>
      </c>
      <c r="G311">
        <v>251.67066199999999</v>
      </c>
      <c r="H311">
        <v>8</v>
      </c>
      <c r="I311">
        <v>-4</v>
      </c>
      <c r="J311">
        <v>1.18</v>
      </c>
      <c r="K311">
        <v>20.444345999999999</v>
      </c>
      <c r="L311">
        <v>0.3267846124323292</v>
      </c>
      <c r="M311">
        <v>0.64148922976237288</v>
      </c>
      <c r="N311">
        <v>-2.617926947127968E-2</v>
      </c>
      <c r="O311">
        <v>0.76411947997487983</v>
      </c>
    </row>
    <row r="312" spans="1:15" x14ac:dyDescent="0.25">
      <c r="A312">
        <v>141.526375</v>
      </c>
      <c r="B312">
        <v>182.21503799999999</v>
      </c>
      <c r="C312">
        <v>141.76391975000001</v>
      </c>
      <c r="D312">
        <v>94.053159499999992</v>
      </c>
      <c r="E312">
        <v>243.28458025</v>
      </c>
      <c r="F312">
        <v>4.9214167499999997</v>
      </c>
      <c r="G312">
        <v>246.50919325000001</v>
      </c>
      <c r="H312">
        <v>8</v>
      </c>
      <c r="I312">
        <v>0</v>
      </c>
      <c r="J312">
        <v>1.18</v>
      </c>
      <c r="K312">
        <v>20.23538375</v>
      </c>
      <c r="L312">
        <v>-1.9007602129154891E-3</v>
      </c>
      <c r="M312">
        <v>0.70215741180737534</v>
      </c>
      <c r="N312">
        <v>-2.5707322503293221E-2</v>
      </c>
      <c r="O312">
        <v>0.8984732900804796</v>
      </c>
    </row>
    <row r="313" spans="1:15" x14ac:dyDescent="0.25">
      <c r="A313">
        <v>129.05085750000001</v>
      </c>
      <c r="B313">
        <v>196.511841</v>
      </c>
      <c r="C313">
        <v>174.14515700000001</v>
      </c>
      <c r="D313">
        <v>102.683098</v>
      </c>
      <c r="E313">
        <v>262.0159835</v>
      </c>
      <c r="F313">
        <v>5.5061355000000001</v>
      </c>
      <c r="G313">
        <v>266.07469149999997</v>
      </c>
      <c r="H313">
        <v>8</v>
      </c>
      <c r="I313">
        <v>4</v>
      </c>
      <c r="J313">
        <v>1.18</v>
      </c>
      <c r="K313">
        <v>21.015177999999999</v>
      </c>
      <c r="L313">
        <v>-0.30855551562713091</v>
      </c>
      <c r="M313">
        <v>0.64201918473573094</v>
      </c>
      <c r="N313">
        <v>-2.778052869960812E-2</v>
      </c>
      <c r="O313">
        <v>0.75512113546584581</v>
      </c>
    </row>
    <row r="314" spans="1:15" x14ac:dyDescent="0.25">
      <c r="A314">
        <v>112.3873385</v>
      </c>
      <c r="B314">
        <v>215.8454705</v>
      </c>
      <c r="C314">
        <v>217.86207575</v>
      </c>
      <c r="D314">
        <v>114.37951674999999</v>
      </c>
      <c r="E314">
        <v>289.33072650000003</v>
      </c>
      <c r="F314">
        <v>6.0908542499999996</v>
      </c>
      <c r="G314">
        <v>298.00366200000002</v>
      </c>
      <c r="H314">
        <v>8</v>
      </c>
      <c r="I314">
        <v>8</v>
      </c>
      <c r="J314">
        <v>1.18</v>
      </c>
      <c r="K314">
        <v>22.243319</v>
      </c>
      <c r="L314">
        <v>-0.59945581142935456</v>
      </c>
      <c r="M314">
        <v>0.57669914904155928</v>
      </c>
      <c r="N314">
        <v>-4.9298920036195869E-2</v>
      </c>
      <c r="O314">
        <v>0.60980017097894601</v>
      </c>
    </row>
    <row r="315" spans="1:15" x14ac:dyDescent="0.25">
      <c r="A315">
        <v>79.568733249999994</v>
      </c>
      <c r="B315">
        <v>216.71124674999999</v>
      </c>
      <c r="C315">
        <v>245.320671</v>
      </c>
      <c r="D315">
        <v>111.444458</v>
      </c>
      <c r="E315">
        <v>288.61545575000002</v>
      </c>
      <c r="F315">
        <v>6.43194</v>
      </c>
      <c r="G315">
        <v>307.56634524999998</v>
      </c>
      <c r="H315">
        <v>8</v>
      </c>
      <c r="I315">
        <v>12</v>
      </c>
      <c r="J315">
        <v>1.18</v>
      </c>
      <c r="K315">
        <v>22.591940749999999</v>
      </c>
      <c r="L315">
        <v>-0.85833296049646812</v>
      </c>
      <c r="M315">
        <v>0.54510763793129957</v>
      </c>
      <c r="N315">
        <v>-9.813638791755866E-2</v>
      </c>
      <c r="O315">
        <v>0.4612752677981804</v>
      </c>
    </row>
    <row r="316" spans="1:15" x14ac:dyDescent="0.25">
      <c r="A316">
        <v>39.578660749999997</v>
      </c>
      <c r="B316">
        <v>197.36355975000001</v>
      </c>
      <c r="C316">
        <v>251.37239099999999</v>
      </c>
      <c r="D316">
        <v>96.900602249999991</v>
      </c>
      <c r="E316">
        <v>260.04897275000002</v>
      </c>
      <c r="F316">
        <v>6.2370330000000003</v>
      </c>
      <c r="G316">
        <v>294.32261649999998</v>
      </c>
      <c r="H316">
        <v>8</v>
      </c>
      <c r="I316">
        <v>16</v>
      </c>
      <c r="J316">
        <v>1.18</v>
      </c>
      <c r="K316">
        <v>22.097066999999999</v>
      </c>
      <c r="L316">
        <v>-1.10420174237067</v>
      </c>
      <c r="M316">
        <v>0.52374892623140135</v>
      </c>
      <c r="N316">
        <v>-0.1787035032244513</v>
      </c>
      <c r="O316">
        <v>0.32325588265952598</v>
      </c>
    </row>
    <row r="317" spans="1:15" x14ac:dyDescent="0.25">
      <c r="A317">
        <v>-0.40539649999999999</v>
      </c>
      <c r="B317">
        <v>178.12740324999999</v>
      </c>
      <c r="C317">
        <v>257.33379374999998</v>
      </c>
      <c r="D317">
        <v>75.128622250000006</v>
      </c>
      <c r="E317">
        <v>230.32015999999999</v>
      </c>
      <c r="F317">
        <v>5.9934007500000002</v>
      </c>
      <c r="G317">
        <v>285.80022450000001</v>
      </c>
      <c r="H317">
        <v>8</v>
      </c>
      <c r="I317">
        <v>20</v>
      </c>
      <c r="J317">
        <v>1.18</v>
      </c>
      <c r="K317">
        <v>21.777241499999999</v>
      </c>
      <c r="L317">
        <v>-1.3357293158695189</v>
      </c>
      <c r="M317">
        <v>0.53379404985449863</v>
      </c>
      <c r="N317">
        <v>-0.28752366291555981</v>
      </c>
      <c r="O317">
        <v>0.16256431083396261</v>
      </c>
    </row>
    <row r="318" spans="1:15" x14ac:dyDescent="0.25">
      <c r="A318">
        <v>-39.323433000000001</v>
      </c>
      <c r="B318">
        <v>157.75901425000001</v>
      </c>
      <c r="C318">
        <v>260.31448375000002</v>
      </c>
      <c r="D318">
        <v>44.3324395</v>
      </c>
      <c r="E318">
        <v>192.36560825000001</v>
      </c>
      <c r="F318">
        <v>5.7010415000000014</v>
      </c>
      <c r="G318">
        <v>277.35786450000001</v>
      </c>
      <c r="H318">
        <v>8</v>
      </c>
      <c r="I318">
        <v>24</v>
      </c>
      <c r="J318">
        <v>1.18</v>
      </c>
      <c r="K318">
        <v>21.457755500000001</v>
      </c>
      <c r="L318">
        <v>-1.5782035206476179</v>
      </c>
      <c r="M318">
        <v>0.59742319586195924</v>
      </c>
      <c r="N318">
        <v>-0.4476641362356647</v>
      </c>
      <c r="O318">
        <v>-1.683738246602124E-2</v>
      </c>
    </row>
    <row r="319" spans="1:15" x14ac:dyDescent="0.25">
      <c r="A319">
        <v>-77.160411749999994</v>
      </c>
      <c r="B319">
        <v>139.34751125</v>
      </c>
      <c r="C319">
        <v>263.97261824999998</v>
      </c>
      <c r="D319">
        <v>8.5422812500000003</v>
      </c>
      <c r="E319">
        <v>153.38285099999999</v>
      </c>
      <c r="F319">
        <v>5.6523149999999998</v>
      </c>
      <c r="G319">
        <v>274.87716699999999</v>
      </c>
      <c r="H319">
        <v>8</v>
      </c>
      <c r="I319">
        <v>28</v>
      </c>
      <c r="J319">
        <v>1.18</v>
      </c>
      <c r="K319">
        <v>21.36149</v>
      </c>
      <c r="L319">
        <v>-1.8175191236623629</v>
      </c>
      <c r="M319">
        <v>0.69690579373383466</v>
      </c>
      <c r="N319">
        <v>-0.64731133307299371</v>
      </c>
      <c r="O319">
        <v>-0.21290488650515399</v>
      </c>
    </row>
    <row r="320" spans="1:15" x14ac:dyDescent="0.25">
      <c r="A320">
        <v>-115.85322775</v>
      </c>
      <c r="B320">
        <v>116.90808675</v>
      </c>
      <c r="C320">
        <v>264.69521324999999</v>
      </c>
      <c r="D320">
        <v>-32.605243250000001</v>
      </c>
      <c r="E320">
        <v>105.68262300000001</v>
      </c>
      <c r="F320">
        <v>5.8472212499999996</v>
      </c>
      <c r="G320">
        <v>270.83602925000002</v>
      </c>
      <c r="H320">
        <v>8</v>
      </c>
      <c r="I320">
        <v>32</v>
      </c>
      <c r="J320">
        <v>1.18</v>
      </c>
      <c r="K320">
        <v>21.192768999999998</v>
      </c>
      <c r="L320">
        <v>-2.115199867595595</v>
      </c>
      <c r="M320">
        <v>0.8310382058460698</v>
      </c>
      <c r="N320">
        <v>-0.91797023338918471</v>
      </c>
      <c r="O320">
        <v>-0.44508027546196882</v>
      </c>
    </row>
    <row r="321" spans="1:15" x14ac:dyDescent="0.25">
      <c r="A321">
        <v>-154.09561149999999</v>
      </c>
      <c r="B321">
        <v>91.474577000000011</v>
      </c>
      <c r="C321">
        <v>262.256462</v>
      </c>
      <c r="D321">
        <v>-73.208820500000002</v>
      </c>
      <c r="E321">
        <v>50.427251750000003</v>
      </c>
      <c r="F321">
        <v>5.5061355000000001</v>
      </c>
      <c r="G321">
        <v>267.35505675000002</v>
      </c>
      <c r="H321">
        <v>8</v>
      </c>
      <c r="I321">
        <v>36</v>
      </c>
      <c r="J321">
        <v>1.18</v>
      </c>
      <c r="K321">
        <v>21.066835749999999</v>
      </c>
      <c r="L321">
        <v>-2.537534712866587</v>
      </c>
      <c r="M321">
        <v>1.003695068498242</v>
      </c>
      <c r="N321">
        <v>-1.3221386267851749</v>
      </c>
      <c r="O321">
        <v>-0.72623971890909989</v>
      </c>
    </row>
    <row r="322" spans="1:15" x14ac:dyDescent="0.25">
      <c r="A322">
        <v>-187.24800099999999</v>
      </c>
      <c r="B322">
        <v>61.848536500000002</v>
      </c>
      <c r="C322">
        <v>255.25633225000001</v>
      </c>
      <c r="D322">
        <v>-109.79137799999999</v>
      </c>
      <c r="E322">
        <v>-7.0469284999999999</v>
      </c>
      <c r="F322">
        <v>5.1163227500000001</v>
      </c>
      <c r="G322">
        <v>261.15332050000001</v>
      </c>
      <c r="H322">
        <v>8</v>
      </c>
      <c r="I322">
        <v>40</v>
      </c>
      <c r="J322">
        <v>1.18</v>
      </c>
      <c r="K322">
        <v>20.83173025</v>
      </c>
      <c r="L322">
        <v>-3.1278679118998132</v>
      </c>
      <c r="M322">
        <v>1.2132037865973879</v>
      </c>
      <c r="N322">
        <v>-1.895800263541032</v>
      </c>
      <c r="O322">
        <v>-1.08598856326495</v>
      </c>
    </row>
    <row r="323" spans="1:15" x14ac:dyDescent="0.25">
      <c r="A323">
        <v>-215.08521275000001</v>
      </c>
      <c r="B323">
        <v>33.136731249999997</v>
      </c>
      <c r="C323">
        <v>244.68839625000001</v>
      </c>
      <c r="D323">
        <v>-144.27600475</v>
      </c>
      <c r="E323">
        <v>-65.473993500000006</v>
      </c>
      <c r="F323">
        <v>5.1650495000000003</v>
      </c>
      <c r="G323">
        <v>254.67149375</v>
      </c>
      <c r="H323">
        <v>8</v>
      </c>
      <c r="I323">
        <v>44</v>
      </c>
      <c r="J323">
        <v>1.18</v>
      </c>
      <c r="K323">
        <v>20.564342750000002</v>
      </c>
      <c r="L323">
        <v>-4.0258614902821348</v>
      </c>
      <c r="M323">
        <v>1.5533980116192769</v>
      </c>
      <c r="N323">
        <v>-2.8032843230725848</v>
      </c>
      <c r="O323">
        <v>-1.6185316566322121</v>
      </c>
    </row>
    <row r="324" spans="1:15" x14ac:dyDescent="0.25">
      <c r="A324">
        <v>239.14354725000001</v>
      </c>
      <c r="B324">
        <v>39.634915499999998</v>
      </c>
      <c r="C324">
        <v>-238.91057975000001</v>
      </c>
      <c r="D324">
        <v>-162.15206900000001</v>
      </c>
      <c r="E324">
        <v>-25.55626475</v>
      </c>
      <c r="F324">
        <v>5.0675964999999996</v>
      </c>
      <c r="G324">
        <v>250.03018950000001</v>
      </c>
      <c r="H324">
        <v>12</v>
      </c>
      <c r="I324">
        <v>-44</v>
      </c>
      <c r="J324">
        <v>1.1775</v>
      </c>
      <c r="K324">
        <v>20.397958500000001</v>
      </c>
      <c r="L324">
        <v>2.732146840048939</v>
      </c>
      <c r="M324">
        <v>1.153225977183717</v>
      </c>
      <c r="N324">
        <v>-1.5750179127976229</v>
      </c>
      <c r="O324">
        <v>-1.1750210772559611</v>
      </c>
    </row>
    <row r="325" spans="1:15" x14ac:dyDescent="0.25">
      <c r="A325">
        <v>239.05140675000001</v>
      </c>
      <c r="B325">
        <v>67.081602250000003</v>
      </c>
      <c r="C325">
        <v>-200.2573165</v>
      </c>
      <c r="D325">
        <v>-123.47158450000001</v>
      </c>
      <c r="E325">
        <v>21.547827999999999</v>
      </c>
      <c r="F325">
        <v>4.8726905</v>
      </c>
      <c r="G325">
        <v>245.62895225</v>
      </c>
      <c r="H325">
        <v>12</v>
      </c>
      <c r="I325">
        <v>-40</v>
      </c>
      <c r="J325">
        <v>1.18</v>
      </c>
      <c r="K325">
        <v>20.200529</v>
      </c>
      <c r="L325">
        <v>2.3952215116798601</v>
      </c>
      <c r="M325">
        <v>1.0389511948410179</v>
      </c>
      <c r="N325">
        <v>-1.22176907215153</v>
      </c>
      <c r="O325">
        <v>-0.90908945732039426</v>
      </c>
    </row>
    <row r="326" spans="1:15" x14ac:dyDescent="0.25">
      <c r="A326">
        <v>246.39472975000001</v>
      </c>
      <c r="B326">
        <v>96.283937500000008</v>
      </c>
      <c r="C326">
        <v>-164.80636225000001</v>
      </c>
      <c r="D326">
        <v>-89.86109350000001</v>
      </c>
      <c r="E326">
        <v>68.219842749999998</v>
      </c>
      <c r="F326">
        <v>5.067596</v>
      </c>
      <c r="G326">
        <v>251.83069599999999</v>
      </c>
      <c r="H326">
        <v>12</v>
      </c>
      <c r="I326">
        <v>-36</v>
      </c>
      <c r="J326">
        <v>1.18</v>
      </c>
      <c r="K326">
        <v>20.450892750000001</v>
      </c>
      <c r="L326">
        <v>2.1027571483870862</v>
      </c>
      <c r="M326">
        <v>0.95190468631476644</v>
      </c>
      <c r="N326">
        <v>-0.93893493563649955</v>
      </c>
      <c r="O326">
        <v>-0.67707184070508408</v>
      </c>
    </row>
    <row r="327" spans="1:15" x14ac:dyDescent="0.25">
      <c r="A327">
        <v>276.36463900000001</v>
      </c>
      <c r="B327">
        <v>134.86464674999999</v>
      </c>
      <c r="C327">
        <v>-138.691723</v>
      </c>
      <c r="D327">
        <v>-63.418505000000003</v>
      </c>
      <c r="E327">
        <v>121.6423145</v>
      </c>
      <c r="F327">
        <v>6.2370334999999999</v>
      </c>
      <c r="G327">
        <v>284.55987549999998</v>
      </c>
      <c r="H327">
        <v>12</v>
      </c>
      <c r="I327">
        <v>-32</v>
      </c>
      <c r="J327">
        <v>1.18</v>
      </c>
      <c r="K327">
        <v>21.719363749999999</v>
      </c>
      <c r="L327">
        <v>1.863767753616822</v>
      </c>
      <c r="M327">
        <v>0.89034912656569398</v>
      </c>
      <c r="N327">
        <v>-0.73156438653847822</v>
      </c>
      <c r="O327">
        <v>-0.48176384201368522</v>
      </c>
    </row>
    <row r="328" spans="1:15" x14ac:dyDescent="0.25">
      <c r="A328">
        <v>300.44156650000002</v>
      </c>
      <c r="B328">
        <v>174.64109049999999</v>
      </c>
      <c r="C328">
        <v>-96.294898750000002</v>
      </c>
      <c r="D328">
        <v>-26.00552025</v>
      </c>
      <c r="E328">
        <v>179.17763525000001</v>
      </c>
      <c r="F328">
        <v>6.5293927500000004</v>
      </c>
      <c r="G328">
        <v>313.007858</v>
      </c>
      <c r="H328">
        <v>12</v>
      </c>
      <c r="I328">
        <v>-28</v>
      </c>
      <c r="J328">
        <v>1.18</v>
      </c>
      <c r="K328">
        <v>22.791545500000002</v>
      </c>
      <c r="L328">
        <v>1.6508097279914371</v>
      </c>
      <c r="M328">
        <v>0.83488357648167222</v>
      </c>
      <c r="N328">
        <v>-0.55686603956164582</v>
      </c>
      <c r="O328">
        <v>-0.2816096421530731</v>
      </c>
    </row>
    <row r="329" spans="1:15" x14ac:dyDescent="0.25">
      <c r="A329">
        <v>278.24217199999998</v>
      </c>
      <c r="B329">
        <v>186.74872975</v>
      </c>
      <c r="C329">
        <v>-42.577228750000003</v>
      </c>
      <c r="D329">
        <v>12.572507</v>
      </c>
      <c r="E329">
        <v>205.06182824999999</v>
      </c>
      <c r="F329">
        <v>6.6755724999999986</v>
      </c>
      <c r="G329">
        <v>298.36375399999997</v>
      </c>
      <c r="H329">
        <v>12</v>
      </c>
      <c r="I329">
        <v>-24</v>
      </c>
      <c r="J329">
        <v>1.18</v>
      </c>
      <c r="K329">
        <v>22.234799249999998</v>
      </c>
      <c r="L329">
        <v>1.4578440015421319</v>
      </c>
      <c r="M329">
        <v>0.79146516204343498</v>
      </c>
      <c r="N329">
        <v>-0.42397771309098758</v>
      </c>
      <c r="O329">
        <v>-9.8493890320040092E-2</v>
      </c>
    </row>
    <row r="330" spans="1:15" x14ac:dyDescent="0.25">
      <c r="A330">
        <v>258.82391374999997</v>
      </c>
      <c r="B330">
        <v>197.00633999999999</v>
      </c>
      <c r="C330">
        <v>4.8323562500000001</v>
      </c>
      <c r="D330">
        <v>45.865676749999999</v>
      </c>
      <c r="E330">
        <v>227.2801935</v>
      </c>
      <c r="F330">
        <v>6.43194</v>
      </c>
      <c r="G330">
        <v>289.241196</v>
      </c>
      <c r="H330">
        <v>12</v>
      </c>
      <c r="I330">
        <v>-20</v>
      </c>
      <c r="J330">
        <v>1.18</v>
      </c>
      <c r="K330">
        <v>21.893779250000001</v>
      </c>
      <c r="L330">
        <v>1.2578063462149871</v>
      </c>
      <c r="M330">
        <v>0.74848145785156683</v>
      </c>
      <c r="N330">
        <v>-0.3068493212379298</v>
      </c>
      <c r="O330">
        <v>9.3690572873072003E-2</v>
      </c>
    </row>
    <row r="331" spans="1:15" x14ac:dyDescent="0.25">
      <c r="A331">
        <v>237.86405550000001</v>
      </c>
      <c r="B331">
        <v>203.06662775000001</v>
      </c>
      <c r="C331">
        <v>41.187865250000002</v>
      </c>
      <c r="D331">
        <v>60.190502000000002</v>
      </c>
      <c r="E331">
        <v>239.17174125</v>
      </c>
      <c r="F331">
        <v>6.0421275000000003</v>
      </c>
      <c r="G331">
        <v>279.07833075000002</v>
      </c>
      <c r="H331">
        <v>12</v>
      </c>
      <c r="I331">
        <v>-16</v>
      </c>
      <c r="J331">
        <v>1.18</v>
      </c>
      <c r="K331">
        <v>21.512162249999999</v>
      </c>
      <c r="L331">
        <v>1.043485827131132</v>
      </c>
      <c r="M331">
        <v>0.75801767839964984</v>
      </c>
      <c r="N331">
        <v>-0.21175031303974659</v>
      </c>
      <c r="O331">
        <v>0.23689392008158339</v>
      </c>
    </row>
    <row r="332" spans="1:15" x14ac:dyDescent="0.25">
      <c r="A332">
        <v>216.87607199999999</v>
      </c>
      <c r="B332">
        <v>209.80028924999999</v>
      </c>
      <c r="C332">
        <v>74.201379500000002</v>
      </c>
      <c r="D332">
        <v>70.747944000000004</v>
      </c>
      <c r="E332">
        <v>248.55978400000001</v>
      </c>
      <c r="F332">
        <v>5.7497680000000004</v>
      </c>
      <c r="G332">
        <v>273.03664400000002</v>
      </c>
      <c r="H332">
        <v>12</v>
      </c>
      <c r="I332">
        <v>-12</v>
      </c>
      <c r="J332">
        <v>1.18</v>
      </c>
      <c r="K332">
        <v>21.284465000000001</v>
      </c>
      <c r="L332">
        <v>0.81025808410324462</v>
      </c>
      <c r="M332">
        <v>0.78969531133833515</v>
      </c>
      <c r="N332">
        <v>-0.13900901999497289</v>
      </c>
      <c r="O332">
        <v>0.37894226113626811</v>
      </c>
    </row>
    <row r="333" spans="1:15" x14ac:dyDescent="0.25">
      <c r="A333">
        <v>195.14038074999999</v>
      </c>
      <c r="B333">
        <v>213.08919900000001</v>
      </c>
      <c r="C333">
        <v>100.21476375</v>
      </c>
      <c r="D333">
        <v>72.456405500000002</v>
      </c>
      <c r="E333">
        <v>252.58323275000001</v>
      </c>
      <c r="F333">
        <v>5.6523149999999998</v>
      </c>
      <c r="G333">
        <v>268.39534724999999</v>
      </c>
      <c r="H333">
        <v>12</v>
      </c>
      <c r="I333">
        <v>-8</v>
      </c>
      <c r="J333">
        <v>1.18</v>
      </c>
      <c r="K333">
        <v>21.102770249999999</v>
      </c>
      <c r="L333">
        <v>0.57098536185186333</v>
      </c>
      <c r="M333">
        <v>0.84595597112068843</v>
      </c>
      <c r="N333">
        <v>-9.5136144223055219E-2</v>
      </c>
      <c r="O333">
        <v>0.48532306164457772</v>
      </c>
    </row>
    <row r="334" spans="1:15" x14ac:dyDescent="0.25">
      <c r="A334">
        <v>170.65732199999999</v>
      </c>
      <c r="B334">
        <v>212.34939224999999</v>
      </c>
      <c r="C334">
        <v>121.80225950000001</v>
      </c>
      <c r="D334">
        <v>70.090839500000001</v>
      </c>
      <c r="E334">
        <v>251.420906</v>
      </c>
      <c r="F334">
        <v>5.40868225</v>
      </c>
      <c r="G334">
        <v>262.39365375</v>
      </c>
      <c r="H334">
        <v>12</v>
      </c>
      <c r="I334">
        <v>-4</v>
      </c>
      <c r="J334">
        <v>1.18</v>
      </c>
      <c r="K334">
        <v>20.870258249999999</v>
      </c>
      <c r="L334">
        <v>0.31422478502762169</v>
      </c>
      <c r="M334">
        <v>0.91500510303693905</v>
      </c>
      <c r="N334">
        <v>-7.0589742198964037E-2</v>
      </c>
      <c r="O334">
        <v>0.58235009773561908</v>
      </c>
    </row>
    <row r="335" spans="1:15" x14ac:dyDescent="0.25">
      <c r="A335">
        <v>145.73291399999999</v>
      </c>
      <c r="B335">
        <v>211.08410225</v>
      </c>
      <c r="C335">
        <v>141.71875750000001</v>
      </c>
      <c r="D335">
        <v>67.76907525</v>
      </c>
      <c r="E335">
        <v>249.40917200000001</v>
      </c>
      <c r="F335">
        <v>5.2137760000000002</v>
      </c>
      <c r="G335">
        <v>259.55285650000002</v>
      </c>
      <c r="H335">
        <v>12</v>
      </c>
      <c r="I335">
        <v>0</v>
      </c>
      <c r="J335">
        <v>1.18</v>
      </c>
      <c r="K335">
        <v>20.762542</v>
      </c>
      <c r="L335">
        <v>2.7738494658036839E-2</v>
      </c>
      <c r="M335">
        <v>0.99067573988631596</v>
      </c>
      <c r="N335">
        <v>-7.0124320912600943E-2</v>
      </c>
      <c r="O335">
        <v>0.6880157290181721</v>
      </c>
    </row>
    <row r="336" spans="1:15" x14ac:dyDescent="0.25">
      <c r="A336">
        <v>119.60904125</v>
      </c>
      <c r="B336">
        <v>205.64954349999999</v>
      </c>
      <c r="C336">
        <v>159.33198525</v>
      </c>
      <c r="D336">
        <v>68.689023750000004</v>
      </c>
      <c r="E336">
        <v>243.73163600000001</v>
      </c>
      <c r="F336">
        <v>5.1163232499999998</v>
      </c>
      <c r="G336">
        <v>254.55146049999999</v>
      </c>
      <c r="H336">
        <v>12</v>
      </c>
      <c r="I336">
        <v>4</v>
      </c>
      <c r="J336">
        <v>1.18</v>
      </c>
      <c r="K336">
        <v>20.561398000000001</v>
      </c>
      <c r="L336">
        <v>-0.26555382749787693</v>
      </c>
      <c r="M336">
        <v>0.91563107632511287</v>
      </c>
      <c r="N336">
        <v>-7.2339092203584615E-2</v>
      </c>
      <c r="O336">
        <v>0.5952153844828989</v>
      </c>
    </row>
    <row r="337" spans="1:15" x14ac:dyDescent="0.25">
      <c r="A337">
        <v>93.16578475</v>
      </c>
      <c r="B337">
        <v>200.53150174999999</v>
      </c>
      <c r="C337">
        <v>175.4548605</v>
      </c>
      <c r="D337">
        <v>68.075725500000004</v>
      </c>
      <c r="E337">
        <v>236.84706850000001</v>
      </c>
      <c r="F337">
        <v>5.2137760000000002</v>
      </c>
      <c r="G337">
        <v>250.95043949999999</v>
      </c>
      <c r="H337">
        <v>12</v>
      </c>
      <c r="I337">
        <v>8</v>
      </c>
      <c r="J337">
        <v>1.18</v>
      </c>
      <c r="K337">
        <v>20.408396750000001</v>
      </c>
      <c r="L337">
        <v>-0.52673106832341443</v>
      </c>
      <c r="M337">
        <v>0.84785815641823459</v>
      </c>
      <c r="N337">
        <v>-9.028771895773198E-2</v>
      </c>
      <c r="O337">
        <v>0.48268158940329542</v>
      </c>
    </row>
    <row r="338" spans="1:15" x14ac:dyDescent="0.25">
      <c r="A338">
        <v>70.542238249999997</v>
      </c>
      <c r="B338">
        <v>216.05293275</v>
      </c>
      <c r="C338">
        <v>212.75877374999999</v>
      </c>
      <c r="D338">
        <v>72.062143500000005</v>
      </c>
      <c r="E338">
        <v>251.51031125</v>
      </c>
      <c r="F338">
        <v>5.7984947499999997</v>
      </c>
      <c r="G338">
        <v>277.07778949999999</v>
      </c>
      <c r="H338">
        <v>12</v>
      </c>
      <c r="I338">
        <v>12</v>
      </c>
      <c r="J338">
        <v>1.18</v>
      </c>
      <c r="K338">
        <v>21.442785499999999</v>
      </c>
      <c r="L338">
        <v>-0.78916461952539163</v>
      </c>
      <c r="M338">
        <v>0.79902793540346861</v>
      </c>
      <c r="N338">
        <v>-0.14187840086229311</v>
      </c>
      <c r="O338">
        <v>0.3634916442914326</v>
      </c>
    </row>
    <row r="339" spans="1:15" x14ac:dyDescent="0.25">
      <c r="A339">
        <v>39.623787749999998</v>
      </c>
      <c r="B339">
        <v>230.0812225</v>
      </c>
      <c r="C339">
        <v>253.22403725000001</v>
      </c>
      <c r="D339">
        <v>71.492653000000004</v>
      </c>
      <c r="E339">
        <v>261.52422300000001</v>
      </c>
      <c r="F339">
        <v>6.5293929999999998</v>
      </c>
      <c r="G339">
        <v>307.20623799999998</v>
      </c>
      <c r="H339">
        <v>12</v>
      </c>
      <c r="I339">
        <v>16</v>
      </c>
      <c r="J339">
        <v>1.18</v>
      </c>
      <c r="K339">
        <v>22.574765500000002</v>
      </c>
      <c r="L339">
        <v>-1.037074407598519</v>
      </c>
      <c r="M339">
        <v>0.7699725663734307</v>
      </c>
      <c r="N339">
        <v>-0.22180171754776939</v>
      </c>
      <c r="O339">
        <v>0.238047872796257</v>
      </c>
    </row>
    <row r="340" spans="1:15" x14ac:dyDescent="0.25">
      <c r="A340">
        <v>9.0668749999999965E-2</v>
      </c>
      <c r="B340">
        <v>213.15219500000001</v>
      </c>
      <c r="C340">
        <v>262.61776750000001</v>
      </c>
      <c r="D340">
        <v>48.318858249999998</v>
      </c>
      <c r="E340">
        <v>231.929531</v>
      </c>
      <c r="F340">
        <v>6.5781194999999997</v>
      </c>
      <c r="G340">
        <v>301.7246935</v>
      </c>
      <c r="H340">
        <v>12</v>
      </c>
      <c r="I340">
        <v>20</v>
      </c>
      <c r="J340">
        <v>1.18</v>
      </c>
      <c r="K340">
        <v>22.366226999999999</v>
      </c>
      <c r="L340">
        <v>-1.263827019320682</v>
      </c>
      <c r="M340">
        <v>0.79351386856310524</v>
      </c>
      <c r="N340">
        <v>-0.33600309657592931</v>
      </c>
      <c r="O340">
        <v>8.4852902055292834E-2</v>
      </c>
    </row>
    <row r="341" spans="1:15" x14ac:dyDescent="0.25">
      <c r="A341">
        <v>-37.251407749999998</v>
      </c>
      <c r="B341">
        <v>192.54110725000001</v>
      </c>
      <c r="C341">
        <v>265.14684299999999</v>
      </c>
      <c r="D341">
        <v>16.953187249999999</v>
      </c>
      <c r="E341">
        <v>194.69026575000001</v>
      </c>
      <c r="F341">
        <v>6.3344865000000006</v>
      </c>
      <c r="G341">
        <v>291.88193525000003</v>
      </c>
      <c r="H341">
        <v>12</v>
      </c>
      <c r="I341">
        <v>24</v>
      </c>
      <c r="J341">
        <v>1.18</v>
      </c>
      <c r="K341">
        <v>21.999514000000001</v>
      </c>
      <c r="L341">
        <v>-1.4762644895167409</v>
      </c>
      <c r="M341">
        <v>0.8571986395775133</v>
      </c>
      <c r="N341">
        <v>-0.47448298777907721</v>
      </c>
      <c r="O341">
        <v>-8.0464360340496241E-2</v>
      </c>
    </row>
    <row r="342" spans="1:15" x14ac:dyDescent="0.25">
      <c r="A342">
        <v>-78.917129500000001</v>
      </c>
      <c r="B342">
        <v>168.54459</v>
      </c>
      <c r="C342">
        <v>263.56616974999997</v>
      </c>
      <c r="D342">
        <v>-28.278272749999999</v>
      </c>
      <c r="E342">
        <v>147.61590974999999</v>
      </c>
      <c r="F342">
        <v>5.8959477500000004</v>
      </c>
      <c r="G342">
        <v>281.51903525</v>
      </c>
      <c r="H342">
        <v>12</v>
      </c>
      <c r="I342">
        <v>28</v>
      </c>
      <c r="J342">
        <v>1.18</v>
      </c>
      <c r="K342">
        <v>21.613831000000001</v>
      </c>
      <c r="L342">
        <v>-1.7020831214978629</v>
      </c>
      <c r="M342">
        <v>0.97815878780572585</v>
      </c>
      <c r="N342">
        <v>-0.66547696695223058</v>
      </c>
      <c r="O342">
        <v>-0.29566014652794481</v>
      </c>
    </row>
    <row r="343" spans="1:15" x14ac:dyDescent="0.25">
      <c r="A343">
        <v>-117.0243645</v>
      </c>
      <c r="B343">
        <v>145.10945475</v>
      </c>
      <c r="C343">
        <v>261.94033050000002</v>
      </c>
      <c r="D343">
        <v>-69.9745195</v>
      </c>
      <c r="E343">
        <v>101.43564975</v>
      </c>
      <c r="F343">
        <v>5.7497680000000004</v>
      </c>
      <c r="G343">
        <v>275.59736650000002</v>
      </c>
      <c r="H343">
        <v>12</v>
      </c>
      <c r="I343">
        <v>32</v>
      </c>
      <c r="J343">
        <v>1.18</v>
      </c>
      <c r="K343">
        <v>21.386179500000001</v>
      </c>
      <c r="L343">
        <v>-1.94404942041175</v>
      </c>
      <c r="M343">
        <v>1.1033641193940811</v>
      </c>
      <c r="N343">
        <v>-0.893435820371551</v>
      </c>
      <c r="O343">
        <v>-0.50913706932748992</v>
      </c>
    </row>
    <row r="344" spans="1:15" x14ac:dyDescent="0.25">
      <c r="A344">
        <v>-154.50100699999999</v>
      </c>
      <c r="B344">
        <v>119.6660615</v>
      </c>
      <c r="C344">
        <v>259.36608124999998</v>
      </c>
      <c r="D344">
        <v>-113.0256825</v>
      </c>
      <c r="E344">
        <v>47.297904000000003</v>
      </c>
      <c r="F344">
        <v>5.6523149999999998</v>
      </c>
      <c r="G344">
        <v>270.71599600000002</v>
      </c>
      <c r="H344">
        <v>12</v>
      </c>
      <c r="I344">
        <v>36</v>
      </c>
      <c r="J344">
        <v>1.1775</v>
      </c>
      <c r="K344">
        <v>21.21837975</v>
      </c>
      <c r="L344">
        <v>-2.2858043752067041</v>
      </c>
      <c r="M344">
        <v>1.285148122480225</v>
      </c>
      <c r="N344">
        <v>-1.23394942637246</v>
      </c>
      <c r="O344">
        <v>-0.76999750103658371</v>
      </c>
    </row>
    <row r="345" spans="1:15" x14ac:dyDescent="0.25">
      <c r="A345">
        <v>-188.61170575</v>
      </c>
      <c r="B345">
        <v>92.779596499999997</v>
      </c>
      <c r="C345">
        <v>252.727249</v>
      </c>
      <c r="D345">
        <v>-152.97365199999999</v>
      </c>
      <c r="E345">
        <v>-10.347389</v>
      </c>
      <c r="F345">
        <v>5.554862</v>
      </c>
      <c r="G345">
        <v>264.91437524999998</v>
      </c>
      <c r="H345">
        <v>12</v>
      </c>
      <c r="I345">
        <v>40</v>
      </c>
      <c r="J345">
        <v>1.18</v>
      </c>
      <c r="K345">
        <v>20.966458500000002</v>
      </c>
      <c r="L345">
        <v>-2.750716921358948</v>
      </c>
      <c r="M345">
        <v>1.5316921514725941</v>
      </c>
      <c r="N345">
        <v>-1.715615019657307</v>
      </c>
      <c r="O345">
        <v>-1.09910992811762</v>
      </c>
    </row>
    <row r="346" spans="1:15" x14ac:dyDescent="0.25">
      <c r="A346">
        <v>-220.82018299999999</v>
      </c>
      <c r="B346">
        <v>64.310535999999999</v>
      </c>
      <c r="C346">
        <v>245.23033899999999</v>
      </c>
      <c r="D346">
        <v>-189.99328600000001</v>
      </c>
      <c r="E346">
        <v>-69.354263250000002</v>
      </c>
      <c r="F346">
        <v>5.3599557500000001</v>
      </c>
      <c r="G346">
        <v>262.03354624999997</v>
      </c>
      <c r="H346">
        <v>12</v>
      </c>
      <c r="I346">
        <v>44</v>
      </c>
      <c r="J346">
        <v>1.18</v>
      </c>
      <c r="K346">
        <v>20.857609499999999</v>
      </c>
      <c r="L346">
        <v>-3.425670276909492</v>
      </c>
      <c r="M346">
        <v>1.869221711512963</v>
      </c>
      <c r="N346">
        <v>-2.435900314818825</v>
      </c>
      <c r="O346">
        <v>-1.54923381377069</v>
      </c>
    </row>
    <row r="347" spans="1:15" x14ac:dyDescent="0.25">
      <c r="A347">
        <v>235.11079799999999</v>
      </c>
      <c r="B347">
        <v>66.037609000000003</v>
      </c>
      <c r="C347">
        <v>-248.65281300000001</v>
      </c>
      <c r="D347">
        <v>-206.55813599999999</v>
      </c>
      <c r="E347">
        <v>-35.368445250000001</v>
      </c>
      <c r="F347">
        <v>5.2137764999999998</v>
      </c>
      <c r="G347">
        <v>255.07160175000001</v>
      </c>
      <c r="H347">
        <v>16</v>
      </c>
      <c r="I347">
        <v>-44</v>
      </c>
      <c r="J347">
        <v>1.18</v>
      </c>
      <c r="K347">
        <v>20.57882025</v>
      </c>
      <c r="L347">
        <v>2.5165439663293698</v>
      </c>
      <c r="M347">
        <v>1.4179891578707149</v>
      </c>
      <c r="N347">
        <v>-1.5108799600460761</v>
      </c>
      <c r="O347">
        <v>-1.2110964523141381</v>
      </c>
    </row>
    <row r="348" spans="1:15" x14ac:dyDescent="0.25">
      <c r="A348">
        <v>237.4874155</v>
      </c>
      <c r="B348">
        <v>93.254041749999999</v>
      </c>
      <c r="C348">
        <v>-209.142605</v>
      </c>
      <c r="D348">
        <v>-167.39688874999999</v>
      </c>
      <c r="E348">
        <v>12.428008999999999</v>
      </c>
      <c r="F348">
        <v>5.2137760000000002</v>
      </c>
      <c r="G348">
        <v>252.3508415</v>
      </c>
      <c r="H348">
        <v>16</v>
      </c>
      <c r="I348">
        <v>-40</v>
      </c>
      <c r="J348">
        <v>1.18</v>
      </c>
      <c r="K348">
        <v>20.466468750000001</v>
      </c>
      <c r="L348">
        <v>2.2253918321603599</v>
      </c>
      <c r="M348">
        <v>1.2987201478716039</v>
      </c>
      <c r="N348">
        <v>-1.195454180321998</v>
      </c>
      <c r="O348">
        <v>-0.96404686264450956</v>
      </c>
    </row>
    <row r="349" spans="1:15" x14ac:dyDescent="0.25">
      <c r="A349">
        <v>237.126396</v>
      </c>
      <c r="B349">
        <v>117.01251600000001</v>
      </c>
      <c r="C349">
        <v>-167.10660924999999</v>
      </c>
      <c r="D349">
        <v>-127.405203</v>
      </c>
      <c r="E349">
        <v>55.925966250000002</v>
      </c>
      <c r="F349">
        <v>5.01887025</v>
      </c>
      <c r="G349">
        <v>249.87014375000001</v>
      </c>
      <c r="H349">
        <v>16</v>
      </c>
      <c r="I349">
        <v>-36</v>
      </c>
      <c r="J349">
        <v>1.18</v>
      </c>
      <c r="K349">
        <v>20.371596</v>
      </c>
      <c r="L349">
        <v>1.98952140254234</v>
      </c>
      <c r="M349">
        <v>1.2029670373593411</v>
      </c>
      <c r="N349">
        <v>-0.95455611503660032</v>
      </c>
      <c r="O349">
        <v>-0.74944494141369367</v>
      </c>
    </row>
    <row r="350" spans="1:15" x14ac:dyDescent="0.25">
      <c r="A350">
        <v>231.13891975000001</v>
      </c>
      <c r="B350">
        <v>137.13488000000001</v>
      </c>
      <c r="C350">
        <v>-122.45464525</v>
      </c>
      <c r="D350">
        <v>-88.724719999999991</v>
      </c>
      <c r="E350">
        <v>93.254634749999994</v>
      </c>
      <c r="F350">
        <v>4.8239642500000004</v>
      </c>
      <c r="G350">
        <v>244.82873925000001</v>
      </c>
      <c r="H350">
        <v>16</v>
      </c>
      <c r="I350">
        <v>-32</v>
      </c>
      <c r="J350">
        <v>1.18</v>
      </c>
      <c r="K350">
        <v>20.168978750000001</v>
      </c>
      <c r="L350">
        <v>1.7782635383347309</v>
      </c>
      <c r="M350">
        <v>1.135847064017582</v>
      </c>
      <c r="N350">
        <v>-0.76228584953321887</v>
      </c>
      <c r="O350">
        <v>-0.55526284690122996</v>
      </c>
    </row>
    <row r="351" spans="1:15" x14ac:dyDescent="0.25">
      <c r="A351">
        <v>225.76775000000001</v>
      </c>
      <c r="B351">
        <v>154.96935300000001</v>
      </c>
      <c r="C351">
        <v>-81.004981999999998</v>
      </c>
      <c r="D351">
        <v>-52.797764999999998</v>
      </c>
      <c r="E351">
        <v>125.531639</v>
      </c>
      <c r="F351">
        <v>5.0675964999999996</v>
      </c>
      <c r="G351">
        <v>243.82844925000001</v>
      </c>
      <c r="H351">
        <v>16</v>
      </c>
      <c r="I351">
        <v>-28</v>
      </c>
      <c r="J351">
        <v>1.18</v>
      </c>
      <c r="K351">
        <v>20.116627000000001</v>
      </c>
      <c r="L351">
        <v>1.594191689995855</v>
      </c>
      <c r="M351">
        <v>1.079691949183418</v>
      </c>
      <c r="N351">
        <v>-0.61475261235498813</v>
      </c>
      <c r="O351">
        <v>-0.37400276676521682</v>
      </c>
    </row>
    <row r="352" spans="1:15" x14ac:dyDescent="0.25">
      <c r="A352">
        <v>247.76498799999999</v>
      </c>
      <c r="B352">
        <v>192.54680250000001</v>
      </c>
      <c r="C352">
        <v>-46.681602499999997</v>
      </c>
      <c r="D352">
        <v>-20.84812325</v>
      </c>
      <c r="E352">
        <v>175.15418600000001</v>
      </c>
      <c r="F352">
        <v>5.8472212499999996</v>
      </c>
      <c r="G352">
        <v>275.71739975000003</v>
      </c>
      <c r="H352">
        <v>16</v>
      </c>
      <c r="I352">
        <v>-24</v>
      </c>
      <c r="J352">
        <v>1.18</v>
      </c>
      <c r="K352">
        <v>21.38700875</v>
      </c>
      <c r="L352">
        <v>1.40938318314408</v>
      </c>
      <c r="M352">
        <v>1.0214240687988709</v>
      </c>
      <c r="N352">
        <v>-0.48135804249858771</v>
      </c>
      <c r="O352">
        <v>-0.18959464407114529</v>
      </c>
    </row>
    <row r="353" spans="1:15" x14ac:dyDescent="0.25">
      <c r="A353">
        <v>262.59186575000001</v>
      </c>
      <c r="B353">
        <v>230.12942899999999</v>
      </c>
      <c r="C353">
        <v>-6.9909644999999996</v>
      </c>
      <c r="D353">
        <v>11.608757000000001</v>
      </c>
      <c r="E353">
        <v>221.55797200000001</v>
      </c>
      <c r="F353">
        <v>6.2370334999999999</v>
      </c>
      <c r="G353">
        <v>304.96560699999998</v>
      </c>
      <c r="H353">
        <v>16</v>
      </c>
      <c r="I353">
        <v>-20</v>
      </c>
      <c r="J353">
        <v>1.18</v>
      </c>
      <c r="K353">
        <v>22.50149025</v>
      </c>
      <c r="L353">
        <v>1.2295657129412421</v>
      </c>
      <c r="M353">
        <v>0.99668322120341379</v>
      </c>
      <c r="N353">
        <v>-0.38042229790864818</v>
      </c>
      <c r="O353">
        <v>-1.791347214682654E-2</v>
      </c>
    </row>
    <row r="354" spans="1:15" x14ac:dyDescent="0.25">
      <c r="A354">
        <v>246.68167500000001</v>
      </c>
      <c r="B354">
        <v>241.40028000000001</v>
      </c>
      <c r="C354">
        <v>35.045816500000001</v>
      </c>
      <c r="D354">
        <v>28.474376500000002</v>
      </c>
      <c r="E354">
        <v>242.6140135</v>
      </c>
      <c r="F354">
        <v>6.6755724999999986</v>
      </c>
      <c r="G354">
        <v>303.08507550000002</v>
      </c>
      <c r="H354">
        <v>16</v>
      </c>
      <c r="I354">
        <v>-16</v>
      </c>
      <c r="J354">
        <v>1.18</v>
      </c>
      <c r="K354">
        <v>22.414026750000001</v>
      </c>
      <c r="L354">
        <v>1.0037192479576429</v>
      </c>
      <c r="M354">
        <v>1.00984864626251</v>
      </c>
      <c r="N354">
        <v>-0.28681050756901222</v>
      </c>
      <c r="O354">
        <v>0.1189589576463204</v>
      </c>
    </row>
    <row r="355" spans="1:15" x14ac:dyDescent="0.25">
      <c r="A355">
        <v>218.53180699999999</v>
      </c>
      <c r="B355">
        <v>240.53438925</v>
      </c>
      <c r="C355">
        <v>70.814218499999996</v>
      </c>
      <c r="D355">
        <v>37.892839250000002</v>
      </c>
      <c r="E355">
        <v>246.41394025</v>
      </c>
      <c r="F355">
        <v>6.1883072500000003</v>
      </c>
      <c r="G355">
        <v>290.32149525</v>
      </c>
      <c r="H355">
        <v>16</v>
      </c>
      <c r="I355">
        <v>-12</v>
      </c>
      <c r="J355">
        <v>1.18</v>
      </c>
      <c r="K355">
        <v>21.94496475</v>
      </c>
      <c r="L355">
        <v>0.76912395447275406</v>
      </c>
      <c r="M355">
        <v>1.0550968961641169</v>
      </c>
      <c r="N355">
        <v>-0.22861825092427551</v>
      </c>
      <c r="O355">
        <v>0.25077923544717129</v>
      </c>
    </row>
    <row r="356" spans="1:15" x14ac:dyDescent="0.25">
      <c r="A356">
        <v>192.74121450000001</v>
      </c>
      <c r="B356">
        <v>240.83982875000001</v>
      </c>
      <c r="C356">
        <v>95.472740250000001</v>
      </c>
      <c r="D356">
        <v>38.199486750000013</v>
      </c>
      <c r="E356">
        <v>250.66091524999999</v>
      </c>
      <c r="F356">
        <v>5.9446744999999996</v>
      </c>
      <c r="G356">
        <v>281.399002</v>
      </c>
      <c r="H356">
        <v>16</v>
      </c>
      <c r="I356">
        <v>-8</v>
      </c>
      <c r="J356">
        <v>1.18</v>
      </c>
      <c r="K356">
        <v>21.6072135</v>
      </c>
      <c r="L356">
        <v>0.52912779731461534</v>
      </c>
      <c r="M356">
        <v>1.102388549784141</v>
      </c>
      <c r="N356">
        <v>-0.1672352170250315</v>
      </c>
      <c r="O356">
        <v>0.33125714574495357</v>
      </c>
    </row>
    <row r="357" spans="1:15" x14ac:dyDescent="0.25">
      <c r="A357">
        <v>168.22002025</v>
      </c>
      <c r="B357">
        <v>239.861088</v>
      </c>
      <c r="C357">
        <v>115.43439475</v>
      </c>
      <c r="D357">
        <v>36.140567750000002</v>
      </c>
      <c r="E357">
        <v>250.83974075</v>
      </c>
      <c r="F357">
        <v>5.7497680000000004</v>
      </c>
      <c r="G357">
        <v>275.95745849999997</v>
      </c>
      <c r="H357">
        <v>16</v>
      </c>
      <c r="I357">
        <v>-4</v>
      </c>
      <c r="J357">
        <v>1.18</v>
      </c>
      <c r="K357">
        <v>21.400447</v>
      </c>
      <c r="L357">
        <v>0.30154025841867049</v>
      </c>
      <c r="M357">
        <v>1.1637825391018111</v>
      </c>
      <c r="N357">
        <v>-0.1435052502696956</v>
      </c>
      <c r="O357">
        <v>0.40010010713722721</v>
      </c>
    </row>
    <row r="358" spans="1:15" x14ac:dyDescent="0.25">
      <c r="A358">
        <v>141.29148125</v>
      </c>
      <c r="B358">
        <v>233.848919</v>
      </c>
      <c r="C358">
        <v>134.22183999999999</v>
      </c>
      <c r="D358">
        <v>36.885284249999998</v>
      </c>
      <c r="E358">
        <v>245.65394975000001</v>
      </c>
      <c r="F358">
        <v>5.3112292500000002</v>
      </c>
      <c r="G358">
        <v>268.35533149999998</v>
      </c>
      <c r="H358">
        <v>16</v>
      </c>
      <c r="I358">
        <v>0</v>
      </c>
      <c r="J358">
        <v>1.18</v>
      </c>
      <c r="K358">
        <v>21.114857499999999</v>
      </c>
      <c r="L358">
        <v>4.4161389126095928E-2</v>
      </c>
      <c r="M358">
        <v>1.2302488243243079</v>
      </c>
      <c r="N358">
        <v>-0.1417934784651638</v>
      </c>
      <c r="O358">
        <v>0.50120291181597076</v>
      </c>
    </row>
    <row r="359" spans="1:15" x14ac:dyDescent="0.25">
      <c r="A359">
        <v>115.2685225</v>
      </c>
      <c r="B359">
        <v>229.888935</v>
      </c>
      <c r="C359">
        <v>153.09960950000001</v>
      </c>
      <c r="D359">
        <v>37.410965249999997</v>
      </c>
      <c r="E359">
        <v>241.40698225</v>
      </c>
      <c r="F359">
        <v>5.3599560000000004</v>
      </c>
      <c r="G359">
        <v>264.87435900000003</v>
      </c>
      <c r="H359">
        <v>16</v>
      </c>
      <c r="I359">
        <v>4</v>
      </c>
      <c r="J359">
        <v>1.175</v>
      </c>
      <c r="K359">
        <v>21.017443</v>
      </c>
      <c r="L359">
        <v>-0.22918910716451429</v>
      </c>
      <c r="M359">
        <v>1.1660694093290089</v>
      </c>
      <c r="N359">
        <v>-0.14217356062091061</v>
      </c>
      <c r="O359">
        <v>0.43000851100173759</v>
      </c>
    </row>
    <row r="360" spans="1:15" x14ac:dyDescent="0.25">
      <c r="A360">
        <v>88.098788999999996</v>
      </c>
      <c r="B360">
        <v>225.41616450000001</v>
      </c>
      <c r="C360">
        <v>169.89991749999999</v>
      </c>
      <c r="D360">
        <v>36.972897750000001</v>
      </c>
      <c r="E360">
        <v>232.86832799999999</v>
      </c>
      <c r="F360">
        <v>5.554862</v>
      </c>
      <c r="G360">
        <v>261.51342025000002</v>
      </c>
      <c r="H360">
        <v>16</v>
      </c>
      <c r="I360">
        <v>8</v>
      </c>
      <c r="J360">
        <v>1.1775</v>
      </c>
      <c r="K360">
        <v>20.850765500000001</v>
      </c>
      <c r="L360">
        <v>-0.4802425257675933</v>
      </c>
      <c r="M360">
        <v>1.1063266861694889</v>
      </c>
      <c r="N360">
        <v>-0.16817655244879359</v>
      </c>
      <c r="O360">
        <v>0.33452977422598351</v>
      </c>
    </row>
    <row r="361" spans="1:15" x14ac:dyDescent="0.25">
      <c r="A361">
        <v>58.807792749999997</v>
      </c>
      <c r="B361">
        <v>214.61000050000001</v>
      </c>
      <c r="C361">
        <v>182.90661249999999</v>
      </c>
      <c r="D361">
        <v>35.439658250000001</v>
      </c>
      <c r="E361">
        <v>218.42860024999999</v>
      </c>
      <c r="F361">
        <v>5.2137762499999996</v>
      </c>
      <c r="G361">
        <v>254.27138149999999</v>
      </c>
      <c r="H361">
        <v>16</v>
      </c>
      <c r="I361">
        <v>12</v>
      </c>
      <c r="J361">
        <v>1.18</v>
      </c>
      <c r="K361">
        <v>20.545838249999999</v>
      </c>
      <c r="L361">
        <v>-0.72443621617202703</v>
      </c>
      <c r="M361">
        <v>1.045919926456379</v>
      </c>
      <c r="N361">
        <v>-0.20924535492511481</v>
      </c>
      <c r="O361">
        <v>0.2446626962596837</v>
      </c>
    </row>
    <row r="362" spans="1:15" x14ac:dyDescent="0.25">
      <c r="A362">
        <v>28.884847749999999</v>
      </c>
      <c r="B362">
        <v>203.60993925</v>
      </c>
      <c r="C362">
        <v>195.19070450000001</v>
      </c>
      <c r="D362">
        <v>34.213068</v>
      </c>
      <c r="E362">
        <v>200.68073275</v>
      </c>
      <c r="F362">
        <v>4.9214167499999997</v>
      </c>
      <c r="G362">
        <v>250.35028075</v>
      </c>
      <c r="H362">
        <v>16</v>
      </c>
      <c r="I362">
        <v>16</v>
      </c>
      <c r="J362">
        <v>1.18</v>
      </c>
      <c r="K362">
        <v>20.395614250000001</v>
      </c>
      <c r="L362">
        <v>-0.98329503380173966</v>
      </c>
      <c r="M362">
        <v>1.001559619198835</v>
      </c>
      <c r="N362">
        <v>-0.29367791962226159</v>
      </c>
      <c r="O362">
        <v>0.1574417327968988</v>
      </c>
    </row>
    <row r="363" spans="1:15" x14ac:dyDescent="0.25">
      <c r="A363">
        <v>-2.6575977499999999</v>
      </c>
      <c r="B363">
        <v>215.81230550000001</v>
      </c>
      <c r="C363">
        <v>230.41716374999999</v>
      </c>
      <c r="D363">
        <v>14.324779250000001</v>
      </c>
      <c r="E363">
        <v>200.01015849999999</v>
      </c>
      <c r="F363">
        <v>5.5061355000000001</v>
      </c>
      <c r="G363">
        <v>276.95775624999999</v>
      </c>
      <c r="H363">
        <v>16</v>
      </c>
      <c r="I363">
        <v>20</v>
      </c>
      <c r="J363">
        <v>1.18</v>
      </c>
      <c r="K363">
        <v>21.449599249999999</v>
      </c>
      <c r="L363">
        <v>-1.200335724381983</v>
      </c>
      <c r="M363">
        <v>1.037622159686298</v>
      </c>
      <c r="N363">
        <v>-0.39628388876825271</v>
      </c>
      <c r="O363">
        <v>1.7018969337997301E-3</v>
      </c>
    </row>
    <row r="364" spans="1:15" x14ac:dyDescent="0.25">
      <c r="A364">
        <v>-46.533445499999999</v>
      </c>
      <c r="B364">
        <v>224.99903900000001</v>
      </c>
      <c r="C364">
        <v>266.32105250000001</v>
      </c>
      <c r="D364">
        <v>-21.503723999999998</v>
      </c>
      <c r="E364">
        <v>187.8951035</v>
      </c>
      <c r="F364">
        <v>6.3832132499999998</v>
      </c>
      <c r="G364">
        <v>306.6460725</v>
      </c>
      <c r="H364">
        <v>16</v>
      </c>
      <c r="I364">
        <v>24</v>
      </c>
      <c r="J364">
        <v>1.18</v>
      </c>
      <c r="K364">
        <v>22.559216750000001</v>
      </c>
      <c r="L364">
        <v>-1.409802669742187</v>
      </c>
      <c r="M364">
        <v>1.110830866207869</v>
      </c>
      <c r="N364">
        <v>-0.53514206610822834</v>
      </c>
      <c r="O364">
        <v>-0.1820690552849224</v>
      </c>
    </row>
    <row r="365" spans="1:15" x14ac:dyDescent="0.25">
      <c r="A365">
        <v>-89.09707825000001</v>
      </c>
      <c r="B365">
        <v>204.42765424999999</v>
      </c>
      <c r="C365">
        <v>270.15983575000001</v>
      </c>
      <c r="D365">
        <v>-66.740221000000005</v>
      </c>
      <c r="E365">
        <v>146.49827974999999</v>
      </c>
      <c r="F365">
        <v>6.6268459999999996</v>
      </c>
      <c r="G365">
        <v>301.92475875000002</v>
      </c>
      <c r="H365">
        <v>16</v>
      </c>
      <c r="I365">
        <v>28</v>
      </c>
      <c r="J365">
        <v>1.18</v>
      </c>
      <c r="K365">
        <v>22.371957999999999</v>
      </c>
      <c r="L365">
        <v>-1.600840243856634</v>
      </c>
      <c r="M365">
        <v>1.2083200478190339</v>
      </c>
      <c r="N365">
        <v>-0.69257648696861929</v>
      </c>
      <c r="O365">
        <v>-0.376731944264876</v>
      </c>
    </row>
    <row r="366" spans="1:15" x14ac:dyDescent="0.25">
      <c r="A366">
        <v>-128.57234750000001</v>
      </c>
      <c r="B366">
        <v>176.16797625000001</v>
      </c>
      <c r="C366">
        <v>264.51457225000001</v>
      </c>
      <c r="D366">
        <v>-113.15679725</v>
      </c>
      <c r="E366">
        <v>94.506376500000002</v>
      </c>
      <c r="F366">
        <v>6.09085375</v>
      </c>
      <c r="G366">
        <v>290.04142024999999</v>
      </c>
      <c r="H366">
        <v>16</v>
      </c>
      <c r="I366">
        <v>32</v>
      </c>
      <c r="J366">
        <v>1.18</v>
      </c>
      <c r="K366">
        <v>21.937906999999999</v>
      </c>
      <c r="L366">
        <v>-1.825180075169391</v>
      </c>
      <c r="M366">
        <v>1.3433708546807279</v>
      </c>
      <c r="N366">
        <v>-0.90792519644111458</v>
      </c>
      <c r="O366">
        <v>-0.58947993932516229</v>
      </c>
    </row>
    <row r="367" spans="1:15" x14ac:dyDescent="0.25">
      <c r="A367">
        <v>-166.67382425</v>
      </c>
      <c r="B367">
        <v>149.19765849999999</v>
      </c>
      <c r="C367">
        <v>259.14028174999999</v>
      </c>
      <c r="D367">
        <v>-157.65027624999999</v>
      </c>
      <c r="E367">
        <v>39.787465750000003</v>
      </c>
      <c r="F367">
        <v>5.8472212499999996</v>
      </c>
      <c r="G367">
        <v>281.51903525</v>
      </c>
      <c r="H367">
        <v>16</v>
      </c>
      <c r="I367">
        <v>36</v>
      </c>
      <c r="J367">
        <v>1.18</v>
      </c>
      <c r="K367">
        <v>21.615741249999999</v>
      </c>
      <c r="L367">
        <v>-2.1085679948608229</v>
      </c>
      <c r="M367">
        <v>1.5194842906778521</v>
      </c>
      <c r="N367">
        <v>-1.197061641611129</v>
      </c>
      <c r="O367">
        <v>-0.83196558346006033</v>
      </c>
    </row>
    <row r="368" spans="1:15" x14ac:dyDescent="0.25">
      <c r="A368">
        <v>-203.98612224999999</v>
      </c>
      <c r="B368">
        <v>122.22368625</v>
      </c>
      <c r="C368">
        <v>252.32079325000001</v>
      </c>
      <c r="D368">
        <v>-197.86048500000001</v>
      </c>
      <c r="E368">
        <v>-14.361462250000001</v>
      </c>
      <c r="F368">
        <v>5.6035884999999999</v>
      </c>
      <c r="G368">
        <v>276.43761475000002</v>
      </c>
      <c r="H368">
        <v>16</v>
      </c>
      <c r="I368">
        <v>40</v>
      </c>
      <c r="J368">
        <v>1.18</v>
      </c>
      <c r="K368">
        <v>21.425232000000001</v>
      </c>
      <c r="L368">
        <v>-2.4458873402486452</v>
      </c>
      <c r="M368">
        <v>1.7157159146160681</v>
      </c>
      <c r="N368">
        <v>-1.5587514565210481</v>
      </c>
      <c r="O368">
        <v>-1.1070156533783551</v>
      </c>
    </row>
    <row r="369" spans="1:15" x14ac:dyDescent="0.25">
      <c r="A369">
        <v>-237.81854250000001</v>
      </c>
      <c r="B369">
        <v>92.923873999999998</v>
      </c>
      <c r="C369">
        <v>239.49475475</v>
      </c>
      <c r="D369">
        <v>-233.43779000000001</v>
      </c>
      <c r="E369">
        <v>-71.985715999999996</v>
      </c>
      <c r="F369">
        <v>5.6523149999999998</v>
      </c>
      <c r="G369">
        <v>269.07553100000001</v>
      </c>
      <c r="H369">
        <v>16</v>
      </c>
      <c r="I369">
        <v>44</v>
      </c>
      <c r="J369">
        <v>1.18</v>
      </c>
      <c r="K369">
        <v>21.130071999999998</v>
      </c>
      <c r="L369">
        <v>-2.9168281105193179</v>
      </c>
      <c r="M369">
        <v>1.9943623834189139</v>
      </c>
      <c r="N369">
        <v>-2.0842073005816859</v>
      </c>
      <c r="O369">
        <v>-1.4744455432325261</v>
      </c>
    </row>
    <row r="370" spans="1:15" x14ac:dyDescent="0.25">
      <c r="A370">
        <v>230.83784875000001</v>
      </c>
      <c r="B370">
        <v>90.958282499999996</v>
      </c>
      <c r="C370">
        <v>-269.89633924999998</v>
      </c>
      <c r="D370">
        <v>-254.85410300000001</v>
      </c>
      <c r="E370">
        <v>-48.927092500000001</v>
      </c>
      <c r="F370">
        <v>5.6523149999999998</v>
      </c>
      <c r="G370">
        <v>264.23417649999999</v>
      </c>
      <c r="H370">
        <v>20</v>
      </c>
      <c r="I370">
        <v>-44</v>
      </c>
      <c r="J370">
        <v>1.18</v>
      </c>
      <c r="K370">
        <v>20.935001</v>
      </c>
      <c r="L370">
        <v>2.34594666932332</v>
      </c>
      <c r="M370">
        <v>1.6201150184134769</v>
      </c>
      <c r="N370">
        <v>-1.467175888998673</v>
      </c>
      <c r="O370">
        <v>-1.25568826260574</v>
      </c>
    </row>
    <row r="371" spans="1:15" x14ac:dyDescent="0.25">
      <c r="A371">
        <v>231.4396745</v>
      </c>
      <c r="B371">
        <v>115.2009965</v>
      </c>
      <c r="C371">
        <v>-230.47631050000001</v>
      </c>
      <c r="D371">
        <v>-214.42534624999999</v>
      </c>
      <c r="E371">
        <v>-3.7464682499999999</v>
      </c>
      <c r="F371">
        <v>5.0675964999999996</v>
      </c>
      <c r="G371">
        <v>258.952698</v>
      </c>
      <c r="H371">
        <v>20</v>
      </c>
      <c r="I371">
        <v>-40</v>
      </c>
      <c r="J371">
        <v>1.1775</v>
      </c>
      <c r="K371">
        <v>20.766127000000001</v>
      </c>
      <c r="L371">
        <v>2.112068708767286</v>
      </c>
      <c r="M371">
        <v>1.5071825873318649</v>
      </c>
      <c r="N371">
        <v>-1.201175141952519</v>
      </c>
      <c r="O371">
        <v>-1.040292127543224</v>
      </c>
    </row>
    <row r="372" spans="1:15" x14ac:dyDescent="0.25">
      <c r="A372">
        <v>230.25110624999999</v>
      </c>
      <c r="B372">
        <v>137.856392</v>
      </c>
      <c r="C372">
        <v>-187.62847500000001</v>
      </c>
      <c r="D372">
        <v>-171.9860955</v>
      </c>
      <c r="E372">
        <v>38.803955000000002</v>
      </c>
      <c r="F372">
        <v>5.2625027499999986</v>
      </c>
      <c r="G372">
        <v>255.47170650000001</v>
      </c>
      <c r="H372">
        <v>20</v>
      </c>
      <c r="I372">
        <v>-36</v>
      </c>
      <c r="J372">
        <v>1.18</v>
      </c>
      <c r="K372">
        <v>20.593282250000001</v>
      </c>
      <c r="L372">
        <v>1.9115254508402639</v>
      </c>
      <c r="M372">
        <v>1.4173344594668269</v>
      </c>
      <c r="N372">
        <v>-0.99112580745031775</v>
      </c>
      <c r="O372">
        <v>-0.8465724849099685</v>
      </c>
    </row>
    <row r="373" spans="1:15" x14ac:dyDescent="0.25">
      <c r="A373">
        <v>226.85155474999999</v>
      </c>
      <c r="B373">
        <v>158.34725975000001</v>
      </c>
      <c r="C373">
        <v>-143.38243499999999</v>
      </c>
      <c r="D373">
        <v>-128.5415725</v>
      </c>
      <c r="E373">
        <v>78.41258049999999</v>
      </c>
      <c r="F373">
        <v>5.1163227500000001</v>
      </c>
      <c r="G373">
        <v>252.91099149999999</v>
      </c>
      <c r="H373">
        <v>20</v>
      </c>
      <c r="I373">
        <v>-32</v>
      </c>
      <c r="J373">
        <v>1.18</v>
      </c>
      <c r="K373">
        <v>20.4936805</v>
      </c>
      <c r="L373">
        <v>1.727042363289212</v>
      </c>
      <c r="M373">
        <v>1.3382629531602011</v>
      </c>
      <c r="N373">
        <v>-0.81399141242555806</v>
      </c>
      <c r="O373">
        <v>-0.65809478576622626</v>
      </c>
    </row>
    <row r="374" spans="1:15" x14ac:dyDescent="0.25">
      <c r="A374">
        <v>221.42026175000001</v>
      </c>
      <c r="B374">
        <v>175.18248</v>
      </c>
      <c r="C374">
        <v>-100.534578</v>
      </c>
      <c r="D374">
        <v>-87.806875000000005</v>
      </c>
      <c r="E374">
        <v>111.4495695</v>
      </c>
      <c r="F374">
        <v>4.9214172499999993</v>
      </c>
      <c r="G374">
        <v>250.5103225</v>
      </c>
      <c r="H374">
        <v>20</v>
      </c>
      <c r="I374">
        <v>-28</v>
      </c>
      <c r="J374">
        <v>1.18</v>
      </c>
      <c r="K374">
        <v>20.40226225</v>
      </c>
      <c r="L374">
        <v>1.5657620581985869</v>
      </c>
      <c r="M374">
        <v>1.278977389531377</v>
      </c>
      <c r="N374">
        <v>-0.67628330265584813</v>
      </c>
      <c r="O374">
        <v>-0.48188967405571809</v>
      </c>
    </row>
    <row r="375" spans="1:15" x14ac:dyDescent="0.25">
      <c r="A375">
        <v>213.25129699999999</v>
      </c>
      <c r="B375">
        <v>189.40701300000001</v>
      </c>
      <c r="C375">
        <v>-58.543688750000001</v>
      </c>
      <c r="D375">
        <v>-51.180614499999997</v>
      </c>
      <c r="E375">
        <v>140.10546500000001</v>
      </c>
      <c r="F375">
        <v>5.067596</v>
      </c>
      <c r="G375">
        <v>249.910156</v>
      </c>
      <c r="H375">
        <v>20</v>
      </c>
      <c r="I375">
        <v>-24</v>
      </c>
      <c r="J375">
        <v>1.18</v>
      </c>
      <c r="K375">
        <v>20.371238999999999</v>
      </c>
      <c r="L375">
        <v>1.3940695948784729</v>
      </c>
      <c r="M375">
        <v>1.233995449708583</v>
      </c>
      <c r="N375">
        <v>-0.5632086768700314</v>
      </c>
      <c r="O375">
        <v>-0.30737012021076388</v>
      </c>
    </row>
    <row r="376" spans="1:15" x14ac:dyDescent="0.25">
      <c r="A376">
        <v>204.01245850000001</v>
      </c>
      <c r="B376">
        <v>202.29709224999999</v>
      </c>
      <c r="C376">
        <v>-19.8002155</v>
      </c>
      <c r="D376">
        <v>-23.120874499999999</v>
      </c>
      <c r="E376">
        <v>162.68148825</v>
      </c>
      <c r="F376">
        <v>5.1163232499999998</v>
      </c>
      <c r="G376">
        <v>249.47003950000001</v>
      </c>
      <c r="H376">
        <v>20</v>
      </c>
      <c r="I376">
        <v>-20</v>
      </c>
      <c r="J376">
        <v>1.18</v>
      </c>
      <c r="K376">
        <v>20.350892000000002</v>
      </c>
      <c r="L376">
        <v>1.2154339046578719</v>
      </c>
      <c r="M376">
        <v>1.2241494726014179</v>
      </c>
      <c r="N376">
        <v>-0.47131437652407199</v>
      </c>
      <c r="O376">
        <v>-0.14432049398043439</v>
      </c>
    </row>
    <row r="377" spans="1:15" x14ac:dyDescent="0.25">
      <c r="A377">
        <v>189.44159325000001</v>
      </c>
      <c r="B377">
        <v>207.76564024999999</v>
      </c>
      <c r="C377">
        <v>17.929372499999999</v>
      </c>
      <c r="D377">
        <v>-5.3759312499999998</v>
      </c>
      <c r="E377">
        <v>179.08821875000001</v>
      </c>
      <c r="F377">
        <v>5.0188697500000004</v>
      </c>
      <c r="G377">
        <v>245.86901850000001</v>
      </c>
      <c r="H377">
        <v>20</v>
      </c>
      <c r="I377">
        <v>-16</v>
      </c>
      <c r="J377">
        <v>1.18</v>
      </c>
      <c r="K377">
        <v>20.204469</v>
      </c>
      <c r="L377">
        <v>0.99247826678287643</v>
      </c>
      <c r="M377">
        <v>1.233370073524982</v>
      </c>
      <c r="N377">
        <v>-0.38643326646110338</v>
      </c>
      <c r="O377">
        <v>7.2904362845925266E-3</v>
      </c>
    </row>
    <row r="378" spans="1:15" x14ac:dyDescent="0.25">
      <c r="A378">
        <v>173.43302174999999</v>
      </c>
      <c r="B378">
        <v>215.68320449999999</v>
      </c>
      <c r="C378">
        <v>46.200861750000001</v>
      </c>
      <c r="D378">
        <v>0.39453925000000001</v>
      </c>
      <c r="E378">
        <v>191.47150049999999</v>
      </c>
      <c r="F378">
        <v>5.0188697500000004</v>
      </c>
      <c r="G378">
        <v>245.26885250000001</v>
      </c>
      <c r="H378">
        <v>20</v>
      </c>
      <c r="I378">
        <v>-12</v>
      </c>
      <c r="J378">
        <v>1.18</v>
      </c>
      <c r="K378">
        <v>20.179279749999999</v>
      </c>
      <c r="L378">
        <v>0.7565491901732323</v>
      </c>
      <c r="M378">
        <v>1.2801586666675879</v>
      </c>
      <c r="N378">
        <v>-0.31989707247654198</v>
      </c>
      <c r="O378">
        <v>0.10868997601736841</v>
      </c>
    </row>
    <row r="379" spans="1:15" x14ac:dyDescent="0.25">
      <c r="A379">
        <v>156.39453875000001</v>
      </c>
      <c r="B379">
        <v>222.65779474999999</v>
      </c>
      <c r="C379">
        <v>67.743194500000001</v>
      </c>
      <c r="D379">
        <v>-0.43687799999999999</v>
      </c>
      <c r="E379">
        <v>201.08307675</v>
      </c>
      <c r="F379">
        <v>4.9701434999999998</v>
      </c>
      <c r="G379">
        <v>246.02906775</v>
      </c>
      <c r="H379">
        <v>20</v>
      </c>
      <c r="I379">
        <v>-8</v>
      </c>
      <c r="J379">
        <v>1.17</v>
      </c>
      <c r="K379">
        <v>20.299385749999999</v>
      </c>
      <c r="L379">
        <v>0.52948262734197316</v>
      </c>
      <c r="M379">
        <v>1.3324533819775559</v>
      </c>
      <c r="N379">
        <v>-0.2684565656799055</v>
      </c>
      <c r="O379">
        <v>0.1713267156318207</v>
      </c>
    </row>
    <row r="380" spans="1:15" x14ac:dyDescent="0.25">
      <c r="A380">
        <v>155.24581524999999</v>
      </c>
      <c r="B380">
        <v>256.77324275000001</v>
      </c>
      <c r="C380">
        <v>99.176033250000003</v>
      </c>
      <c r="D380">
        <v>-1.8356950000000001</v>
      </c>
      <c r="E380">
        <v>234.12006</v>
      </c>
      <c r="F380">
        <v>5.8959477500000004</v>
      </c>
      <c r="G380">
        <v>279.87857050000002</v>
      </c>
      <c r="H380">
        <v>20</v>
      </c>
      <c r="I380">
        <v>-4</v>
      </c>
      <c r="J380">
        <v>1.17</v>
      </c>
      <c r="K380">
        <v>21.641248999999998</v>
      </c>
      <c r="L380">
        <v>0.30230602244607951</v>
      </c>
      <c r="M380">
        <v>1.3944733515404459</v>
      </c>
      <c r="N380">
        <v>-0.24675210183031859</v>
      </c>
      <c r="O380">
        <v>0.23069950300308739</v>
      </c>
    </row>
    <row r="381" spans="1:15" x14ac:dyDescent="0.25">
      <c r="A381">
        <v>146.21974175</v>
      </c>
      <c r="B381">
        <v>286.78396600000002</v>
      </c>
      <c r="C381">
        <v>135.12508399999999</v>
      </c>
      <c r="D381">
        <v>0.13159874999999999</v>
      </c>
      <c r="E381">
        <v>263.89360025000002</v>
      </c>
      <c r="F381">
        <v>6.7730255000000001</v>
      </c>
      <c r="G381">
        <v>312.08760825000002</v>
      </c>
      <c r="H381">
        <v>20</v>
      </c>
      <c r="I381">
        <v>0</v>
      </c>
      <c r="J381">
        <v>1.17</v>
      </c>
      <c r="K381">
        <v>22.845202749999999</v>
      </c>
      <c r="L381">
        <v>5.6512970870484222E-2</v>
      </c>
      <c r="M381">
        <v>1.460561415558677</v>
      </c>
      <c r="N381">
        <v>-0.24558160492838449</v>
      </c>
      <c r="O381">
        <v>0.31007873412134618</v>
      </c>
    </row>
    <row r="382" spans="1:15" x14ac:dyDescent="0.25">
      <c r="A382">
        <v>114.13282024999999</v>
      </c>
      <c r="B382">
        <v>278.55072050000001</v>
      </c>
      <c r="C382">
        <v>154.22866450000001</v>
      </c>
      <c r="D382">
        <v>-4.2828500000000019E-2</v>
      </c>
      <c r="E382">
        <v>254.05849449999999</v>
      </c>
      <c r="F382">
        <v>6.5781194999999997</v>
      </c>
      <c r="G382">
        <v>303.92531574999998</v>
      </c>
      <c r="H382">
        <v>20</v>
      </c>
      <c r="I382">
        <v>4</v>
      </c>
      <c r="J382">
        <v>1.17</v>
      </c>
      <c r="K382">
        <v>22.54518225</v>
      </c>
      <c r="L382">
        <v>-0.20351758751618701</v>
      </c>
      <c r="M382">
        <v>1.4140799173678891</v>
      </c>
      <c r="N382">
        <v>-0.25311300799523989</v>
      </c>
      <c r="O382">
        <v>0.25615943258102369</v>
      </c>
    </row>
    <row r="383" spans="1:15" x14ac:dyDescent="0.25">
      <c r="A383">
        <v>81.384645500000005</v>
      </c>
      <c r="B383">
        <v>267.92047874999997</v>
      </c>
      <c r="C383">
        <v>172.92577750000001</v>
      </c>
      <c r="D383">
        <v>-0.87404550000000003</v>
      </c>
      <c r="E383">
        <v>241.272865</v>
      </c>
      <c r="F383">
        <v>6.1395805000000001</v>
      </c>
      <c r="G383">
        <v>294.04253375000002</v>
      </c>
      <c r="H383">
        <v>20</v>
      </c>
      <c r="I383">
        <v>8</v>
      </c>
      <c r="J383">
        <v>1.17</v>
      </c>
      <c r="K383">
        <v>22.1842665</v>
      </c>
      <c r="L383">
        <v>-0.45540482193951942</v>
      </c>
      <c r="M383">
        <v>1.3371586541343901</v>
      </c>
      <c r="N383">
        <v>-0.26251902650413628</v>
      </c>
      <c r="O383">
        <v>0.16971660945691711</v>
      </c>
    </row>
    <row r="384" spans="1:15" x14ac:dyDescent="0.25">
      <c r="A384">
        <v>50.767462500000001</v>
      </c>
      <c r="B384">
        <v>258.92565925000002</v>
      </c>
      <c r="C384">
        <v>191.035797</v>
      </c>
      <c r="D384">
        <v>-1.8356837500000001</v>
      </c>
      <c r="E384">
        <v>226.34139250000001</v>
      </c>
      <c r="F384">
        <v>6.09085375</v>
      </c>
      <c r="G384">
        <v>288.28093699999999</v>
      </c>
      <c r="H384">
        <v>20</v>
      </c>
      <c r="I384">
        <v>12</v>
      </c>
      <c r="J384">
        <v>1.17</v>
      </c>
      <c r="K384">
        <v>21.963062499999999</v>
      </c>
      <c r="L384">
        <v>-0.69483848207311316</v>
      </c>
      <c r="M384">
        <v>1.2917113212185229</v>
      </c>
      <c r="N384">
        <v>-0.30683515535821221</v>
      </c>
      <c r="O384">
        <v>9.1017343994832994E-2</v>
      </c>
    </row>
    <row r="385" spans="1:15" x14ac:dyDescent="0.25">
      <c r="A385">
        <v>18.278671249999999</v>
      </c>
      <c r="B385">
        <v>244.928383</v>
      </c>
      <c r="C385">
        <v>203.99731800000001</v>
      </c>
      <c r="D385">
        <v>-1.6608565</v>
      </c>
      <c r="E385">
        <v>204.30183775</v>
      </c>
      <c r="F385">
        <v>6.0421279999999999</v>
      </c>
      <c r="G385">
        <v>281.43901049999999</v>
      </c>
      <c r="H385">
        <v>20</v>
      </c>
      <c r="I385">
        <v>16</v>
      </c>
      <c r="J385">
        <v>1.17</v>
      </c>
      <c r="K385">
        <v>21.697093750000001</v>
      </c>
      <c r="L385">
        <v>-0.94758058098788744</v>
      </c>
      <c r="M385">
        <v>1.2581557502408789</v>
      </c>
      <c r="N385">
        <v>-0.39357201612306802</v>
      </c>
      <c r="O385">
        <v>1.15659299672545E-2</v>
      </c>
    </row>
    <row r="386" spans="1:15" x14ac:dyDescent="0.25">
      <c r="A386">
        <v>-15.903591499999999</v>
      </c>
      <c r="B386">
        <v>231.54019525000001</v>
      </c>
      <c r="C386">
        <v>215.69431675000001</v>
      </c>
      <c r="D386">
        <v>-24.563198</v>
      </c>
      <c r="E386">
        <v>178.909401</v>
      </c>
      <c r="F386">
        <v>6.0421275000000003</v>
      </c>
      <c r="G386">
        <v>277.23783125</v>
      </c>
      <c r="H386">
        <v>20</v>
      </c>
      <c r="I386">
        <v>20</v>
      </c>
      <c r="J386">
        <v>1.17</v>
      </c>
      <c r="K386">
        <v>21.530961749999999</v>
      </c>
      <c r="L386">
        <v>-1.1629727161788941</v>
      </c>
      <c r="M386">
        <v>1.2860287516992071</v>
      </c>
      <c r="N386">
        <v>-0.49375715092847622</v>
      </c>
      <c r="O386">
        <v>-0.13194110009955101</v>
      </c>
    </row>
    <row r="387" spans="1:15" x14ac:dyDescent="0.25">
      <c r="A387">
        <v>-51.627225750000001</v>
      </c>
      <c r="B387">
        <v>217.64022075</v>
      </c>
      <c r="C387">
        <v>224.50092325</v>
      </c>
      <c r="D387">
        <v>-56.032065250000002</v>
      </c>
      <c r="E387">
        <v>148.46530525</v>
      </c>
      <c r="F387">
        <v>5.7497680000000004</v>
      </c>
      <c r="G387">
        <v>274.95719150000002</v>
      </c>
      <c r="H387">
        <v>20</v>
      </c>
      <c r="I387">
        <v>24</v>
      </c>
      <c r="J387">
        <v>1.18</v>
      </c>
      <c r="K387">
        <v>21.360797000000002</v>
      </c>
      <c r="L387">
        <v>-1.3649744713316829</v>
      </c>
      <c r="M387">
        <v>1.3528271741014279</v>
      </c>
      <c r="N387">
        <v>-0.62528040803204576</v>
      </c>
      <c r="O387">
        <v>-0.29451206629746912</v>
      </c>
    </row>
    <row r="388" spans="1:15" x14ac:dyDescent="0.25">
      <c r="A388">
        <v>-89.919624249999998</v>
      </c>
      <c r="B388">
        <v>199.47329325000001</v>
      </c>
      <c r="C388">
        <v>228.20422375000001</v>
      </c>
      <c r="D388">
        <v>-93.969530249999991</v>
      </c>
      <c r="E388">
        <v>112.0754355</v>
      </c>
      <c r="F388">
        <v>5.4086825000000003</v>
      </c>
      <c r="G388">
        <v>269.83575424999998</v>
      </c>
      <c r="H388">
        <v>20</v>
      </c>
      <c r="I388">
        <v>28</v>
      </c>
      <c r="J388">
        <v>1.18</v>
      </c>
      <c r="K388">
        <v>21.170296749999999</v>
      </c>
      <c r="L388">
        <v>-1.559273837645281</v>
      </c>
      <c r="M388">
        <v>1.438294530916457</v>
      </c>
      <c r="N388">
        <v>-0.7732649777722842</v>
      </c>
      <c r="O388">
        <v>-0.47716527221984117</v>
      </c>
    </row>
    <row r="389" spans="1:15" x14ac:dyDescent="0.25">
      <c r="A389">
        <v>-131.34837325000001</v>
      </c>
      <c r="B389">
        <v>181.33935550000001</v>
      </c>
      <c r="C389">
        <v>231.50106049999999</v>
      </c>
      <c r="D389">
        <v>-137.10809724999999</v>
      </c>
      <c r="E389">
        <v>71.572713999999991</v>
      </c>
      <c r="F389">
        <v>5.3112294999999996</v>
      </c>
      <c r="G389">
        <v>267.87519800000001</v>
      </c>
      <c r="H389">
        <v>20</v>
      </c>
      <c r="I389">
        <v>32</v>
      </c>
      <c r="J389">
        <v>1.18</v>
      </c>
      <c r="K389">
        <v>21.095583999999999</v>
      </c>
      <c r="L389">
        <v>-1.7631122442770091</v>
      </c>
      <c r="M389">
        <v>1.5473562524601789</v>
      </c>
      <c r="N389">
        <v>-0.95384823062464652</v>
      </c>
      <c r="O389">
        <v>-0.67803228190799136</v>
      </c>
    </row>
    <row r="390" spans="1:15" x14ac:dyDescent="0.25">
      <c r="A390">
        <v>-171.06574624999999</v>
      </c>
      <c r="B390">
        <v>160.0788805</v>
      </c>
      <c r="C390">
        <v>229.92038350000001</v>
      </c>
      <c r="D390">
        <v>-180.72744750000001</v>
      </c>
      <c r="E390">
        <v>26.107737499999999</v>
      </c>
      <c r="F390">
        <v>5.6523149999999998</v>
      </c>
      <c r="G390">
        <v>265.11442549999998</v>
      </c>
      <c r="H390">
        <v>20</v>
      </c>
      <c r="I390">
        <v>36</v>
      </c>
      <c r="J390">
        <v>1.18</v>
      </c>
      <c r="K390">
        <v>20.970598500000001</v>
      </c>
      <c r="L390">
        <v>-1.9850575211909081</v>
      </c>
      <c r="M390">
        <v>1.6871324130782059</v>
      </c>
      <c r="N390">
        <v>-1.1832006162153099</v>
      </c>
      <c r="O390">
        <v>-0.89875372429592559</v>
      </c>
    </row>
    <row r="391" spans="1:15" x14ac:dyDescent="0.25">
      <c r="A391">
        <v>-207.36464699999999</v>
      </c>
      <c r="B391">
        <v>135.45136224999999</v>
      </c>
      <c r="C391">
        <v>225.35900874999999</v>
      </c>
      <c r="D391">
        <v>-220.107235</v>
      </c>
      <c r="E391">
        <v>-23.28162425</v>
      </c>
      <c r="F391">
        <v>5.4086825000000003</v>
      </c>
      <c r="G391">
        <v>261.91351300000002</v>
      </c>
      <c r="H391">
        <v>20</v>
      </c>
      <c r="I391">
        <v>40</v>
      </c>
      <c r="J391">
        <v>1.18</v>
      </c>
      <c r="K391">
        <v>20.85075325</v>
      </c>
      <c r="L391">
        <v>-2.2720658532877511</v>
      </c>
      <c r="M391">
        <v>1.866903076908677</v>
      </c>
      <c r="N391">
        <v>-1.4974558035460681</v>
      </c>
      <c r="O391">
        <v>-1.150640431877807</v>
      </c>
    </row>
    <row r="392" spans="1:15" x14ac:dyDescent="0.25">
      <c r="A392">
        <v>-242.970001</v>
      </c>
      <c r="B392">
        <v>110.0061305</v>
      </c>
      <c r="C392">
        <v>218.44919974999999</v>
      </c>
      <c r="D392">
        <v>-257.78245550000003</v>
      </c>
      <c r="E392">
        <v>-75.687580249999996</v>
      </c>
      <c r="F392">
        <v>5.3112294999999996</v>
      </c>
      <c r="G392">
        <v>260.63317124999998</v>
      </c>
      <c r="H392">
        <v>20</v>
      </c>
      <c r="I392">
        <v>44</v>
      </c>
      <c r="J392">
        <v>1.18</v>
      </c>
      <c r="K392">
        <v>20.802620749999999</v>
      </c>
      <c r="L392">
        <v>-2.6414176246291912</v>
      </c>
      <c r="M392">
        <v>2.1054185016740798</v>
      </c>
      <c r="N392">
        <v>-1.9253060981005281</v>
      </c>
      <c r="O392">
        <v>-1.4637007130505999</v>
      </c>
    </row>
    <row r="393" spans="1:15" x14ac:dyDescent="0.25">
      <c r="A393">
        <v>207.790222</v>
      </c>
      <c r="B393">
        <v>106.59098425000001</v>
      </c>
      <c r="C393">
        <v>-275.44399275000001</v>
      </c>
      <c r="D393">
        <v>-281.95229325000003</v>
      </c>
      <c r="E393">
        <v>-64.225170249999991</v>
      </c>
      <c r="F393">
        <v>5.1650495000000003</v>
      </c>
      <c r="G393">
        <v>256.11190399999998</v>
      </c>
      <c r="H393">
        <v>24</v>
      </c>
      <c r="I393">
        <v>-44</v>
      </c>
      <c r="J393">
        <v>1.18</v>
      </c>
      <c r="K393">
        <v>20.623616999999999</v>
      </c>
      <c r="L393">
        <v>2.2531266312004292</v>
      </c>
      <c r="M393">
        <v>1.8116163313440481</v>
      </c>
      <c r="N393">
        <v>-1.4936020582692571</v>
      </c>
      <c r="O393">
        <v>-1.323537159131853</v>
      </c>
    </row>
    <row r="394" spans="1:15" x14ac:dyDescent="0.25">
      <c r="A394">
        <v>212.60544974999999</v>
      </c>
      <c r="B394">
        <v>130.54509350000001</v>
      </c>
      <c r="C394">
        <v>-241.12061299999999</v>
      </c>
      <c r="D394">
        <v>-244.67042900000001</v>
      </c>
      <c r="E394">
        <v>-19.981164499999998</v>
      </c>
      <c r="F394">
        <v>5.1650495000000003</v>
      </c>
      <c r="G394">
        <v>254.95156875000001</v>
      </c>
      <c r="H394">
        <v>24</v>
      </c>
      <c r="I394">
        <v>-40</v>
      </c>
      <c r="J394">
        <v>1.18</v>
      </c>
      <c r="K394">
        <v>20.575882249999999</v>
      </c>
      <c r="L394">
        <v>2.0354292361531021</v>
      </c>
      <c r="M394">
        <v>1.683231732978141</v>
      </c>
      <c r="N394">
        <v>-1.2333599388705201</v>
      </c>
      <c r="O394">
        <v>-1.112809585944053</v>
      </c>
    </row>
    <row r="395" spans="1:15" x14ac:dyDescent="0.25">
      <c r="A395">
        <v>213.143799</v>
      </c>
      <c r="B395">
        <v>152.046074</v>
      </c>
      <c r="C395">
        <v>-206.97766100000001</v>
      </c>
      <c r="D395">
        <v>-207.95674500000001</v>
      </c>
      <c r="E395">
        <v>18.239658500000001</v>
      </c>
      <c r="F395">
        <v>5.1650495000000003</v>
      </c>
      <c r="G395">
        <v>253.35111624999999</v>
      </c>
      <c r="H395">
        <v>24</v>
      </c>
      <c r="I395">
        <v>-36</v>
      </c>
      <c r="J395">
        <v>1.18</v>
      </c>
      <c r="K395">
        <v>20.509856500000001</v>
      </c>
      <c r="L395">
        <v>1.8614001548792369</v>
      </c>
      <c r="M395">
        <v>1.5950235174856009</v>
      </c>
      <c r="N395">
        <v>-1.041739299529558</v>
      </c>
      <c r="O395">
        <v>-0.94208789480348787</v>
      </c>
    </row>
    <row r="396" spans="1:15" x14ac:dyDescent="0.25">
      <c r="A396">
        <v>209.49150875000001</v>
      </c>
      <c r="B396">
        <v>171.09392174999999</v>
      </c>
      <c r="C396">
        <v>-166.4751665</v>
      </c>
      <c r="D396">
        <v>-165.91085075000001</v>
      </c>
      <c r="E396">
        <v>54.763636499999997</v>
      </c>
      <c r="F396">
        <v>5.1650495000000003</v>
      </c>
      <c r="G396">
        <v>250.750393</v>
      </c>
      <c r="H396">
        <v>24</v>
      </c>
      <c r="I396">
        <v>-32</v>
      </c>
      <c r="J396">
        <v>1.1725000000000001</v>
      </c>
      <c r="K396">
        <v>20.467378750000002</v>
      </c>
      <c r="L396">
        <v>1.7015267883559131</v>
      </c>
      <c r="M396">
        <v>1.525182716860765</v>
      </c>
      <c r="N396">
        <v>-0.88698171523528013</v>
      </c>
      <c r="O396">
        <v>-0.77548894045040062</v>
      </c>
    </row>
    <row r="397" spans="1:15" x14ac:dyDescent="0.25">
      <c r="A397">
        <v>234.20720675000001</v>
      </c>
      <c r="B397">
        <v>213.23006824999999</v>
      </c>
      <c r="C397">
        <v>-145.95330799999999</v>
      </c>
      <c r="D397">
        <v>-146.15539949999999</v>
      </c>
      <c r="E397">
        <v>99.379221000000001</v>
      </c>
      <c r="F397">
        <v>6.1883072500000003</v>
      </c>
      <c r="G397">
        <v>285.08002475000001</v>
      </c>
      <c r="H397">
        <v>24</v>
      </c>
      <c r="I397">
        <v>-28</v>
      </c>
      <c r="J397">
        <v>1.18</v>
      </c>
      <c r="K397">
        <v>21.74153725</v>
      </c>
      <c r="L397">
        <v>1.5489247677626601</v>
      </c>
      <c r="M397">
        <v>1.4642705074720119</v>
      </c>
      <c r="N397">
        <v>-0.75661315286437647</v>
      </c>
      <c r="O397">
        <v>-0.62028995933585529</v>
      </c>
    </row>
    <row r="398" spans="1:15" x14ac:dyDescent="0.25">
      <c r="A398">
        <v>250.63330074999999</v>
      </c>
      <c r="B398">
        <v>254.2118035</v>
      </c>
      <c r="C398">
        <v>-109.8258</v>
      </c>
      <c r="D398">
        <v>-121.54849425</v>
      </c>
      <c r="E398">
        <v>144.9336055</v>
      </c>
      <c r="F398">
        <v>7.0166585000000001</v>
      </c>
      <c r="G398">
        <v>315.48857099999998</v>
      </c>
      <c r="H398">
        <v>24</v>
      </c>
      <c r="I398">
        <v>-24</v>
      </c>
      <c r="J398">
        <v>1.18</v>
      </c>
      <c r="K398">
        <v>22.865556250000001</v>
      </c>
      <c r="L398">
        <v>1.38308460428118</v>
      </c>
      <c r="M398">
        <v>1.4417801745345771</v>
      </c>
      <c r="N398">
        <v>-0.6544233697399694</v>
      </c>
      <c r="O398">
        <v>-0.47079149125941822</v>
      </c>
    </row>
    <row r="399" spans="1:15" x14ac:dyDescent="0.25">
      <c r="A399">
        <v>227.81412900000001</v>
      </c>
      <c r="B399">
        <v>257.00163250000003</v>
      </c>
      <c r="C399">
        <v>-51.327211249999998</v>
      </c>
      <c r="D399">
        <v>-81.731636249999994</v>
      </c>
      <c r="E399">
        <v>166.21318450000001</v>
      </c>
      <c r="F399">
        <v>6.3832129999999996</v>
      </c>
      <c r="G399">
        <v>301.32458500000001</v>
      </c>
      <c r="H399">
        <v>24</v>
      </c>
      <c r="I399">
        <v>-20</v>
      </c>
      <c r="J399">
        <v>1.18</v>
      </c>
      <c r="K399">
        <v>22.3584535</v>
      </c>
      <c r="L399">
        <v>1.1993512551858641</v>
      </c>
      <c r="M399">
        <v>1.4554082684616809</v>
      </c>
      <c r="N399">
        <v>-0.58052902155195329</v>
      </c>
      <c r="O399">
        <v>-0.3132570043314381</v>
      </c>
    </row>
    <row r="400" spans="1:15" x14ac:dyDescent="0.25">
      <c r="A400">
        <v>207.69997000000001</v>
      </c>
      <c r="B400">
        <v>262.41870125000003</v>
      </c>
      <c r="C400">
        <v>-7.2615825000000003</v>
      </c>
      <c r="D400">
        <v>-56.556545249999999</v>
      </c>
      <c r="E400">
        <v>183.78224175</v>
      </c>
      <c r="F400">
        <v>6.2370334999999999</v>
      </c>
      <c r="G400">
        <v>293.68244175000001</v>
      </c>
      <c r="H400">
        <v>24</v>
      </c>
      <c r="I400">
        <v>-16</v>
      </c>
      <c r="J400">
        <v>1.18</v>
      </c>
      <c r="K400">
        <v>22.072500999999999</v>
      </c>
      <c r="L400">
        <v>0.99662418829559352</v>
      </c>
      <c r="M400">
        <v>1.4788514375012409</v>
      </c>
      <c r="N400">
        <v>-0.50953525008158762</v>
      </c>
      <c r="O400">
        <v>-0.17685807431847139</v>
      </c>
    </row>
    <row r="401" spans="1:15" x14ac:dyDescent="0.25">
      <c r="A401">
        <v>185.57284150000001</v>
      </c>
      <c r="B401">
        <v>263.73571774999999</v>
      </c>
      <c r="C401">
        <v>25.33596</v>
      </c>
      <c r="D401">
        <v>-45.760976749999998</v>
      </c>
      <c r="E401">
        <v>195.45025275</v>
      </c>
      <c r="F401">
        <v>5.8959477500000004</v>
      </c>
      <c r="G401">
        <v>286.36038975000002</v>
      </c>
      <c r="H401">
        <v>24</v>
      </c>
      <c r="I401">
        <v>-12</v>
      </c>
      <c r="J401">
        <v>1.18</v>
      </c>
      <c r="K401">
        <v>21.802826750000001</v>
      </c>
      <c r="L401">
        <v>0.7791271281289367</v>
      </c>
      <c r="M401">
        <v>1.50487310669036</v>
      </c>
      <c r="N401">
        <v>-0.44204470198848023</v>
      </c>
      <c r="O401">
        <v>-7.8323620746485634E-2</v>
      </c>
    </row>
    <row r="402" spans="1:15" x14ac:dyDescent="0.25">
      <c r="A402">
        <v>162.87268424999999</v>
      </c>
      <c r="B402">
        <v>265.27494074999998</v>
      </c>
      <c r="C402">
        <v>50.9880475</v>
      </c>
      <c r="D402">
        <v>-41.434004999999999</v>
      </c>
      <c r="E402">
        <v>203.09479899999999</v>
      </c>
      <c r="F402">
        <v>6.0421275000000003</v>
      </c>
      <c r="G402">
        <v>281.47902675</v>
      </c>
      <c r="H402">
        <v>24</v>
      </c>
      <c r="I402">
        <v>-8</v>
      </c>
      <c r="J402">
        <v>1.18</v>
      </c>
      <c r="K402">
        <v>21.606530249999999</v>
      </c>
      <c r="L402">
        <v>0.56417701196496939</v>
      </c>
      <c r="M402">
        <v>1.5465489286669181</v>
      </c>
      <c r="N402">
        <v>-0.39525461560720948</v>
      </c>
      <c r="O402">
        <v>-6.376855504189408E-3</v>
      </c>
    </row>
    <row r="403" spans="1:15" x14ac:dyDescent="0.25">
      <c r="A403">
        <v>138.50272724999999</v>
      </c>
      <c r="B403">
        <v>265.49695600000001</v>
      </c>
      <c r="C403">
        <v>73.569110499999994</v>
      </c>
      <c r="D403">
        <v>-37.981173499999997</v>
      </c>
      <c r="E403">
        <v>207.07354724999999</v>
      </c>
      <c r="F403">
        <v>5.944674</v>
      </c>
      <c r="G403">
        <v>278.99832149999997</v>
      </c>
      <c r="H403">
        <v>24</v>
      </c>
      <c r="I403">
        <v>-4</v>
      </c>
      <c r="J403">
        <v>1.18</v>
      </c>
      <c r="K403">
        <v>21.5128485</v>
      </c>
      <c r="L403">
        <v>0.34306056851020161</v>
      </c>
      <c r="M403">
        <v>1.603337546788149</v>
      </c>
      <c r="N403">
        <v>-0.38000512567705269</v>
      </c>
      <c r="O403">
        <v>6.2606772347721301E-2</v>
      </c>
    </row>
    <row r="404" spans="1:15" x14ac:dyDescent="0.25">
      <c r="A404">
        <v>110.57465525000001</v>
      </c>
      <c r="B404">
        <v>261.52308675</v>
      </c>
      <c r="C404">
        <v>96.150173249999995</v>
      </c>
      <c r="D404">
        <v>-34.222391000000002</v>
      </c>
      <c r="E404">
        <v>205.86651225</v>
      </c>
      <c r="F404">
        <v>5.7010414999999997</v>
      </c>
      <c r="G404">
        <v>273.47676875000002</v>
      </c>
      <c r="H404">
        <v>24</v>
      </c>
      <c r="I404">
        <v>0</v>
      </c>
      <c r="J404">
        <v>1.18</v>
      </c>
      <c r="K404">
        <v>21.303922750000002</v>
      </c>
      <c r="L404">
        <v>8.2474600011126276E-2</v>
      </c>
      <c r="M404">
        <v>1.6909215995019771</v>
      </c>
      <c r="N404">
        <v>-0.38656549479922397</v>
      </c>
      <c r="O404">
        <v>0.14444436845667</v>
      </c>
    </row>
    <row r="405" spans="1:15" x14ac:dyDescent="0.25">
      <c r="A405">
        <v>83.224441499999998</v>
      </c>
      <c r="B405">
        <v>258.44465624999998</v>
      </c>
      <c r="C405">
        <v>118.9570425</v>
      </c>
      <c r="D405">
        <v>-33.523084750000002</v>
      </c>
      <c r="E405">
        <v>202.33481599999999</v>
      </c>
      <c r="F405">
        <v>5.554862</v>
      </c>
      <c r="G405">
        <v>271.39617950000002</v>
      </c>
      <c r="H405">
        <v>24</v>
      </c>
      <c r="I405">
        <v>4</v>
      </c>
      <c r="J405">
        <v>1.18</v>
      </c>
      <c r="K405">
        <v>21.226834749999998</v>
      </c>
      <c r="L405">
        <v>-0.20132109182678179</v>
      </c>
      <c r="M405">
        <v>1.6450468377499741</v>
      </c>
      <c r="N405">
        <v>-0.38912025458342681</v>
      </c>
      <c r="O405">
        <v>0.1087202318865515</v>
      </c>
    </row>
    <row r="406" spans="1:15" x14ac:dyDescent="0.25">
      <c r="A406">
        <v>52.485765499999999</v>
      </c>
      <c r="B406">
        <v>254.692814</v>
      </c>
      <c r="C406">
        <v>140.7703515</v>
      </c>
      <c r="D406">
        <v>-37.063332750000001</v>
      </c>
      <c r="E406">
        <v>194.511448</v>
      </c>
      <c r="F406">
        <v>5.5061355000000001</v>
      </c>
      <c r="G406">
        <v>268.9154815</v>
      </c>
      <c r="H406">
        <v>24</v>
      </c>
      <c r="I406">
        <v>8</v>
      </c>
      <c r="J406">
        <v>1.18</v>
      </c>
      <c r="K406">
        <v>21.129511000000001</v>
      </c>
      <c r="L406">
        <v>-0.47260974236644671</v>
      </c>
      <c r="M406">
        <v>1.5618742739107569</v>
      </c>
      <c r="N406">
        <v>-0.39830911584408141</v>
      </c>
      <c r="O406">
        <v>1.18125730452509E-2</v>
      </c>
    </row>
    <row r="407" spans="1:15" x14ac:dyDescent="0.25">
      <c r="A407">
        <v>22.023209999999999</v>
      </c>
      <c r="B407">
        <v>247.95872125</v>
      </c>
      <c r="C407">
        <v>159.01585</v>
      </c>
      <c r="D407">
        <v>-40.253924249999997</v>
      </c>
      <c r="E407">
        <v>181.27876275</v>
      </c>
      <c r="F407">
        <v>5.7010414999999997</v>
      </c>
      <c r="G407">
        <v>265.0744325</v>
      </c>
      <c r="H407">
        <v>24</v>
      </c>
      <c r="I407">
        <v>12</v>
      </c>
      <c r="J407">
        <v>1.18</v>
      </c>
      <c r="K407">
        <v>20.967019000000001</v>
      </c>
      <c r="L407">
        <v>-0.71952815101602074</v>
      </c>
      <c r="M407">
        <v>1.513771439871054</v>
      </c>
      <c r="N407">
        <v>-0.44012195722992498</v>
      </c>
      <c r="O407">
        <v>-7.782091825021048E-2</v>
      </c>
    </row>
    <row r="408" spans="1:15" x14ac:dyDescent="0.25">
      <c r="A408">
        <v>-10.046101</v>
      </c>
      <c r="B408">
        <v>240.647423</v>
      </c>
      <c r="C408">
        <v>174.95808024999999</v>
      </c>
      <c r="D408">
        <v>-45.455028499999997</v>
      </c>
      <c r="E408">
        <v>165.94494649999999</v>
      </c>
      <c r="F408">
        <v>5.1650495000000003</v>
      </c>
      <c r="G408">
        <v>263.83406050000002</v>
      </c>
      <c r="H408">
        <v>24</v>
      </c>
      <c r="I408">
        <v>16</v>
      </c>
      <c r="J408">
        <v>1.18</v>
      </c>
      <c r="K408">
        <v>20.938529500000001</v>
      </c>
      <c r="L408">
        <v>-0.95512914704626128</v>
      </c>
      <c r="M408">
        <v>1.477071655428333</v>
      </c>
      <c r="N408">
        <v>-0.50538468581693974</v>
      </c>
      <c r="O408">
        <v>-0.16993118110420211</v>
      </c>
    </row>
    <row r="409" spans="1:15" x14ac:dyDescent="0.25">
      <c r="A409">
        <v>-42.073923000000001</v>
      </c>
      <c r="B409">
        <v>229.43997200000001</v>
      </c>
      <c r="C409">
        <v>187.06152349999999</v>
      </c>
      <c r="D409">
        <v>-58.261108499999999</v>
      </c>
      <c r="E409">
        <v>144.17362249999999</v>
      </c>
      <c r="F409">
        <v>5.1163227500000001</v>
      </c>
      <c r="G409">
        <v>260.43310550000001</v>
      </c>
      <c r="H409">
        <v>24</v>
      </c>
      <c r="I409">
        <v>20</v>
      </c>
      <c r="J409">
        <v>1.18</v>
      </c>
      <c r="K409">
        <v>20.802410500000001</v>
      </c>
      <c r="L409">
        <v>-1.179031178252554</v>
      </c>
      <c r="M409">
        <v>1.480395162227683</v>
      </c>
      <c r="N409">
        <v>-0.59822280644197812</v>
      </c>
      <c r="O409">
        <v>-0.28446405214477227</v>
      </c>
    </row>
    <row r="410" spans="1:15" x14ac:dyDescent="0.25">
      <c r="A410">
        <v>-76.489643000000001</v>
      </c>
      <c r="B410">
        <v>216.78950900000001</v>
      </c>
      <c r="C410">
        <v>194.6035995</v>
      </c>
      <c r="D410">
        <v>-86.451967249999996</v>
      </c>
      <c r="E410">
        <v>116.72475799999999</v>
      </c>
      <c r="F410">
        <v>5.2137762499999996</v>
      </c>
      <c r="G410">
        <v>258.23249824999999</v>
      </c>
      <c r="H410">
        <v>24</v>
      </c>
      <c r="I410">
        <v>24</v>
      </c>
      <c r="J410">
        <v>1.18</v>
      </c>
      <c r="K410">
        <v>20.708577500000001</v>
      </c>
      <c r="L410">
        <v>-1.3677998941415419</v>
      </c>
      <c r="M410">
        <v>1.5300077467804669</v>
      </c>
      <c r="N410">
        <v>-0.71397459565448629</v>
      </c>
      <c r="O410">
        <v>-0.43735676645828708</v>
      </c>
    </row>
    <row r="411" spans="1:15" x14ac:dyDescent="0.25">
      <c r="A411">
        <v>-113.75845150000001</v>
      </c>
      <c r="B411">
        <v>202.4074325</v>
      </c>
      <c r="C411">
        <v>201.33275599999999</v>
      </c>
      <c r="D411">
        <v>-123.3841785</v>
      </c>
      <c r="E411">
        <v>84.894801999999999</v>
      </c>
      <c r="F411">
        <v>5.1163227500000001</v>
      </c>
      <c r="G411">
        <v>257.31223325000002</v>
      </c>
      <c r="H411">
        <v>24</v>
      </c>
      <c r="I411">
        <v>28</v>
      </c>
      <c r="J411">
        <v>1.18</v>
      </c>
      <c r="K411">
        <v>20.67488075</v>
      </c>
      <c r="L411">
        <v>-1.548616376724705</v>
      </c>
      <c r="M411">
        <v>1.6012058524793009</v>
      </c>
      <c r="N411">
        <v>-0.8474009709275887</v>
      </c>
      <c r="O411">
        <v>-0.60790071085688202</v>
      </c>
    </row>
    <row r="412" spans="1:15" x14ac:dyDescent="0.25">
      <c r="A412">
        <v>-149.01535025000001</v>
      </c>
      <c r="B412">
        <v>184.32159799999999</v>
      </c>
      <c r="C412">
        <v>202.68761825000001</v>
      </c>
      <c r="D412">
        <v>-160.31639475</v>
      </c>
      <c r="E412">
        <v>48.72846225</v>
      </c>
      <c r="F412">
        <v>5.2137762499999996</v>
      </c>
      <c r="G412">
        <v>253.63121050000001</v>
      </c>
      <c r="H412">
        <v>24</v>
      </c>
      <c r="I412">
        <v>32</v>
      </c>
      <c r="J412">
        <v>1.18</v>
      </c>
      <c r="K412">
        <v>20.51941725</v>
      </c>
      <c r="L412">
        <v>-1.729170106647639</v>
      </c>
      <c r="M412">
        <v>1.6944357775775261</v>
      </c>
      <c r="N412">
        <v>-1.007418444527215</v>
      </c>
      <c r="O412">
        <v>-0.78605547978618562</v>
      </c>
    </row>
    <row r="413" spans="1:15" x14ac:dyDescent="0.25">
      <c r="A413">
        <v>-186.94488525</v>
      </c>
      <c r="B413">
        <v>165.7547495</v>
      </c>
      <c r="C413">
        <v>202.19083774999999</v>
      </c>
      <c r="D413">
        <v>-201.13849250000001</v>
      </c>
      <c r="E413">
        <v>7.8680997500000007</v>
      </c>
      <c r="F413">
        <v>5.2625027499999986</v>
      </c>
      <c r="G413">
        <v>252.39085</v>
      </c>
      <c r="H413">
        <v>24</v>
      </c>
      <c r="I413">
        <v>36</v>
      </c>
      <c r="J413">
        <v>1.18</v>
      </c>
      <c r="K413">
        <v>20.4661075</v>
      </c>
      <c r="L413">
        <v>-1.9272746110549339</v>
      </c>
      <c r="M413">
        <v>1.817113620190925</v>
      </c>
      <c r="N413">
        <v>-1.211048010581965</v>
      </c>
      <c r="O413">
        <v>-0.9870912355914635</v>
      </c>
    </row>
    <row r="414" spans="1:15" x14ac:dyDescent="0.25">
      <c r="A414">
        <v>-220.26342775000001</v>
      </c>
      <c r="B414">
        <v>144.20567299999999</v>
      </c>
      <c r="C414">
        <v>199.61660025</v>
      </c>
      <c r="D414">
        <v>-238.90113074999999</v>
      </c>
      <c r="E414">
        <v>-36.528067749999998</v>
      </c>
      <c r="F414">
        <v>5.0675964999999996</v>
      </c>
      <c r="G414">
        <v>251.950737</v>
      </c>
      <c r="H414">
        <v>24</v>
      </c>
      <c r="I414">
        <v>40</v>
      </c>
      <c r="J414">
        <v>1.18</v>
      </c>
      <c r="K414">
        <v>20.4559505</v>
      </c>
      <c r="L414">
        <v>-2.1749412469812168</v>
      </c>
      <c r="M414">
        <v>1.984459444639316</v>
      </c>
      <c r="N414">
        <v>-1.4943028778337299</v>
      </c>
      <c r="O414">
        <v>-1.215468117321501</v>
      </c>
    </row>
    <row r="415" spans="1:15" x14ac:dyDescent="0.25">
      <c r="A415">
        <v>-248.15114575000001</v>
      </c>
      <c r="B415">
        <v>120.01105875</v>
      </c>
      <c r="C415">
        <v>191.17128400000001</v>
      </c>
      <c r="D415">
        <v>-271.11301400000002</v>
      </c>
      <c r="E415">
        <v>-83.3143235</v>
      </c>
      <c r="F415">
        <v>4.9214172499999993</v>
      </c>
      <c r="G415">
        <v>248.06963725</v>
      </c>
      <c r="H415">
        <v>24</v>
      </c>
      <c r="I415">
        <v>44</v>
      </c>
      <c r="J415">
        <v>1.18</v>
      </c>
      <c r="K415">
        <v>20.300630000000002</v>
      </c>
      <c r="L415">
        <v>-2.491669547395404</v>
      </c>
      <c r="M415">
        <v>2.218300774239867</v>
      </c>
      <c r="N415">
        <v>-1.8794862019332119</v>
      </c>
      <c r="O415">
        <v>-1.5004461091675909</v>
      </c>
    </row>
    <row r="416" spans="1:15" x14ac:dyDescent="0.25">
      <c r="A416">
        <v>213.65742875000001</v>
      </c>
      <c r="B416">
        <v>136.75007249999999</v>
      </c>
      <c r="C416">
        <v>-339.26474000000002</v>
      </c>
      <c r="D416">
        <v>-354.02473450000002</v>
      </c>
      <c r="E416">
        <v>-96.7837715</v>
      </c>
      <c r="F416">
        <v>6.2370330000000003</v>
      </c>
      <c r="G416">
        <v>289.32122075000001</v>
      </c>
      <c r="H416">
        <v>28</v>
      </c>
      <c r="I416">
        <v>-44</v>
      </c>
      <c r="J416">
        <v>1.18</v>
      </c>
      <c r="K416">
        <v>21.904350000000001</v>
      </c>
      <c r="L416">
        <v>2.212917269874088</v>
      </c>
      <c r="M416">
        <v>1.9641844139989491</v>
      </c>
      <c r="N416">
        <v>-1.545272423745216</v>
      </c>
      <c r="O416">
        <v>-1.4123017275085969</v>
      </c>
    </row>
    <row r="417" spans="1:15" x14ac:dyDescent="0.25">
      <c r="A417">
        <v>238.61568825000001</v>
      </c>
      <c r="B417">
        <v>177.97230525000001</v>
      </c>
      <c r="C417">
        <v>-324.7866745</v>
      </c>
      <c r="D417">
        <v>-340.21340149999997</v>
      </c>
      <c r="E417">
        <v>-51.826146999999999</v>
      </c>
      <c r="F417">
        <v>5.9934010000000004</v>
      </c>
      <c r="G417">
        <v>313.64804824999999</v>
      </c>
      <c r="H417">
        <v>28</v>
      </c>
      <c r="I417">
        <v>-40</v>
      </c>
      <c r="J417">
        <v>1.18</v>
      </c>
      <c r="K417">
        <v>22.83522975</v>
      </c>
      <c r="L417">
        <v>2.0073367223733372</v>
      </c>
      <c r="M417">
        <v>1.8462331023092819</v>
      </c>
      <c r="N417">
        <v>-1.3021662928082669</v>
      </c>
      <c r="O417">
        <v>-1.20599364621641</v>
      </c>
    </row>
    <row r="418" spans="1:15" x14ac:dyDescent="0.25">
      <c r="A418">
        <v>230.79262175</v>
      </c>
      <c r="B418">
        <v>195.2404325</v>
      </c>
      <c r="C418">
        <v>-275.66951</v>
      </c>
      <c r="D418">
        <v>-287.10969549999999</v>
      </c>
      <c r="E418">
        <v>-6.1549122499999998</v>
      </c>
      <c r="F418">
        <v>6.4806662499999996</v>
      </c>
      <c r="G418">
        <v>299.88419325000001</v>
      </c>
      <c r="H418">
        <v>28</v>
      </c>
      <c r="I418">
        <v>-36</v>
      </c>
      <c r="J418">
        <v>1.18</v>
      </c>
      <c r="K418">
        <v>22.300085500000002</v>
      </c>
      <c r="L418">
        <v>1.8401114433469641</v>
      </c>
      <c r="M418">
        <v>1.752509881576048</v>
      </c>
      <c r="N418">
        <v>-1.111941955410563</v>
      </c>
      <c r="O418">
        <v>-1.045913107361734</v>
      </c>
    </row>
    <row r="419" spans="1:15" x14ac:dyDescent="0.25">
      <c r="A419">
        <v>221.94578525</v>
      </c>
      <c r="B419">
        <v>210.53643775</v>
      </c>
      <c r="C419">
        <v>-229.79976250000001</v>
      </c>
      <c r="D419">
        <v>-237.50251424999999</v>
      </c>
      <c r="E419">
        <v>33.081716499999999</v>
      </c>
      <c r="F419">
        <v>6.2370334999999999</v>
      </c>
      <c r="G419">
        <v>291.52183550000001</v>
      </c>
      <c r="H419">
        <v>28</v>
      </c>
      <c r="I419">
        <v>-32</v>
      </c>
      <c r="J419">
        <v>1.18</v>
      </c>
      <c r="K419">
        <v>21.98939575</v>
      </c>
      <c r="L419">
        <v>1.693621390250839</v>
      </c>
      <c r="M419">
        <v>1.679730690609085</v>
      </c>
      <c r="N419">
        <v>-0.96891367578195664</v>
      </c>
      <c r="O419">
        <v>-0.89935511990562822</v>
      </c>
    </row>
    <row r="420" spans="1:15" x14ac:dyDescent="0.25">
      <c r="A420">
        <v>211.52236550000001</v>
      </c>
      <c r="B420">
        <v>222.56159199999999</v>
      </c>
      <c r="C420">
        <v>-176.80375275</v>
      </c>
      <c r="D420">
        <v>-187.196045</v>
      </c>
      <c r="E420">
        <v>66.744573750000001</v>
      </c>
      <c r="F420">
        <v>5.8472210000000002</v>
      </c>
      <c r="G420">
        <v>282.815811</v>
      </c>
      <c r="H420">
        <v>28</v>
      </c>
      <c r="I420">
        <v>-28</v>
      </c>
      <c r="J420">
        <v>1.18</v>
      </c>
      <c r="K420">
        <v>21.666520500000001</v>
      </c>
      <c r="L420">
        <v>1.561148409368347</v>
      </c>
      <c r="M420">
        <v>1.6473179479539559</v>
      </c>
      <c r="N420">
        <v>-0.86866346730711619</v>
      </c>
      <c r="O420">
        <v>-0.75518477601852763</v>
      </c>
    </row>
    <row r="421" spans="1:15" x14ac:dyDescent="0.25">
      <c r="A421">
        <v>202.36098475</v>
      </c>
      <c r="B421">
        <v>233.76903150000001</v>
      </c>
      <c r="C421">
        <v>-125.92757775</v>
      </c>
      <c r="D421">
        <v>-144.276016</v>
      </c>
      <c r="E421">
        <v>95.355770250000006</v>
      </c>
      <c r="F421">
        <v>5.7497680000000004</v>
      </c>
      <c r="G421">
        <v>277.87800600000003</v>
      </c>
      <c r="H421">
        <v>28</v>
      </c>
      <c r="I421">
        <v>-24</v>
      </c>
      <c r="J421">
        <v>1.18</v>
      </c>
      <c r="K421">
        <v>21.47636275</v>
      </c>
      <c r="L421">
        <v>1.4245170526655071</v>
      </c>
      <c r="M421">
        <v>1.6404255665418781</v>
      </c>
      <c r="N421">
        <v>-0.7920206247278716</v>
      </c>
      <c r="O421">
        <v>-0.61118664107623</v>
      </c>
    </row>
    <row r="422" spans="1:15" x14ac:dyDescent="0.25">
      <c r="A422">
        <v>189.7496605</v>
      </c>
      <c r="B422">
        <v>244.15876374999999</v>
      </c>
      <c r="C422">
        <v>-82.53848450000001</v>
      </c>
      <c r="D422">
        <v>-115.954035</v>
      </c>
      <c r="E422">
        <v>118.33413675</v>
      </c>
      <c r="F422">
        <v>5.9446742500000003</v>
      </c>
      <c r="G422">
        <v>274.63710025</v>
      </c>
      <c r="H422">
        <v>28</v>
      </c>
      <c r="I422">
        <v>-20</v>
      </c>
      <c r="J422">
        <v>1.18</v>
      </c>
      <c r="K422">
        <v>21.340349249999999</v>
      </c>
      <c r="L422">
        <v>1.2514385824723899</v>
      </c>
      <c r="M422">
        <v>1.655084522356584</v>
      </c>
      <c r="N422">
        <v>-0.71837237155725653</v>
      </c>
      <c r="O422">
        <v>-0.48345748003860212</v>
      </c>
    </row>
    <row r="423" spans="1:15" x14ac:dyDescent="0.25">
      <c r="A423">
        <v>171.69542300000001</v>
      </c>
      <c r="B423">
        <v>248.92074224999999</v>
      </c>
      <c r="C423">
        <v>-43.749906750000001</v>
      </c>
      <c r="D423">
        <v>-95.630388249999996</v>
      </c>
      <c r="E423">
        <v>135.23262374999999</v>
      </c>
      <c r="F423">
        <v>5.6035887500000001</v>
      </c>
      <c r="G423">
        <v>269.27558925</v>
      </c>
      <c r="H423">
        <v>28</v>
      </c>
      <c r="I423">
        <v>-16</v>
      </c>
      <c r="J423">
        <v>1.18</v>
      </c>
      <c r="K423">
        <v>21.140048749999998</v>
      </c>
      <c r="L423">
        <v>1.0513551230471641</v>
      </c>
      <c r="M423">
        <v>1.6813793221097739</v>
      </c>
      <c r="N423">
        <v>-0.6541240353086849</v>
      </c>
      <c r="O423">
        <v>-0.36743202892108612</v>
      </c>
    </row>
    <row r="424" spans="1:15" x14ac:dyDescent="0.25">
      <c r="A424">
        <v>154.63425075000001</v>
      </c>
      <c r="B424">
        <v>253.923191</v>
      </c>
      <c r="C424">
        <v>-13.35048725</v>
      </c>
      <c r="D424">
        <v>-86.932743000000002</v>
      </c>
      <c r="E424">
        <v>147.92884050000001</v>
      </c>
      <c r="F424">
        <v>5.4574090000000002</v>
      </c>
      <c r="G424">
        <v>267.19500749999997</v>
      </c>
      <c r="H424">
        <v>28</v>
      </c>
      <c r="I424">
        <v>-12</v>
      </c>
      <c r="J424">
        <v>1.18</v>
      </c>
      <c r="K424">
        <v>21.062360999999999</v>
      </c>
      <c r="L424">
        <v>0.84810363173756564</v>
      </c>
      <c r="M424">
        <v>1.720890737250143</v>
      </c>
      <c r="N424">
        <v>-0.60214812120207772</v>
      </c>
      <c r="O424">
        <v>-0.28069859936291502</v>
      </c>
    </row>
    <row r="425" spans="1:15" x14ac:dyDescent="0.25">
      <c r="A425">
        <v>134.63035199999999</v>
      </c>
      <c r="B425">
        <v>255.27001575</v>
      </c>
      <c r="C425">
        <v>15.174482250000001</v>
      </c>
      <c r="D425">
        <v>-78.541046249999994</v>
      </c>
      <c r="E425">
        <v>158.21099100000001</v>
      </c>
      <c r="F425">
        <v>4.9701434999999998</v>
      </c>
      <c r="G425">
        <v>263.83406050000002</v>
      </c>
      <c r="H425">
        <v>28</v>
      </c>
      <c r="I425">
        <v>-8</v>
      </c>
      <c r="J425">
        <v>1.18</v>
      </c>
      <c r="K425">
        <v>20.946415250000001</v>
      </c>
      <c r="L425">
        <v>0.629057355215628</v>
      </c>
      <c r="M425">
        <v>1.757888399904058</v>
      </c>
      <c r="N425">
        <v>-0.55623364130900244</v>
      </c>
      <c r="O425">
        <v>-0.1930102881340362</v>
      </c>
    </row>
    <row r="426" spans="1:15" x14ac:dyDescent="0.25">
      <c r="A426">
        <v>109.394148</v>
      </c>
      <c r="B426">
        <v>252.86498675000001</v>
      </c>
      <c r="C426">
        <v>39.742677499999999</v>
      </c>
      <c r="D426">
        <v>-72.028740249999998</v>
      </c>
      <c r="E426">
        <v>160.44624325000001</v>
      </c>
      <c r="F426">
        <v>5.0675964999999996</v>
      </c>
      <c r="G426">
        <v>258.87267324999999</v>
      </c>
      <c r="H426">
        <v>28</v>
      </c>
      <c r="I426">
        <v>-4</v>
      </c>
      <c r="J426">
        <v>1.18</v>
      </c>
      <c r="K426">
        <v>20.74073375</v>
      </c>
      <c r="L426">
        <v>0.39442817034132333</v>
      </c>
      <c r="M426">
        <v>1.8398326931855371</v>
      </c>
      <c r="N426">
        <v>-0.55738199072724148</v>
      </c>
      <c r="O426">
        <v>-0.12011610135931521</v>
      </c>
    </row>
    <row r="427" spans="1:15" x14ac:dyDescent="0.25">
      <c r="A427">
        <v>83.439140500000008</v>
      </c>
      <c r="B427">
        <v>250.94095225000001</v>
      </c>
      <c r="C427">
        <v>64.581849250000005</v>
      </c>
      <c r="D427">
        <v>-68.095129</v>
      </c>
      <c r="E427">
        <v>161.42974874999999</v>
      </c>
      <c r="F427">
        <v>5.1650497499999997</v>
      </c>
      <c r="G427">
        <v>255.91185375000001</v>
      </c>
      <c r="H427">
        <v>28</v>
      </c>
      <c r="I427">
        <v>0</v>
      </c>
      <c r="J427">
        <v>1.18</v>
      </c>
      <c r="K427">
        <v>20.61539475</v>
      </c>
      <c r="L427">
        <v>0.1155315057087358</v>
      </c>
      <c r="M427">
        <v>1.9550563789457269</v>
      </c>
      <c r="N427">
        <v>-0.57900137869763135</v>
      </c>
      <c r="O427">
        <v>-4.24048798091263E-2</v>
      </c>
    </row>
    <row r="428" spans="1:15" x14ac:dyDescent="0.25">
      <c r="A428">
        <v>54.787343999999997</v>
      </c>
      <c r="B428">
        <v>245.07268550000001</v>
      </c>
      <c r="C428">
        <v>87.975828000000007</v>
      </c>
      <c r="D428">
        <v>-67.264703749999995</v>
      </c>
      <c r="E428">
        <v>156.46749525000001</v>
      </c>
      <c r="F428">
        <v>4.8726905</v>
      </c>
      <c r="G428">
        <v>250.67036049999999</v>
      </c>
      <c r="H428">
        <v>28</v>
      </c>
      <c r="I428">
        <v>4</v>
      </c>
      <c r="J428">
        <v>1.18</v>
      </c>
      <c r="K428">
        <v>20.410931250000001</v>
      </c>
      <c r="L428">
        <v>-0.20396697512366591</v>
      </c>
      <c r="M428">
        <v>1.9196458503558009</v>
      </c>
      <c r="N428">
        <v>-0.57897730470897701</v>
      </c>
      <c r="O428">
        <v>-6.8290468118317987E-2</v>
      </c>
    </row>
    <row r="429" spans="1:15" x14ac:dyDescent="0.25">
      <c r="A429">
        <v>25.904407500000001</v>
      </c>
      <c r="B429">
        <v>241.0322305</v>
      </c>
      <c r="C429">
        <v>109.47299575</v>
      </c>
      <c r="D429">
        <v>-70.630122999999998</v>
      </c>
      <c r="E429">
        <v>149.49351874999999</v>
      </c>
      <c r="F429">
        <v>5.0675964999999996</v>
      </c>
      <c r="G429">
        <v>247.70954125</v>
      </c>
      <c r="H429">
        <v>28</v>
      </c>
      <c r="I429">
        <v>8</v>
      </c>
      <c r="J429">
        <v>1.18</v>
      </c>
      <c r="K429">
        <v>20.2794855</v>
      </c>
      <c r="L429">
        <v>-0.48627143538458678</v>
      </c>
      <c r="M429">
        <v>1.813503810184016</v>
      </c>
      <c r="N429">
        <v>-0.57149997686196696</v>
      </c>
      <c r="O429">
        <v>-0.15961176795728529</v>
      </c>
    </row>
    <row r="430" spans="1:15" x14ac:dyDescent="0.25">
      <c r="A430">
        <v>-5.6766310000000004</v>
      </c>
      <c r="B430">
        <v>236.60697525</v>
      </c>
      <c r="C430">
        <v>128.12495225000001</v>
      </c>
      <c r="D430">
        <v>-75.962343250000004</v>
      </c>
      <c r="E430">
        <v>138.40667725</v>
      </c>
      <c r="F430">
        <v>4.8726905</v>
      </c>
      <c r="G430">
        <v>245.82901000000001</v>
      </c>
      <c r="H430">
        <v>28</v>
      </c>
      <c r="I430">
        <v>12</v>
      </c>
      <c r="J430">
        <v>1.18</v>
      </c>
      <c r="K430">
        <v>20.20892125</v>
      </c>
      <c r="L430">
        <v>-0.74654712126239298</v>
      </c>
      <c r="M430">
        <v>1.7440023038849339</v>
      </c>
      <c r="N430">
        <v>-0.59937029145266285</v>
      </c>
      <c r="O430">
        <v>-0.25493742956168253</v>
      </c>
    </row>
    <row r="431" spans="1:15" x14ac:dyDescent="0.25">
      <c r="A431">
        <v>-38.427521749999997</v>
      </c>
      <c r="B431">
        <v>241.36893850000001</v>
      </c>
      <c r="C431">
        <v>149.21566774999999</v>
      </c>
      <c r="D431">
        <v>-86.539383000000001</v>
      </c>
      <c r="E431">
        <v>130.67271825</v>
      </c>
      <c r="F431">
        <v>5.1650495000000003</v>
      </c>
      <c r="G431">
        <v>256.08678424999999</v>
      </c>
      <c r="H431">
        <v>28</v>
      </c>
      <c r="I431">
        <v>16</v>
      </c>
      <c r="J431">
        <v>1.18</v>
      </c>
      <c r="K431">
        <v>20.622526749999999</v>
      </c>
      <c r="L431">
        <v>-0.97147405620749305</v>
      </c>
      <c r="M431">
        <v>1.697613876893175</v>
      </c>
      <c r="N431">
        <v>-0.64928340718870392</v>
      </c>
      <c r="O431">
        <v>-0.35021543054921622</v>
      </c>
    </row>
    <row r="432" spans="1:15" x14ac:dyDescent="0.25">
      <c r="A432">
        <v>-83.657779750000003</v>
      </c>
      <c r="B432">
        <v>264.60153200000002</v>
      </c>
      <c r="C432">
        <v>183.90017700000001</v>
      </c>
      <c r="D432">
        <v>-110.14103299999999</v>
      </c>
      <c r="E432">
        <v>124.68224725</v>
      </c>
      <c r="F432">
        <v>6.1395805000000001</v>
      </c>
      <c r="G432">
        <v>288.56100475</v>
      </c>
      <c r="H432">
        <v>28</v>
      </c>
      <c r="I432">
        <v>20</v>
      </c>
      <c r="J432">
        <v>1.18</v>
      </c>
      <c r="K432">
        <v>21.878705249999999</v>
      </c>
      <c r="L432">
        <v>-1.2074949806323241</v>
      </c>
      <c r="M432">
        <v>1.6912036636984289</v>
      </c>
      <c r="N432">
        <v>-0.73958237649125258</v>
      </c>
      <c r="O432">
        <v>-0.46500721212522061</v>
      </c>
    </row>
    <row r="433" spans="1:15" x14ac:dyDescent="0.25">
      <c r="A433">
        <v>-135.87946324999999</v>
      </c>
      <c r="B433">
        <v>272.77863324999998</v>
      </c>
      <c r="C433">
        <v>210.04904575</v>
      </c>
      <c r="D433">
        <v>-151.48762525000001</v>
      </c>
      <c r="E433">
        <v>104.9673445</v>
      </c>
      <c r="F433">
        <v>6.7730255000000001</v>
      </c>
      <c r="G433">
        <v>311.52744300000001</v>
      </c>
      <c r="H433">
        <v>28</v>
      </c>
      <c r="I433">
        <v>24</v>
      </c>
      <c r="J433">
        <v>1.18</v>
      </c>
      <c r="K433">
        <v>22.727344250000002</v>
      </c>
      <c r="L433">
        <v>-1.3912222147249851</v>
      </c>
      <c r="M433">
        <v>1.706261566734296</v>
      </c>
      <c r="N433">
        <v>-0.8307217923526603</v>
      </c>
      <c r="O433">
        <v>-0.60508754052020131</v>
      </c>
    </row>
    <row r="434" spans="1:15" x14ac:dyDescent="0.25">
      <c r="A434">
        <v>-171.05472175</v>
      </c>
      <c r="B434">
        <v>243.4853665</v>
      </c>
      <c r="C434">
        <v>207.6554605</v>
      </c>
      <c r="D434">
        <v>-181.64529049999999</v>
      </c>
      <c r="E434">
        <v>66.02929524999999</v>
      </c>
      <c r="F434">
        <v>6.2370334999999999</v>
      </c>
      <c r="G434">
        <v>294.80275725000001</v>
      </c>
      <c r="H434">
        <v>28</v>
      </c>
      <c r="I434">
        <v>28</v>
      </c>
      <c r="J434">
        <v>1.18</v>
      </c>
      <c r="K434">
        <v>22.115471750000001</v>
      </c>
      <c r="L434">
        <v>-1.562451253260994</v>
      </c>
      <c r="M434">
        <v>1.7539853590624379</v>
      </c>
      <c r="N434">
        <v>-0.9438646243472758</v>
      </c>
      <c r="O434">
        <v>-0.75329683175043072</v>
      </c>
    </row>
    <row r="435" spans="1:15" x14ac:dyDescent="0.25">
      <c r="A435">
        <v>-207.33312950000001</v>
      </c>
      <c r="B435">
        <v>218.37683525</v>
      </c>
      <c r="C435">
        <v>204.6747475</v>
      </c>
      <c r="D435">
        <v>-217.65965274999999</v>
      </c>
      <c r="E435">
        <v>25.4818675</v>
      </c>
      <c r="F435">
        <v>6.0421275000000003</v>
      </c>
      <c r="G435">
        <v>285.76021574999999</v>
      </c>
      <c r="H435">
        <v>28</v>
      </c>
      <c r="I435">
        <v>32</v>
      </c>
      <c r="J435">
        <v>1.18</v>
      </c>
      <c r="K435">
        <v>21.773800250000001</v>
      </c>
      <c r="L435">
        <v>-1.7312828564224221</v>
      </c>
      <c r="M435">
        <v>1.83225605034813</v>
      </c>
      <c r="N435">
        <v>-1.093709968565759</v>
      </c>
      <c r="O435">
        <v>-0.91831118430353276</v>
      </c>
    </row>
    <row r="436" spans="1:15" x14ac:dyDescent="0.25">
      <c r="A436">
        <v>-239.410946</v>
      </c>
      <c r="B436">
        <v>194.37462975</v>
      </c>
      <c r="C436">
        <v>200.51984024999999</v>
      </c>
      <c r="D436">
        <v>-252.10056700000001</v>
      </c>
      <c r="E436">
        <v>-16.323898499999999</v>
      </c>
      <c r="F436">
        <v>5.8959477500000004</v>
      </c>
      <c r="G436">
        <v>278.11807249999998</v>
      </c>
      <c r="H436">
        <v>28</v>
      </c>
      <c r="I436">
        <v>36</v>
      </c>
      <c r="J436">
        <v>1.18</v>
      </c>
      <c r="K436">
        <v>21.4800635</v>
      </c>
      <c r="L436">
        <v>-1.91749438465936</v>
      </c>
      <c r="M436">
        <v>1.9460463965772521</v>
      </c>
      <c r="N436">
        <v>-1.2833812669444451</v>
      </c>
      <c r="O436">
        <v>-1.096856589325067</v>
      </c>
    </row>
    <row r="437" spans="1:15" x14ac:dyDescent="0.25">
      <c r="A437">
        <v>-264.91088875000003</v>
      </c>
      <c r="B437">
        <v>168.88129050000001</v>
      </c>
      <c r="C437">
        <v>192.75195325000001</v>
      </c>
      <c r="D437">
        <v>-282.25824725000001</v>
      </c>
      <c r="E437">
        <v>-59.185279749999999</v>
      </c>
      <c r="F437">
        <v>5.7984947499999997</v>
      </c>
      <c r="G437">
        <v>271.27614625000001</v>
      </c>
      <c r="H437">
        <v>28</v>
      </c>
      <c r="I437">
        <v>40</v>
      </c>
      <c r="J437">
        <v>1.18</v>
      </c>
      <c r="K437">
        <v>21.212310250000002</v>
      </c>
      <c r="L437">
        <v>-2.1346367950668772</v>
      </c>
      <c r="M437">
        <v>2.1042217601256872</v>
      </c>
      <c r="N437">
        <v>-1.5413500230699191</v>
      </c>
      <c r="O437">
        <v>-1.303103344943936</v>
      </c>
    </row>
    <row r="438" spans="1:15" x14ac:dyDescent="0.25">
      <c r="A438">
        <v>-292.17471325000002</v>
      </c>
      <c r="B438">
        <v>144.0132715</v>
      </c>
      <c r="C438">
        <v>184.93890725</v>
      </c>
      <c r="D438">
        <v>-314.55753325000001</v>
      </c>
      <c r="E438">
        <v>-106.952755</v>
      </c>
      <c r="F438">
        <v>5.1163227500000001</v>
      </c>
      <c r="G438">
        <v>267.49062325</v>
      </c>
      <c r="H438">
        <v>28</v>
      </c>
      <c r="I438">
        <v>44</v>
      </c>
      <c r="J438">
        <v>1.18</v>
      </c>
      <c r="K438">
        <v>21.087963250000001</v>
      </c>
      <c r="L438">
        <v>-2.429239933355769</v>
      </c>
      <c r="M438">
        <v>2.3348684944149798</v>
      </c>
      <c r="N438">
        <v>-1.9065658785831709</v>
      </c>
      <c r="O438">
        <v>-1.5706638936241031</v>
      </c>
    </row>
    <row r="439" spans="1:15" x14ac:dyDescent="0.25">
      <c r="A439">
        <v>170.28512549999999</v>
      </c>
      <c r="B439">
        <v>135.64376425</v>
      </c>
      <c r="C439">
        <v>-319.87044524999999</v>
      </c>
      <c r="D439">
        <v>-334.92488100000003</v>
      </c>
      <c r="E439">
        <v>-107.621765</v>
      </c>
      <c r="F439">
        <v>5.2137760000000002</v>
      </c>
      <c r="G439">
        <v>260.11299874999997</v>
      </c>
      <c r="H439">
        <v>32</v>
      </c>
      <c r="I439">
        <v>-44</v>
      </c>
      <c r="J439">
        <v>1.18</v>
      </c>
      <c r="K439">
        <v>20.785392250000001</v>
      </c>
      <c r="L439">
        <v>2.2302636274754422</v>
      </c>
      <c r="M439">
        <v>2.1411472142706618</v>
      </c>
      <c r="N439">
        <v>-1.673246150597647</v>
      </c>
      <c r="O439">
        <v>-1.5134266898224471</v>
      </c>
    </row>
    <row r="440" spans="1:15" x14ac:dyDescent="0.25">
      <c r="A440">
        <v>174.031128</v>
      </c>
      <c r="B440">
        <v>155.60552575</v>
      </c>
      <c r="C440">
        <v>-287.98262799999998</v>
      </c>
      <c r="D440">
        <v>-298.34233875000001</v>
      </c>
      <c r="E440">
        <v>-68.640653499999999</v>
      </c>
      <c r="F440">
        <v>5.4086825000000003</v>
      </c>
      <c r="G440">
        <v>257.16712200000001</v>
      </c>
      <c r="H440">
        <v>32</v>
      </c>
      <c r="I440">
        <v>-40</v>
      </c>
      <c r="J440">
        <v>1.18</v>
      </c>
      <c r="K440">
        <v>20.6569395</v>
      </c>
      <c r="L440">
        <v>2.0577846639595818</v>
      </c>
      <c r="M440">
        <v>2.0218694640110879</v>
      </c>
      <c r="N440">
        <v>-1.4511594400553169</v>
      </c>
      <c r="O440">
        <v>-1.329825465095523</v>
      </c>
    </row>
    <row r="441" spans="1:15" x14ac:dyDescent="0.25">
      <c r="A441">
        <v>173.69239825</v>
      </c>
      <c r="B441">
        <v>172.3445395</v>
      </c>
      <c r="C441">
        <v>-257.13218699999999</v>
      </c>
      <c r="D441">
        <v>-263.42062375</v>
      </c>
      <c r="E441">
        <v>-33.361409250000001</v>
      </c>
      <c r="F441">
        <v>5.2625027499999986</v>
      </c>
      <c r="G441">
        <v>253.55117425</v>
      </c>
      <c r="H441">
        <v>32</v>
      </c>
      <c r="I441">
        <v>-36</v>
      </c>
      <c r="J441">
        <v>1.18</v>
      </c>
      <c r="K441">
        <v>20.514095749999999</v>
      </c>
      <c r="L441">
        <v>1.898612094272482</v>
      </c>
      <c r="M441">
        <v>1.920393438770017</v>
      </c>
      <c r="N441">
        <v>-1.26441969443539</v>
      </c>
      <c r="O441">
        <v>-1.170204211182142</v>
      </c>
    </row>
    <row r="442" spans="1:15" x14ac:dyDescent="0.25">
      <c r="A442">
        <v>172.36114499999999</v>
      </c>
      <c r="B442">
        <v>188.746849</v>
      </c>
      <c r="C442">
        <v>-224.97375099999999</v>
      </c>
      <c r="D442">
        <v>-227.14402000000001</v>
      </c>
      <c r="E442">
        <v>-0.35617699999999991</v>
      </c>
      <c r="F442">
        <v>5.0675964999999996</v>
      </c>
      <c r="G442">
        <v>252.02012625</v>
      </c>
      <c r="H442">
        <v>32</v>
      </c>
      <c r="I442">
        <v>-32</v>
      </c>
      <c r="J442">
        <v>1.18</v>
      </c>
      <c r="K442">
        <v>20.458784250000001</v>
      </c>
      <c r="L442">
        <v>1.760445504814206</v>
      </c>
      <c r="M442">
        <v>1.8426629297834729</v>
      </c>
      <c r="N442">
        <v>-1.1182006891611449</v>
      </c>
      <c r="O442">
        <v>-1.024047140458042</v>
      </c>
    </row>
    <row r="443" spans="1:15" x14ac:dyDescent="0.25">
      <c r="A443">
        <v>190.44689174999999</v>
      </c>
      <c r="B443">
        <v>232.22981250000001</v>
      </c>
      <c r="C443">
        <v>-214.64516825000001</v>
      </c>
      <c r="D443">
        <v>-220.0198135</v>
      </c>
      <c r="E443">
        <v>31.338222250000001</v>
      </c>
      <c r="F443">
        <v>6.2370340000000004</v>
      </c>
      <c r="G443">
        <v>285.33676125</v>
      </c>
      <c r="H443">
        <v>32</v>
      </c>
      <c r="I443">
        <v>-28</v>
      </c>
      <c r="J443">
        <v>1.18</v>
      </c>
      <c r="K443">
        <v>21.7496735</v>
      </c>
      <c r="L443">
        <v>1.6290265492661811</v>
      </c>
      <c r="M443">
        <v>1.818664809098212</v>
      </c>
      <c r="N443">
        <v>-1.021421207529388</v>
      </c>
      <c r="O443">
        <v>-0.89905686183377242</v>
      </c>
    </row>
    <row r="444" spans="1:15" x14ac:dyDescent="0.25">
      <c r="A444">
        <v>201.0071605</v>
      </c>
      <c r="B444">
        <v>271.23942575000001</v>
      </c>
      <c r="C444">
        <v>-187.26764675000001</v>
      </c>
      <c r="D444">
        <v>-205.98994450000001</v>
      </c>
      <c r="E444">
        <v>64.419916999999998</v>
      </c>
      <c r="F444">
        <v>6.5293927500000004</v>
      </c>
      <c r="G444">
        <v>313.44799799999998</v>
      </c>
      <c r="H444">
        <v>32</v>
      </c>
      <c r="I444">
        <v>-24</v>
      </c>
      <c r="J444">
        <v>1.18</v>
      </c>
      <c r="K444">
        <v>22.8079125</v>
      </c>
      <c r="L444">
        <v>1.4873712169074429</v>
      </c>
      <c r="M444">
        <v>1.8281312919768591</v>
      </c>
      <c r="N444">
        <v>-0.95396099799780298</v>
      </c>
      <c r="O444">
        <v>-0.77824444816721938</v>
      </c>
    </row>
    <row r="445" spans="1:15" x14ac:dyDescent="0.25">
      <c r="A445">
        <v>180.54193125</v>
      </c>
      <c r="B445">
        <v>271.38372824999999</v>
      </c>
      <c r="C445">
        <v>-133.09894925</v>
      </c>
      <c r="D445">
        <v>-171.37420274999999</v>
      </c>
      <c r="E445">
        <v>85.565378250000009</v>
      </c>
      <c r="F445">
        <v>6.43194</v>
      </c>
      <c r="G445">
        <v>297.740837</v>
      </c>
      <c r="H445">
        <v>32</v>
      </c>
      <c r="I445">
        <v>-20</v>
      </c>
      <c r="J445">
        <v>1.18</v>
      </c>
      <c r="K445">
        <v>22.2203415</v>
      </c>
      <c r="L445">
        <v>1.3189126685433781</v>
      </c>
      <c r="M445">
        <v>1.861879796822641</v>
      </c>
      <c r="N445">
        <v>-0.89224838626175018</v>
      </c>
      <c r="O445">
        <v>-0.6672302195500841</v>
      </c>
    </row>
    <row r="446" spans="1:15" x14ac:dyDescent="0.25">
      <c r="A446">
        <v>160.17539625000001</v>
      </c>
      <c r="B446">
        <v>272.97103874999999</v>
      </c>
      <c r="C446">
        <v>-90.025579249999993</v>
      </c>
      <c r="D446">
        <v>-149.60824199999999</v>
      </c>
      <c r="E446">
        <v>102.64268300000001</v>
      </c>
      <c r="F446">
        <v>6.28576025</v>
      </c>
      <c r="G446">
        <v>288.88108849999998</v>
      </c>
      <c r="H446">
        <v>32</v>
      </c>
      <c r="I446">
        <v>-16</v>
      </c>
      <c r="J446">
        <v>1.18</v>
      </c>
      <c r="K446">
        <v>21.885495250000002</v>
      </c>
      <c r="L446">
        <v>1.1247092725838019</v>
      </c>
      <c r="M446">
        <v>1.8995845119199699</v>
      </c>
      <c r="N446">
        <v>-0.83718774639270521</v>
      </c>
      <c r="O446">
        <v>-0.56685976549647443</v>
      </c>
    </row>
    <row r="447" spans="1:15" x14ac:dyDescent="0.25">
      <c r="A447">
        <v>137.33840925000001</v>
      </c>
      <c r="B447">
        <v>270.61411299999997</v>
      </c>
      <c r="C447">
        <v>-54.078493000000002</v>
      </c>
      <c r="D447">
        <v>-136.62733474999999</v>
      </c>
      <c r="E447">
        <v>113.01424575</v>
      </c>
      <c r="F447">
        <v>5.7497680000000004</v>
      </c>
      <c r="G447">
        <v>279.75853725000002</v>
      </c>
      <c r="H447">
        <v>32</v>
      </c>
      <c r="I447">
        <v>-12</v>
      </c>
      <c r="J447">
        <v>1.18</v>
      </c>
      <c r="K447">
        <v>21.55044225</v>
      </c>
      <c r="L447">
        <v>0.91863495586598731</v>
      </c>
      <c r="M447">
        <v>1.9544869825806459</v>
      </c>
      <c r="N447">
        <v>-0.80027776927287375</v>
      </c>
      <c r="O447">
        <v>-0.48520926855939611</v>
      </c>
    </row>
    <row r="448" spans="1:15" x14ac:dyDescent="0.25">
      <c r="A448">
        <v>113.90714075</v>
      </c>
      <c r="B448">
        <v>269.55590825000002</v>
      </c>
      <c r="C448">
        <v>-22.325982750000001</v>
      </c>
      <c r="D448">
        <v>-128.06080424999999</v>
      </c>
      <c r="E448">
        <v>120.9717275</v>
      </c>
      <c r="F448">
        <v>5.7984945000000003</v>
      </c>
      <c r="G448">
        <v>273.99691775000002</v>
      </c>
      <c r="H448">
        <v>32</v>
      </c>
      <c r="I448">
        <v>-8</v>
      </c>
      <c r="J448">
        <v>1.18</v>
      </c>
      <c r="K448">
        <v>21.320730000000001</v>
      </c>
      <c r="L448">
        <v>0.69447144767111202</v>
      </c>
      <c r="M448">
        <v>2.0269623142420912</v>
      </c>
      <c r="N448">
        <v>-0.7801031571607111</v>
      </c>
      <c r="O448">
        <v>-0.41287510786814152</v>
      </c>
    </row>
    <row r="449" spans="1:15" x14ac:dyDescent="0.25">
      <c r="A449">
        <v>87.918212999999994</v>
      </c>
      <c r="B449">
        <v>268.11289225000002</v>
      </c>
      <c r="C449">
        <v>7.3162727500000004</v>
      </c>
      <c r="D449">
        <v>-120.14988125000001</v>
      </c>
      <c r="E449">
        <v>124.90576925000001</v>
      </c>
      <c r="F449">
        <v>5.7497682499999998</v>
      </c>
      <c r="G449">
        <v>270.33156600000001</v>
      </c>
      <c r="H449">
        <v>32</v>
      </c>
      <c r="I449">
        <v>-4</v>
      </c>
      <c r="J449">
        <v>1.18</v>
      </c>
      <c r="K449">
        <v>21.1764835</v>
      </c>
      <c r="L449">
        <v>0.44451168149836862</v>
      </c>
      <c r="M449">
        <v>2.1412724060401338</v>
      </c>
      <c r="N449">
        <v>-0.80202411805652285</v>
      </c>
      <c r="O449">
        <v>-0.34283961564536902</v>
      </c>
    </row>
    <row r="450" spans="1:15" x14ac:dyDescent="0.25">
      <c r="A450">
        <v>59.620150750000001</v>
      </c>
      <c r="B450">
        <v>262.14840724999999</v>
      </c>
      <c r="C450">
        <v>37.439409499999996</v>
      </c>
      <c r="D450">
        <v>-112.7197305</v>
      </c>
      <c r="E450">
        <v>125.03988649999999</v>
      </c>
      <c r="F450">
        <v>5.5061355000000001</v>
      </c>
      <c r="G450">
        <v>263.66461924999999</v>
      </c>
      <c r="H450">
        <v>32</v>
      </c>
      <c r="I450">
        <v>0</v>
      </c>
      <c r="J450">
        <v>1.18</v>
      </c>
      <c r="K450">
        <v>20.917855249999999</v>
      </c>
      <c r="L450">
        <v>0.1363710463476199</v>
      </c>
      <c r="M450">
        <v>2.304358559095105</v>
      </c>
      <c r="N450">
        <v>-0.85216108572559501</v>
      </c>
      <c r="O450">
        <v>-0.26523941095417197</v>
      </c>
    </row>
    <row r="451" spans="1:15" x14ac:dyDescent="0.25">
      <c r="A451">
        <v>28.702446999999999</v>
      </c>
      <c r="B451">
        <v>259.21426400000001</v>
      </c>
      <c r="C451">
        <v>64.220550750000001</v>
      </c>
      <c r="D451">
        <v>-112.93826300000001</v>
      </c>
      <c r="E451">
        <v>121.15055475</v>
      </c>
      <c r="F451">
        <v>5.1163227500000001</v>
      </c>
      <c r="G451">
        <v>260.76836400000002</v>
      </c>
      <c r="H451">
        <v>32</v>
      </c>
      <c r="I451">
        <v>4</v>
      </c>
      <c r="J451">
        <v>1.18</v>
      </c>
      <c r="K451">
        <v>20.816063499999998</v>
      </c>
      <c r="L451">
        <v>-0.2175002875545434</v>
      </c>
      <c r="M451">
        <v>2.279494799214302</v>
      </c>
      <c r="N451">
        <v>-0.85518477969448958</v>
      </c>
      <c r="O451">
        <v>-0.28931661218474369</v>
      </c>
    </row>
    <row r="452" spans="1:15" x14ac:dyDescent="0.25">
      <c r="A452">
        <v>-2.1623135000000002</v>
      </c>
      <c r="B452">
        <v>253.63459</v>
      </c>
      <c r="C452">
        <v>87.072584250000006</v>
      </c>
      <c r="D452">
        <v>-115.47325725</v>
      </c>
      <c r="E452">
        <v>114.31068999999999</v>
      </c>
      <c r="F452">
        <v>5.4086825000000003</v>
      </c>
      <c r="G452">
        <v>256.64696500000002</v>
      </c>
      <c r="H452">
        <v>32</v>
      </c>
      <c r="I452">
        <v>8</v>
      </c>
      <c r="J452">
        <v>1.18</v>
      </c>
      <c r="K452">
        <v>20.635586</v>
      </c>
      <c r="L452">
        <v>-0.51540860695718282</v>
      </c>
      <c r="M452">
        <v>2.1320054241951958</v>
      </c>
      <c r="N452">
        <v>-0.82214850597764144</v>
      </c>
      <c r="O452">
        <v>-0.37097438797367349</v>
      </c>
    </row>
    <row r="453" spans="1:15" x14ac:dyDescent="0.25">
      <c r="A453">
        <v>-35.314515999999998</v>
      </c>
      <c r="B453">
        <v>246.90049725</v>
      </c>
      <c r="C453">
        <v>107.2148935</v>
      </c>
      <c r="D453">
        <v>-119.05720925</v>
      </c>
      <c r="E453">
        <v>103.89442425</v>
      </c>
      <c r="F453">
        <v>5.1163232499999998</v>
      </c>
      <c r="G453">
        <v>252.460182</v>
      </c>
      <c r="H453">
        <v>32</v>
      </c>
      <c r="I453">
        <v>12</v>
      </c>
      <c r="J453">
        <v>1.18</v>
      </c>
      <c r="K453">
        <v>20.47502875</v>
      </c>
      <c r="L453">
        <v>-0.78710803322501333</v>
      </c>
      <c r="M453">
        <v>2.020970651604133</v>
      </c>
      <c r="N453">
        <v>-0.82044226454764624</v>
      </c>
      <c r="O453">
        <v>-0.45450587995165231</v>
      </c>
    </row>
    <row r="454" spans="1:15" x14ac:dyDescent="0.25">
      <c r="A454">
        <v>-69.241603749999996</v>
      </c>
      <c r="B454">
        <v>240.64743025000001</v>
      </c>
      <c r="C454">
        <v>122.344206</v>
      </c>
      <c r="D454">
        <v>-124.258318</v>
      </c>
      <c r="E454">
        <v>90.035879250000008</v>
      </c>
      <c r="F454">
        <v>5.01887025</v>
      </c>
      <c r="G454">
        <v>250.20476550000001</v>
      </c>
      <c r="H454">
        <v>32</v>
      </c>
      <c r="I454">
        <v>16</v>
      </c>
      <c r="J454">
        <v>1.18</v>
      </c>
      <c r="K454">
        <v>20.385515250000001</v>
      </c>
      <c r="L454">
        <v>-1.025698232265098</v>
      </c>
      <c r="M454">
        <v>1.9536037297620079</v>
      </c>
      <c r="N454">
        <v>-0.85750252790467707</v>
      </c>
      <c r="O454">
        <v>-0.54484260348105207</v>
      </c>
    </row>
    <row r="455" spans="1:15" x14ac:dyDescent="0.25">
      <c r="A455">
        <v>-101.67766025</v>
      </c>
      <c r="B455">
        <v>228.71846775</v>
      </c>
      <c r="C455">
        <v>133.5444105</v>
      </c>
      <c r="D455">
        <v>-129.45941550000001</v>
      </c>
      <c r="E455">
        <v>71.393894250000002</v>
      </c>
      <c r="F455">
        <v>4.8726905</v>
      </c>
      <c r="G455">
        <v>245.40312574999999</v>
      </c>
      <c r="H455">
        <v>32</v>
      </c>
      <c r="I455">
        <v>20</v>
      </c>
      <c r="J455">
        <v>1.18</v>
      </c>
      <c r="K455">
        <v>20.191049750000001</v>
      </c>
      <c r="L455">
        <v>-1.2581232565201941</v>
      </c>
      <c r="M455">
        <v>1.9157765510390561</v>
      </c>
      <c r="N455">
        <v>-0.93071748737373161</v>
      </c>
      <c r="O455">
        <v>-0.64419686846113411</v>
      </c>
    </row>
    <row r="456" spans="1:15" x14ac:dyDescent="0.25">
      <c r="A456">
        <v>-136.40232075</v>
      </c>
      <c r="B456">
        <v>223.76410675</v>
      </c>
      <c r="C456">
        <v>144.65428925000001</v>
      </c>
      <c r="D456">
        <v>-154.32856375</v>
      </c>
      <c r="E456">
        <v>50.963712749999999</v>
      </c>
      <c r="F456">
        <v>5.0675964999999996</v>
      </c>
      <c r="G456">
        <v>248.8076365</v>
      </c>
      <c r="H456">
        <v>32</v>
      </c>
      <c r="I456">
        <v>24</v>
      </c>
      <c r="J456">
        <v>1.18</v>
      </c>
      <c r="K456">
        <v>20.325259249999998</v>
      </c>
      <c r="L456">
        <v>-1.4315847770929071</v>
      </c>
      <c r="M456">
        <v>1.925853576671678</v>
      </c>
      <c r="N456">
        <v>-1.0077590925012589</v>
      </c>
      <c r="O456">
        <v>-0.76624888566518545</v>
      </c>
    </row>
    <row r="457" spans="1:15" x14ac:dyDescent="0.25">
      <c r="A457">
        <v>-196.97115725</v>
      </c>
      <c r="B457">
        <v>240.35882925000001</v>
      </c>
      <c r="C457">
        <v>171.48059425</v>
      </c>
      <c r="D457">
        <v>-208.87458774999999</v>
      </c>
      <c r="E457">
        <v>27.98534725</v>
      </c>
      <c r="F457">
        <v>5.9934012499999998</v>
      </c>
      <c r="G457">
        <v>282.01550300000002</v>
      </c>
      <c r="H457">
        <v>32</v>
      </c>
      <c r="I457">
        <v>28</v>
      </c>
      <c r="J457">
        <v>1.18</v>
      </c>
      <c r="K457">
        <v>21.62942275</v>
      </c>
      <c r="L457">
        <v>-1.595668372629574</v>
      </c>
      <c r="M457">
        <v>1.945512292350676</v>
      </c>
      <c r="N457">
        <v>-1.100138906877298</v>
      </c>
      <c r="O457">
        <v>-0.904758351488399</v>
      </c>
    </row>
    <row r="458" spans="1:15" x14ac:dyDescent="0.25">
      <c r="A458">
        <v>-261.57697274999998</v>
      </c>
      <c r="B458">
        <v>246.65999600000001</v>
      </c>
      <c r="C458">
        <v>192.43581775000001</v>
      </c>
      <c r="D458">
        <v>-268.62174225000001</v>
      </c>
      <c r="E458">
        <v>-7.4483364999999999</v>
      </c>
      <c r="F458">
        <v>6.8704789999999996</v>
      </c>
      <c r="G458">
        <v>310.24304975000001</v>
      </c>
      <c r="H458">
        <v>32</v>
      </c>
      <c r="I458">
        <v>32</v>
      </c>
      <c r="J458">
        <v>1.1775</v>
      </c>
      <c r="K458">
        <v>22.699935750000002</v>
      </c>
      <c r="L458">
        <v>-1.7621318800163019</v>
      </c>
      <c r="M458">
        <v>1.999966884596192</v>
      </c>
      <c r="N458">
        <v>-1.2330585799554581</v>
      </c>
      <c r="O458">
        <v>-1.055583282375141</v>
      </c>
    </row>
    <row r="459" spans="1:15" x14ac:dyDescent="0.25">
      <c r="A459">
        <v>-290.07637775000001</v>
      </c>
      <c r="B459">
        <v>218.80974225</v>
      </c>
      <c r="C459">
        <v>187.78411875</v>
      </c>
      <c r="D459">
        <v>-295.23914324999998</v>
      </c>
      <c r="E459">
        <v>-46.563249499999998</v>
      </c>
      <c r="F459">
        <v>6.3832129999999996</v>
      </c>
      <c r="G459">
        <v>299.501465</v>
      </c>
      <c r="H459">
        <v>32</v>
      </c>
      <c r="I459">
        <v>36</v>
      </c>
      <c r="J459">
        <v>1.18</v>
      </c>
      <c r="K459">
        <v>22.289228749999999</v>
      </c>
      <c r="L459">
        <v>-1.9417725741946501</v>
      </c>
      <c r="M459">
        <v>2.0888288165590572</v>
      </c>
      <c r="N459">
        <v>-1.406229346223167</v>
      </c>
      <c r="O459">
        <v>-1.215148637884746</v>
      </c>
    </row>
    <row r="460" spans="1:15" x14ac:dyDescent="0.25">
      <c r="A460">
        <v>-312.666832</v>
      </c>
      <c r="B460">
        <v>192.21009799999999</v>
      </c>
      <c r="C460">
        <v>179.9710695</v>
      </c>
      <c r="D460">
        <v>-322.16251375000002</v>
      </c>
      <c r="E460">
        <v>-88.844825749999998</v>
      </c>
      <c r="F460">
        <v>6.1883072500000003</v>
      </c>
      <c r="G460">
        <v>290.51525874999999</v>
      </c>
      <c r="H460">
        <v>32</v>
      </c>
      <c r="I460">
        <v>40</v>
      </c>
      <c r="J460">
        <v>1.18</v>
      </c>
      <c r="K460">
        <v>21.952445999999998</v>
      </c>
      <c r="L460">
        <v>-2.155338324895709</v>
      </c>
      <c r="M460">
        <v>2.2504394878546652</v>
      </c>
      <c r="N460">
        <v>-1.659760068749456</v>
      </c>
      <c r="O460">
        <v>-1.415798325382881</v>
      </c>
    </row>
    <row r="461" spans="1:15" x14ac:dyDescent="0.25">
      <c r="A461">
        <v>-328.86442575000001</v>
      </c>
      <c r="B461">
        <v>164.88894300000001</v>
      </c>
      <c r="C461">
        <v>169.31281275000001</v>
      </c>
      <c r="D461">
        <v>-343.92848225</v>
      </c>
      <c r="E461">
        <v>-130.85879125</v>
      </c>
      <c r="F461">
        <v>5.9934012499999998</v>
      </c>
      <c r="G461">
        <v>282.07918525000002</v>
      </c>
      <c r="H461">
        <v>32</v>
      </c>
      <c r="I461">
        <v>44</v>
      </c>
      <c r="J461">
        <v>1.18</v>
      </c>
      <c r="K461">
        <v>21.631967</v>
      </c>
      <c r="L461">
        <v>-2.4237805482184092</v>
      </c>
      <c r="M461">
        <v>2.475564822973737</v>
      </c>
      <c r="N461">
        <v>-2.0090745651607862</v>
      </c>
      <c r="O461">
        <v>-1.665831898646146</v>
      </c>
    </row>
    <row r="462" spans="1:15" x14ac:dyDescent="0.25">
      <c r="A462">
        <v>154.48873900000001</v>
      </c>
      <c r="B462">
        <v>151.03596125000001</v>
      </c>
      <c r="C462">
        <v>-365.46957375</v>
      </c>
      <c r="D462">
        <v>-374.47950750000001</v>
      </c>
      <c r="E462">
        <v>-144.952652</v>
      </c>
      <c r="F462">
        <v>5.8959479999999997</v>
      </c>
      <c r="G462">
        <v>276.957764</v>
      </c>
      <c r="H462">
        <v>36</v>
      </c>
      <c r="I462">
        <v>-44</v>
      </c>
      <c r="J462">
        <v>1.18</v>
      </c>
      <c r="K462">
        <v>21.434241750000002</v>
      </c>
      <c r="L462">
        <v>2.3107082492806681</v>
      </c>
      <c r="M462">
        <v>2.3354129976620772</v>
      </c>
      <c r="N462">
        <v>-1.874998991055256</v>
      </c>
      <c r="O462">
        <v>-1.6703814516299831</v>
      </c>
    </row>
    <row r="463" spans="1:15" x14ac:dyDescent="0.25">
      <c r="A463">
        <v>157.18635574999999</v>
      </c>
      <c r="B463">
        <v>170.32430650000001</v>
      </c>
      <c r="C463">
        <v>-326.09465799999998</v>
      </c>
      <c r="D463">
        <v>-332.12764750000002</v>
      </c>
      <c r="E463">
        <v>-103.91989725000001</v>
      </c>
      <c r="F463">
        <v>5.6523149999999998</v>
      </c>
      <c r="G463">
        <v>271.23613</v>
      </c>
      <c r="H463">
        <v>36</v>
      </c>
      <c r="I463">
        <v>-40</v>
      </c>
      <c r="J463">
        <v>1.18</v>
      </c>
      <c r="K463">
        <v>21.216548</v>
      </c>
      <c r="L463">
        <v>2.1461109428265299</v>
      </c>
      <c r="M463">
        <v>2.2312451185790749</v>
      </c>
      <c r="N463">
        <v>-1.6659739675275369</v>
      </c>
      <c r="O463">
        <v>-1.4865936755220051</v>
      </c>
    </row>
    <row r="464" spans="1:15" x14ac:dyDescent="0.25">
      <c r="A464">
        <v>159.07136925</v>
      </c>
      <c r="B464">
        <v>189.32405850000001</v>
      </c>
      <c r="C464">
        <v>-297.67977124999999</v>
      </c>
      <c r="D464">
        <v>-298.82310475000003</v>
      </c>
      <c r="E464">
        <v>-68.283847750000007</v>
      </c>
      <c r="F464">
        <v>5.5061355000000001</v>
      </c>
      <c r="G464">
        <v>268.95549775000001</v>
      </c>
      <c r="H464">
        <v>36</v>
      </c>
      <c r="I464">
        <v>-36</v>
      </c>
      <c r="J464">
        <v>1.18</v>
      </c>
      <c r="K464">
        <v>21.13111825</v>
      </c>
      <c r="L464">
        <v>1.986161733170992</v>
      </c>
      <c r="M464">
        <v>2.1226831229006118</v>
      </c>
      <c r="N464">
        <v>-1.4664721117148951</v>
      </c>
      <c r="O464">
        <v>-1.3208742887569671</v>
      </c>
    </row>
    <row r="465" spans="1:15" x14ac:dyDescent="0.25">
      <c r="A465">
        <v>156.65502925000001</v>
      </c>
      <c r="B465">
        <v>205.63016875</v>
      </c>
      <c r="C465">
        <v>-271.33962274999999</v>
      </c>
      <c r="D465">
        <v>-267.8787155</v>
      </c>
      <c r="E465">
        <v>-38.936509000000001</v>
      </c>
      <c r="F465">
        <v>5.554862</v>
      </c>
      <c r="G465">
        <v>267.62619749999999</v>
      </c>
      <c r="H465">
        <v>36</v>
      </c>
      <c r="I465">
        <v>-32</v>
      </c>
      <c r="J465">
        <v>1.18</v>
      </c>
      <c r="K465">
        <v>21.075782499999999</v>
      </c>
      <c r="L465">
        <v>1.8554363641998639</v>
      </c>
      <c r="M465">
        <v>2.052760202949047</v>
      </c>
      <c r="N465">
        <v>-1.329030703927448</v>
      </c>
      <c r="O465">
        <v>-1.1928895763465699</v>
      </c>
    </row>
    <row r="466" spans="1:15" x14ac:dyDescent="0.25">
      <c r="A466">
        <v>149.78506475</v>
      </c>
      <c r="B466">
        <v>218.13632974999999</v>
      </c>
      <c r="C466">
        <v>-229.79975475000001</v>
      </c>
      <c r="D466">
        <v>-231.1650425</v>
      </c>
      <c r="E466">
        <v>-8.2957517499999991</v>
      </c>
      <c r="F466">
        <v>5.3599560000000004</v>
      </c>
      <c r="G466">
        <v>262.79377749999998</v>
      </c>
      <c r="H466">
        <v>36</v>
      </c>
      <c r="I466">
        <v>-28</v>
      </c>
      <c r="J466">
        <v>1.18</v>
      </c>
      <c r="K466">
        <v>20.888475</v>
      </c>
      <c r="L466">
        <v>1.708406552314941</v>
      </c>
      <c r="M466">
        <v>2.0221853223851358</v>
      </c>
      <c r="N466">
        <v>-1.22011826767968</v>
      </c>
      <c r="O466">
        <v>-1.0614633889766361</v>
      </c>
    </row>
    <row r="467" spans="1:15" x14ac:dyDescent="0.25">
      <c r="A467">
        <v>141.75202924999999</v>
      </c>
      <c r="B467">
        <v>229.92097849999999</v>
      </c>
      <c r="C467">
        <v>-191.91325749999999</v>
      </c>
      <c r="D467">
        <v>-205.68400199999999</v>
      </c>
      <c r="E467">
        <v>13.50092925</v>
      </c>
      <c r="F467">
        <v>5.4086825000000003</v>
      </c>
      <c r="G467">
        <v>261.40856174999999</v>
      </c>
      <c r="H467">
        <v>36</v>
      </c>
      <c r="I467">
        <v>-24</v>
      </c>
      <c r="J467">
        <v>1.18</v>
      </c>
      <c r="K467">
        <v>20.830219750000001</v>
      </c>
      <c r="L467">
        <v>1.5716593235321981</v>
      </c>
      <c r="M467">
        <v>2.051841090881863</v>
      </c>
      <c r="N467">
        <v>-1.1677255610534729</v>
      </c>
      <c r="O467">
        <v>-0.96186603614300636</v>
      </c>
    </row>
    <row r="468" spans="1:15" x14ac:dyDescent="0.25">
      <c r="A468">
        <v>131.55275725000001</v>
      </c>
      <c r="B468">
        <v>239.01200125</v>
      </c>
      <c r="C468">
        <v>-153.1246835</v>
      </c>
      <c r="D468">
        <v>-185.92854299999999</v>
      </c>
      <c r="E468">
        <v>33.171125250000003</v>
      </c>
      <c r="F468">
        <v>5.4086824999999994</v>
      </c>
      <c r="G468">
        <v>259.38291924999999</v>
      </c>
      <c r="H468">
        <v>36</v>
      </c>
      <c r="I468">
        <v>-20</v>
      </c>
      <c r="J468">
        <v>1.18</v>
      </c>
      <c r="K468">
        <v>20.74764025</v>
      </c>
      <c r="L468">
        <v>1.404444756198737</v>
      </c>
      <c r="M468">
        <v>2.0964314228508432</v>
      </c>
      <c r="N468">
        <v>-1.1160127499549051</v>
      </c>
      <c r="O468">
        <v>-0.86302511688486072</v>
      </c>
    </row>
    <row r="469" spans="1:15" x14ac:dyDescent="0.25">
      <c r="A469">
        <v>117.3369045</v>
      </c>
      <c r="B469">
        <v>243.62966950000001</v>
      </c>
      <c r="C469">
        <v>-117.76392925</v>
      </c>
      <c r="D469">
        <v>-171.02454775000001</v>
      </c>
      <c r="E469">
        <v>47.744953250000002</v>
      </c>
      <c r="F469">
        <v>5.2625027499999986</v>
      </c>
      <c r="G469">
        <v>255.98159375</v>
      </c>
      <c r="H469">
        <v>36</v>
      </c>
      <c r="I469">
        <v>-16</v>
      </c>
      <c r="J469">
        <v>1.18</v>
      </c>
      <c r="K469">
        <v>20.614256999999998</v>
      </c>
      <c r="L469">
        <v>1.223587230670766</v>
      </c>
      <c r="M469">
        <v>2.1580979550332051</v>
      </c>
      <c r="N469">
        <v>-1.083785433370718</v>
      </c>
      <c r="O469">
        <v>-0.77889355424089646</v>
      </c>
    </row>
    <row r="470" spans="1:15" x14ac:dyDescent="0.25">
      <c r="A470">
        <v>99.839757750000004</v>
      </c>
      <c r="B470">
        <v>249.35365300000001</v>
      </c>
      <c r="C470">
        <v>-85.470178750000002</v>
      </c>
      <c r="D470">
        <v>-164.993019</v>
      </c>
      <c r="E470">
        <v>59.591776750000001</v>
      </c>
      <c r="F470">
        <v>4.8239642500000004</v>
      </c>
      <c r="G470">
        <v>254.95597050000001</v>
      </c>
      <c r="H470">
        <v>36</v>
      </c>
      <c r="I470">
        <v>-12</v>
      </c>
      <c r="J470">
        <v>1.18</v>
      </c>
      <c r="K470">
        <v>20.590107249999999</v>
      </c>
      <c r="L470">
        <v>1.0026375226608799</v>
      </c>
      <c r="M470">
        <v>2.2418525754765839</v>
      </c>
      <c r="N470">
        <v>-1.057040131247089</v>
      </c>
      <c r="O470">
        <v>-0.70367684647299367</v>
      </c>
    </row>
    <row r="471" spans="1:15" x14ac:dyDescent="0.25">
      <c r="A471">
        <v>79.693630249999998</v>
      </c>
      <c r="B471">
        <v>249.4498365</v>
      </c>
      <c r="C471">
        <v>-53.943183750000003</v>
      </c>
      <c r="D471">
        <v>-157.60657125</v>
      </c>
      <c r="E471">
        <v>67.683381999999995</v>
      </c>
      <c r="F471">
        <v>5.0675969999999992</v>
      </c>
      <c r="G471">
        <v>252.12541575</v>
      </c>
      <c r="H471">
        <v>36</v>
      </c>
      <c r="I471">
        <v>-8</v>
      </c>
      <c r="J471">
        <v>1.18</v>
      </c>
      <c r="K471">
        <v>20.463187000000001</v>
      </c>
      <c r="L471">
        <v>0.77040582822486359</v>
      </c>
      <c r="M471">
        <v>2.3467433614474689</v>
      </c>
      <c r="N471">
        <v>-1.063357543505814</v>
      </c>
      <c r="O471">
        <v>-0.6390125668358061</v>
      </c>
    </row>
    <row r="472" spans="1:15" x14ac:dyDescent="0.25">
      <c r="A472">
        <v>58.487986499999998</v>
      </c>
      <c r="B472">
        <v>257.72315225</v>
      </c>
      <c r="C472">
        <v>-24.806647999999999</v>
      </c>
      <c r="D472">
        <v>-155.46493924999999</v>
      </c>
      <c r="E472">
        <v>75.238525499999994</v>
      </c>
      <c r="F472">
        <v>4.9701434999999998</v>
      </c>
      <c r="G472">
        <v>258.90274049999999</v>
      </c>
      <c r="H472">
        <v>36</v>
      </c>
      <c r="I472">
        <v>-4</v>
      </c>
      <c r="J472">
        <v>1.18</v>
      </c>
      <c r="K472">
        <v>20.745859750000001</v>
      </c>
      <c r="L472">
        <v>0.50367542208293559</v>
      </c>
      <c r="M472">
        <v>2.4985121046606689</v>
      </c>
      <c r="N472">
        <v>-1.11059737944542</v>
      </c>
      <c r="O472">
        <v>-0.57509581425869716</v>
      </c>
    </row>
    <row r="473" spans="1:15" x14ac:dyDescent="0.25">
      <c r="A473">
        <v>33.894482750000002</v>
      </c>
      <c r="B473">
        <v>293.60620875000001</v>
      </c>
      <c r="C473">
        <v>4.5162215000000003</v>
      </c>
      <c r="D473">
        <v>-176.48789174999999</v>
      </c>
      <c r="E473">
        <v>85.028919250000001</v>
      </c>
      <c r="F473">
        <v>6.2370330000000003</v>
      </c>
      <c r="G473">
        <v>294.493988</v>
      </c>
      <c r="H473">
        <v>36</v>
      </c>
      <c r="I473">
        <v>0</v>
      </c>
      <c r="J473">
        <v>1.18</v>
      </c>
      <c r="K473">
        <v>22.103583749999999</v>
      </c>
      <c r="L473">
        <v>0.17182945441541911</v>
      </c>
      <c r="M473">
        <v>2.749002961712387</v>
      </c>
      <c r="N473">
        <v>-1.2249760463538271</v>
      </c>
      <c r="O473">
        <v>-0.53934199306714237</v>
      </c>
    </row>
    <row r="474" spans="1:15" x14ac:dyDescent="0.25">
      <c r="A474">
        <v>9.0601499999999974E-2</v>
      </c>
      <c r="B474">
        <v>310.68194549999998</v>
      </c>
      <c r="C474">
        <v>38.162003499999997</v>
      </c>
      <c r="D474">
        <v>-186.97751249999999</v>
      </c>
      <c r="E474">
        <v>88.471203000000003</v>
      </c>
      <c r="F474">
        <v>6.6755724999999986</v>
      </c>
      <c r="G474">
        <v>311.22540275</v>
      </c>
      <c r="H474">
        <v>36</v>
      </c>
      <c r="I474">
        <v>4</v>
      </c>
      <c r="J474">
        <v>1.18</v>
      </c>
      <c r="K474">
        <v>22.719714249999999</v>
      </c>
      <c r="L474">
        <v>-0.20924301172785689</v>
      </c>
      <c r="M474">
        <v>2.735750437488083</v>
      </c>
      <c r="N474">
        <v>-1.224563704893413</v>
      </c>
      <c r="O474">
        <v>-0.55037089273144235</v>
      </c>
    </row>
    <row r="475" spans="1:15" x14ac:dyDescent="0.25">
      <c r="A475">
        <v>-40.539621250000003</v>
      </c>
      <c r="B475">
        <v>297.06946549999998</v>
      </c>
      <c r="C475">
        <v>67.336734750000005</v>
      </c>
      <c r="D475">
        <v>-184.52993774999999</v>
      </c>
      <c r="E475">
        <v>78.636106499999997</v>
      </c>
      <c r="F475">
        <v>6.4319397499999997</v>
      </c>
      <c r="G475">
        <v>298.73592374999998</v>
      </c>
      <c r="H475">
        <v>36</v>
      </c>
      <c r="I475">
        <v>8</v>
      </c>
      <c r="J475">
        <v>1.18</v>
      </c>
      <c r="K475">
        <v>22.2582655</v>
      </c>
      <c r="L475">
        <v>-0.56429234092095282</v>
      </c>
      <c r="M475">
        <v>2.5192276929663451</v>
      </c>
      <c r="N475">
        <v>-1.151339334455336</v>
      </c>
      <c r="O475">
        <v>-0.62231427074842649</v>
      </c>
    </row>
    <row r="476" spans="1:15" x14ac:dyDescent="0.25">
      <c r="A476">
        <v>-77.260618250000007</v>
      </c>
      <c r="B476">
        <v>288.12274150000002</v>
      </c>
      <c r="C476">
        <v>88.020992250000006</v>
      </c>
      <c r="D476">
        <v>-187.1086425</v>
      </c>
      <c r="E476">
        <v>66.297527000000002</v>
      </c>
      <c r="F476">
        <v>6.1883067500000006</v>
      </c>
      <c r="G476">
        <v>292.27596299999999</v>
      </c>
      <c r="H476">
        <v>36</v>
      </c>
      <c r="I476">
        <v>12</v>
      </c>
      <c r="J476">
        <v>1.18</v>
      </c>
      <c r="K476">
        <v>22.020315</v>
      </c>
      <c r="L476">
        <v>-0.83271815386958403</v>
      </c>
      <c r="M476">
        <v>2.3943651571403959</v>
      </c>
      <c r="N476">
        <v>-1.1385532174324631</v>
      </c>
      <c r="O476">
        <v>-0.69716209177338162</v>
      </c>
    </row>
    <row r="477" spans="1:15" x14ac:dyDescent="0.25">
      <c r="A477">
        <v>-115.13992325</v>
      </c>
      <c r="B477">
        <v>276.28999325000001</v>
      </c>
      <c r="C477">
        <v>105.95035175</v>
      </c>
      <c r="D477">
        <v>-184.96699525</v>
      </c>
      <c r="E477">
        <v>52.081339</v>
      </c>
      <c r="F477">
        <v>6.09085375</v>
      </c>
      <c r="G477">
        <v>284.32934575000002</v>
      </c>
      <c r="H477">
        <v>36</v>
      </c>
      <c r="I477">
        <v>16</v>
      </c>
      <c r="J477">
        <v>1.18</v>
      </c>
      <c r="K477">
        <v>21.716133500000002</v>
      </c>
      <c r="L477">
        <v>-1.0937834964172759</v>
      </c>
      <c r="M477">
        <v>2.2819438232870368</v>
      </c>
      <c r="N477">
        <v>-1.148992911194028</v>
      </c>
      <c r="O477">
        <v>-0.77248754848833323</v>
      </c>
    </row>
    <row r="478" spans="1:15" x14ac:dyDescent="0.25">
      <c r="A478">
        <v>-151.18761075</v>
      </c>
      <c r="B478">
        <v>265.56355324999998</v>
      </c>
      <c r="C478">
        <v>119.679636</v>
      </c>
      <c r="D478">
        <v>-194.14542750000001</v>
      </c>
      <c r="E478">
        <v>34.55698125</v>
      </c>
      <c r="F478">
        <v>5.8472212499999996</v>
      </c>
      <c r="G478">
        <v>280.35124949999999</v>
      </c>
      <c r="H478">
        <v>36</v>
      </c>
      <c r="I478">
        <v>20</v>
      </c>
      <c r="J478">
        <v>1.18</v>
      </c>
      <c r="K478">
        <v>21.569910499999999</v>
      </c>
      <c r="L478">
        <v>-1.307116863173799</v>
      </c>
      <c r="M478">
        <v>2.2184188221666621</v>
      </c>
      <c r="N478">
        <v>-1.186135873505394</v>
      </c>
      <c r="O478">
        <v>-0.86145066505998313</v>
      </c>
    </row>
    <row r="479" spans="1:15" x14ac:dyDescent="0.25">
      <c r="A479">
        <v>-188.30851749999999</v>
      </c>
      <c r="B479">
        <v>252.09537900000001</v>
      </c>
      <c r="C479">
        <v>129.841114</v>
      </c>
      <c r="D479">
        <v>-211.75923549999999</v>
      </c>
      <c r="E479">
        <v>12.47271475</v>
      </c>
      <c r="F479">
        <v>5.8472212499999996</v>
      </c>
      <c r="G479">
        <v>276.82986475000001</v>
      </c>
      <c r="H479">
        <v>36</v>
      </c>
      <c r="I479">
        <v>24</v>
      </c>
      <c r="J479">
        <v>1.18</v>
      </c>
      <c r="K479">
        <v>21.431111250000001</v>
      </c>
      <c r="L479">
        <v>-1.4971134675978399</v>
      </c>
      <c r="M479">
        <v>2.182788854781323</v>
      </c>
      <c r="N479">
        <v>-1.243997083763791</v>
      </c>
      <c r="O479">
        <v>-0.96881735004219305</v>
      </c>
    </row>
    <row r="480" spans="1:15" x14ac:dyDescent="0.25">
      <c r="A480">
        <v>-222.68162525</v>
      </c>
      <c r="B480">
        <v>235.8373565</v>
      </c>
      <c r="C480">
        <v>135.80252075000001</v>
      </c>
      <c r="D480">
        <v>-232.56366750000001</v>
      </c>
      <c r="E480">
        <v>-13.291042750000001</v>
      </c>
      <c r="F480">
        <v>5.7010415000000014</v>
      </c>
      <c r="G480">
        <v>272.58818074999999</v>
      </c>
      <c r="H480">
        <v>36</v>
      </c>
      <c r="I480">
        <v>28</v>
      </c>
      <c r="J480">
        <v>1.18</v>
      </c>
      <c r="K480">
        <v>21.268544500000001</v>
      </c>
      <c r="L480">
        <v>-1.672567553001219</v>
      </c>
      <c r="M480">
        <v>2.1854121722486131</v>
      </c>
      <c r="N480">
        <v>-1.333820404124979</v>
      </c>
      <c r="O480">
        <v>-1.0886123810155359</v>
      </c>
    </row>
    <row r="481" spans="1:15" x14ac:dyDescent="0.25">
      <c r="A481">
        <v>-258.12468699999999</v>
      </c>
      <c r="B481">
        <v>220.15654774999999</v>
      </c>
      <c r="C481">
        <v>138.82837674999999</v>
      </c>
      <c r="D481">
        <v>-259.66184225000001</v>
      </c>
      <c r="E481">
        <v>-43.485792250000003</v>
      </c>
      <c r="F481">
        <v>5.4574090000000002</v>
      </c>
      <c r="G481">
        <v>270.63597874999999</v>
      </c>
      <c r="H481">
        <v>36</v>
      </c>
      <c r="I481">
        <v>32</v>
      </c>
      <c r="J481">
        <v>1.18</v>
      </c>
      <c r="K481">
        <v>21.200357499999999</v>
      </c>
      <c r="L481">
        <v>-1.842802838574364</v>
      </c>
      <c r="M481">
        <v>2.2275028671599331</v>
      </c>
      <c r="N481">
        <v>-1.458275029078514</v>
      </c>
      <c r="O481">
        <v>-1.227217856754204</v>
      </c>
    </row>
    <row r="482" spans="1:15" x14ac:dyDescent="0.25">
      <c r="A482">
        <v>-287.09557324999997</v>
      </c>
      <c r="B482">
        <v>200.62770449999999</v>
      </c>
      <c r="C482">
        <v>137.51867300000001</v>
      </c>
      <c r="D482">
        <v>-285.18659200000002</v>
      </c>
      <c r="E482">
        <v>-75.687584000000001</v>
      </c>
      <c r="F482">
        <v>5.6035884999999999</v>
      </c>
      <c r="G482">
        <v>266.9549255</v>
      </c>
      <c r="H482">
        <v>36</v>
      </c>
      <c r="I482">
        <v>36</v>
      </c>
      <c r="J482">
        <v>1.18</v>
      </c>
      <c r="K482">
        <v>21.046811000000002</v>
      </c>
      <c r="L482">
        <v>-2.0176163819662558</v>
      </c>
      <c r="M482">
        <v>2.3084376646682951</v>
      </c>
      <c r="N482">
        <v>-1.628123515341835</v>
      </c>
      <c r="O482">
        <v>-1.386269026967208</v>
      </c>
    </row>
    <row r="483" spans="1:15" x14ac:dyDescent="0.25">
      <c r="A483">
        <v>-308.411652</v>
      </c>
      <c r="B483">
        <v>181.57986074999999</v>
      </c>
      <c r="C483">
        <v>135.80251325</v>
      </c>
      <c r="D483">
        <v>-310.44910425</v>
      </c>
      <c r="E483">
        <v>-109.22739824999999</v>
      </c>
      <c r="F483">
        <v>5.4574090000000002</v>
      </c>
      <c r="G483">
        <v>264.41564175000002</v>
      </c>
      <c r="H483">
        <v>36</v>
      </c>
      <c r="I483">
        <v>40</v>
      </c>
      <c r="J483">
        <v>1.18</v>
      </c>
      <c r="K483">
        <v>20.950232750000001</v>
      </c>
      <c r="L483">
        <v>-2.2188299289357221</v>
      </c>
      <c r="M483">
        <v>2.457660989033251</v>
      </c>
      <c r="N483">
        <v>-1.8663403008972199</v>
      </c>
      <c r="O483">
        <v>-1.5728526576219131</v>
      </c>
    </row>
    <row r="484" spans="1:15" x14ac:dyDescent="0.25">
      <c r="A484">
        <v>-326.76847049999998</v>
      </c>
      <c r="B484">
        <v>160.94468325</v>
      </c>
      <c r="C484">
        <v>130.78952000000001</v>
      </c>
      <c r="D484">
        <v>-336.4109115</v>
      </c>
      <c r="E484">
        <v>-145.93386824999999</v>
      </c>
      <c r="F484">
        <v>5.1650497499999997</v>
      </c>
      <c r="G484">
        <v>263.28919999999999</v>
      </c>
      <c r="H484">
        <v>36</v>
      </c>
      <c r="I484">
        <v>44</v>
      </c>
      <c r="J484">
        <v>1.18</v>
      </c>
      <c r="K484">
        <v>20.916463499999999</v>
      </c>
      <c r="L484">
        <v>-2.464565641916864</v>
      </c>
      <c r="M484">
        <v>2.678958407536784</v>
      </c>
      <c r="N484">
        <v>-2.2042341556753962</v>
      </c>
      <c r="O484">
        <v>-1.813885929554073</v>
      </c>
    </row>
    <row r="485" spans="1:15" x14ac:dyDescent="0.25">
      <c r="A485">
        <v>117.78050225</v>
      </c>
      <c r="B485">
        <v>144.39807124999999</v>
      </c>
      <c r="C485">
        <v>-357.9373855</v>
      </c>
      <c r="D485">
        <v>-362.63496400000002</v>
      </c>
      <c r="E485">
        <v>-163.28358424999999</v>
      </c>
      <c r="F485">
        <v>5.1650499999999999</v>
      </c>
      <c r="G485">
        <v>258.63261449999999</v>
      </c>
      <c r="H485">
        <v>40</v>
      </c>
      <c r="I485">
        <v>-44</v>
      </c>
      <c r="J485">
        <v>1.18</v>
      </c>
      <c r="K485">
        <v>20.726939000000002</v>
      </c>
      <c r="L485">
        <v>2.4147822660213381</v>
      </c>
      <c r="M485">
        <v>2.573750661778524</v>
      </c>
      <c r="N485">
        <v>-2.141692515466822</v>
      </c>
      <c r="O485">
        <v>-1.855059120283596</v>
      </c>
    </row>
    <row r="486" spans="1:15" x14ac:dyDescent="0.25">
      <c r="A486">
        <v>121.8949415</v>
      </c>
      <c r="B486">
        <v>163.83072675</v>
      </c>
      <c r="C486">
        <v>-334.93485275</v>
      </c>
      <c r="D486">
        <v>-335.36195375</v>
      </c>
      <c r="E486">
        <v>-131.70620725000001</v>
      </c>
      <c r="F486">
        <v>5.1163227500000001</v>
      </c>
      <c r="G486">
        <v>257.38213350000001</v>
      </c>
      <c r="H486">
        <v>40</v>
      </c>
      <c r="I486">
        <v>-40</v>
      </c>
      <c r="J486">
        <v>1.18</v>
      </c>
      <c r="K486">
        <v>20.67774575</v>
      </c>
      <c r="L486">
        <v>2.2455213158315459</v>
      </c>
      <c r="M486">
        <v>2.4537604880193711</v>
      </c>
      <c r="N486">
        <v>-1.9125567840849309</v>
      </c>
      <c r="O486">
        <v>-1.672562135054972</v>
      </c>
    </row>
    <row r="487" spans="1:15" x14ac:dyDescent="0.25">
      <c r="A487">
        <v>122.03838924999999</v>
      </c>
      <c r="B487">
        <v>179.99253849999999</v>
      </c>
      <c r="C487">
        <v>-309.04573049999999</v>
      </c>
      <c r="D487">
        <v>-306.12212375000001</v>
      </c>
      <c r="E487">
        <v>-103.7861005</v>
      </c>
      <c r="F487">
        <v>5.1163227500000001</v>
      </c>
      <c r="G487">
        <v>254.71585074999999</v>
      </c>
      <c r="H487">
        <v>40</v>
      </c>
      <c r="I487">
        <v>-36</v>
      </c>
      <c r="J487">
        <v>1.18</v>
      </c>
      <c r="K487">
        <v>20.568177250000002</v>
      </c>
      <c r="L487">
        <v>2.1152723259664161</v>
      </c>
      <c r="M487">
        <v>2.3853071553838938</v>
      </c>
      <c r="N487">
        <v>-1.7591463233669651</v>
      </c>
      <c r="O487">
        <v>-1.5343803258218891</v>
      </c>
    </row>
    <row r="488" spans="1:15" x14ac:dyDescent="0.25">
      <c r="A488">
        <v>119.766081</v>
      </c>
      <c r="B488">
        <v>195.38473875</v>
      </c>
      <c r="C488">
        <v>-278.96202875</v>
      </c>
      <c r="D488">
        <v>-273.99767324999999</v>
      </c>
      <c r="E488">
        <v>-73.234535250000008</v>
      </c>
      <c r="F488">
        <v>4.8726905</v>
      </c>
      <c r="G488">
        <v>252.44949299999999</v>
      </c>
      <c r="H488">
        <v>40</v>
      </c>
      <c r="I488">
        <v>-32</v>
      </c>
      <c r="J488">
        <v>1.18</v>
      </c>
      <c r="K488">
        <v>20.48466925</v>
      </c>
      <c r="L488">
        <v>1.96185577202812</v>
      </c>
      <c r="M488">
        <v>2.3095411301655751</v>
      </c>
      <c r="N488">
        <v>-1.6025393735953699</v>
      </c>
      <c r="O488">
        <v>-1.3843669106077989</v>
      </c>
    </row>
    <row r="489" spans="1:15" x14ac:dyDescent="0.25">
      <c r="A489">
        <v>115.26097675</v>
      </c>
      <c r="B489">
        <v>208.56430800000001</v>
      </c>
      <c r="C489">
        <v>-251.08838249999999</v>
      </c>
      <c r="D489">
        <v>-250.35231024999999</v>
      </c>
      <c r="E489">
        <v>-51.692343749999999</v>
      </c>
      <c r="F489">
        <v>5.067596</v>
      </c>
      <c r="G489">
        <v>251.76529725</v>
      </c>
      <c r="H489">
        <v>40</v>
      </c>
      <c r="I489">
        <v>-28</v>
      </c>
      <c r="J489">
        <v>1.18</v>
      </c>
      <c r="K489">
        <v>20.448268250000002</v>
      </c>
      <c r="L489">
        <v>1.8407185134619439</v>
      </c>
      <c r="M489">
        <v>2.305829777614528</v>
      </c>
      <c r="N489">
        <v>-1.5247568937393849</v>
      </c>
      <c r="O489">
        <v>-1.285209735267707</v>
      </c>
    </row>
    <row r="490" spans="1:15" x14ac:dyDescent="0.25">
      <c r="A490">
        <v>106.63422774999999</v>
      </c>
      <c r="B490">
        <v>217.94393174999999</v>
      </c>
      <c r="C490">
        <v>-214.46475599999999</v>
      </c>
      <c r="D490">
        <v>-226.83807375000001</v>
      </c>
      <c r="E490">
        <v>-30.685359500000001</v>
      </c>
      <c r="F490">
        <v>5.1163227500000001</v>
      </c>
      <c r="G490">
        <v>248.61865225</v>
      </c>
      <c r="H490">
        <v>40</v>
      </c>
      <c r="I490">
        <v>-24</v>
      </c>
      <c r="J490">
        <v>1.18</v>
      </c>
      <c r="K490">
        <v>20.315404749999999</v>
      </c>
      <c r="L490">
        <v>1.6903043492117591</v>
      </c>
      <c r="M490">
        <v>2.3413900077442542</v>
      </c>
      <c r="N490">
        <v>-1.470304355150762</v>
      </c>
      <c r="O490">
        <v>-1.1884725109392491</v>
      </c>
    </row>
    <row r="491" spans="1:15" x14ac:dyDescent="0.25">
      <c r="A491">
        <v>96.848093250000005</v>
      </c>
      <c r="B491">
        <v>227.13114949999999</v>
      </c>
      <c r="C491">
        <v>-177.07437125000001</v>
      </c>
      <c r="D491">
        <v>-209.136833</v>
      </c>
      <c r="E491">
        <v>-11.284006249999999</v>
      </c>
      <c r="F491">
        <v>4.6777839999999999</v>
      </c>
      <c r="G491">
        <v>247.298134</v>
      </c>
      <c r="H491">
        <v>40</v>
      </c>
      <c r="I491">
        <v>-20</v>
      </c>
      <c r="J491">
        <v>1.18</v>
      </c>
      <c r="K491">
        <v>20.278582750000002</v>
      </c>
      <c r="L491">
        <v>1.506530360089178</v>
      </c>
      <c r="M491">
        <v>2.3994320829055389</v>
      </c>
      <c r="N491">
        <v>-1.422190738625966</v>
      </c>
      <c r="O491">
        <v>-1.087769094383525</v>
      </c>
    </row>
    <row r="492" spans="1:15" x14ac:dyDescent="0.25">
      <c r="A492">
        <v>84.493619999999993</v>
      </c>
      <c r="B492">
        <v>235.404461</v>
      </c>
      <c r="C492">
        <v>-148.11825175000001</v>
      </c>
      <c r="D492">
        <v>-201.83779924999999</v>
      </c>
      <c r="E492">
        <v>0.76000650000000003</v>
      </c>
      <c r="F492">
        <v>4.5803310000000002</v>
      </c>
      <c r="G492">
        <v>246.83228324999999</v>
      </c>
      <c r="H492">
        <v>40</v>
      </c>
      <c r="I492">
        <v>-16</v>
      </c>
      <c r="J492">
        <v>1.18</v>
      </c>
      <c r="K492">
        <v>20.263180250000001</v>
      </c>
      <c r="L492">
        <v>1.32363382297854</v>
      </c>
      <c r="M492">
        <v>2.4880354790505268</v>
      </c>
      <c r="N492">
        <v>-1.4002268573581731</v>
      </c>
      <c r="O492">
        <v>-1.0217415150719129</v>
      </c>
    </row>
    <row r="493" spans="1:15" x14ac:dyDescent="0.25">
      <c r="A493">
        <v>70.532926500000002</v>
      </c>
      <c r="B493">
        <v>247.71821199999999</v>
      </c>
      <c r="C493">
        <v>-121.91340425</v>
      </c>
      <c r="D493">
        <v>-204.76615525</v>
      </c>
      <c r="E493">
        <v>10.326874999999999</v>
      </c>
      <c r="F493">
        <v>5.2137760000000002</v>
      </c>
      <c r="G493">
        <v>254.31580324999999</v>
      </c>
      <c r="H493">
        <v>40</v>
      </c>
      <c r="I493">
        <v>-12</v>
      </c>
      <c r="J493">
        <v>1.1775</v>
      </c>
      <c r="K493">
        <v>20.569578249999999</v>
      </c>
      <c r="L493">
        <v>1.1081405452728881</v>
      </c>
      <c r="M493">
        <v>2.6055031973145142</v>
      </c>
      <c r="N493">
        <v>-1.404943267494734</v>
      </c>
      <c r="O493">
        <v>-0.97057202553382582</v>
      </c>
    </row>
    <row r="494" spans="1:15" x14ac:dyDescent="0.25">
      <c r="A494">
        <v>56.953481750000002</v>
      </c>
      <c r="B494">
        <v>285.57341750000001</v>
      </c>
      <c r="C494">
        <v>-104.86446725</v>
      </c>
      <c r="D494">
        <v>-229.94125349999999</v>
      </c>
      <c r="E494">
        <v>18.1055435</v>
      </c>
      <c r="F494">
        <v>5.9446742500000003</v>
      </c>
      <c r="G494">
        <v>289.25162525000002</v>
      </c>
      <c r="H494">
        <v>40</v>
      </c>
      <c r="I494">
        <v>-8</v>
      </c>
      <c r="J494">
        <v>1.175</v>
      </c>
      <c r="K494">
        <v>21.959606999999998</v>
      </c>
      <c r="L494">
        <v>0.87229235121448478</v>
      </c>
      <c r="M494">
        <v>2.7789738186686521</v>
      </c>
      <c r="N494">
        <v>-1.461663527709955</v>
      </c>
      <c r="O494">
        <v>-0.9344508863729255</v>
      </c>
    </row>
    <row r="495" spans="1:15" x14ac:dyDescent="0.25">
      <c r="A495">
        <v>32.042042250000002</v>
      </c>
      <c r="B495">
        <v>311.45156100000003</v>
      </c>
      <c r="C495">
        <v>-74.825872500000003</v>
      </c>
      <c r="D495">
        <v>-244.53930650000001</v>
      </c>
      <c r="E495">
        <v>24.900703</v>
      </c>
      <c r="F495">
        <v>6.6268459999999996</v>
      </c>
      <c r="G495">
        <v>313.28427149999999</v>
      </c>
      <c r="H495">
        <v>40</v>
      </c>
      <c r="I495">
        <v>-4</v>
      </c>
      <c r="J495">
        <v>1.18</v>
      </c>
      <c r="K495">
        <v>22.798188750000001</v>
      </c>
      <c r="L495">
        <v>0.57893039698670035</v>
      </c>
      <c r="M495">
        <v>3.0122829823947401</v>
      </c>
      <c r="N495">
        <v>-1.5624280152588761</v>
      </c>
      <c r="O495">
        <v>-0.9010400935082008</v>
      </c>
    </row>
    <row r="496" spans="1:15" x14ac:dyDescent="0.25">
      <c r="A496">
        <v>0.90253850000000002</v>
      </c>
      <c r="B496">
        <v>297.21375275000003</v>
      </c>
      <c r="C496">
        <v>-33.240907749999998</v>
      </c>
      <c r="D496">
        <v>-227.31884775</v>
      </c>
      <c r="E496">
        <v>26.823018000000001</v>
      </c>
      <c r="F496">
        <v>6.3832132499999998</v>
      </c>
      <c r="G496">
        <v>298.78121950000002</v>
      </c>
      <c r="H496">
        <v>40</v>
      </c>
      <c r="I496">
        <v>0</v>
      </c>
      <c r="J496">
        <v>1.18</v>
      </c>
      <c r="K496">
        <v>22.26184125</v>
      </c>
      <c r="L496">
        <v>0.21734225416461081</v>
      </c>
      <c r="M496">
        <v>3.3388514822469908</v>
      </c>
      <c r="N496">
        <v>-1.7311404633366321</v>
      </c>
      <c r="O496">
        <v>-0.86992114663312925</v>
      </c>
    </row>
    <row r="497" spans="1:15" x14ac:dyDescent="0.25">
      <c r="A497">
        <v>-34.147846999999999</v>
      </c>
      <c r="B497">
        <v>286.58351900000002</v>
      </c>
      <c r="C497">
        <v>-4.4859749999999997E-2</v>
      </c>
      <c r="D497">
        <v>-218.97085575</v>
      </c>
      <c r="E497">
        <v>23.559552750000002</v>
      </c>
      <c r="F497">
        <v>5.9934007500000002</v>
      </c>
      <c r="G497">
        <v>287.18730950000003</v>
      </c>
      <c r="H497">
        <v>40</v>
      </c>
      <c r="I497">
        <v>4</v>
      </c>
      <c r="J497">
        <v>1.18</v>
      </c>
      <c r="K497">
        <v>21.831160749999999</v>
      </c>
      <c r="L497">
        <v>-0.22717026524545991</v>
      </c>
      <c r="M497">
        <v>3.36772120102246</v>
      </c>
      <c r="N497">
        <v>-1.756148207117336</v>
      </c>
      <c r="O497">
        <v>-0.88299453186137455</v>
      </c>
    </row>
    <row r="498" spans="1:15" x14ac:dyDescent="0.25">
      <c r="A498">
        <v>-68.570455250000009</v>
      </c>
      <c r="B498">
        <v>277.68490574999998</v>
      </c>
      <c r="C498">
        <v>26.239203750000001</v>
      </c>
      <c r="D498">
        <v>-216.08621575000001</v>
      </c>
      <c r="E498">
        <v>17.300853750000002</v>
      </c>
      <c r="F498">
        <v>5.9934007500000002</v>
      </c>
      <c r="G498">
        <v>279.36707274999998</v>
      </c>
      <c r="H498">
        <v>40</v>
      </c>
      <c r="I498">
        <v>8</v>
      </c>
      <c r="J498">
        <v>1.18</v>
      </c>
      <c r="K498">
        <v>21.525448749999999</v>
      </c>
      <c r="L498">
        <v>-0.59392787233876709</v>
      </c>
      <c r="M498">
        <v>3.0932632519290322</v>
      </c>
      <c r="N498">
        <v>-1.6417371258500879</v>
      </c>
      <c r="O498">
        <v>-0.92917332221129767</v>
      </c>
    </row>
    <row r="499" spans="1:15" x14ac:dyDescent="0.25">
      <c r="A499">
        <v>-103.1191235</v>
      </c>
      <c r="B499">
        <v>269.84450525</v>
      </c>
      <c r="C499">
        <v>48.5492925</v>
      </c>
      <c r="D499">
        <v>-212.8956105</v>
      </c>
      <c r="E499">
        <v>9.5668897499999996</v>
      </c>
      <c r="F499">
        <v>5.8472212499999996</v>
      </c>
      <c r="G499">
        <v>273.76454150000001</v>
      </c>
      <c r="H499">
        <v>40</v>
      </c>
      <c r="I499">
        <v>12</v>
      </c>
      <c r="J499">
        <v>1.18</v>
      </c>
      <c r="K499">
        <v>21.309553749999999</v>
      </c>
      <c r="L499">
        <v>-0.90505482636252299</v>
      </c>
      <c r="M499">
        <v>2.8808902814593278</v>
      </c>
      <c r="N499">
        <v>-1.5767030561359059</v>
      </c>
      <c r="O499">
        <v>-0.97784422959659278</v>
      </c>
    </row>
    <row r="500" spans="1:15" x14ac:dyDescent="0.25">
      <c r="A500">
        <v>-140.366398</v>
      </c>
      <c r="B500">
        <v>262.34080475000002</v>
      </c>
      <c r="C500">
        <v>66.207683500000002</v>
      </c>
      <c r="D500">
        <v>-213.9882925</v>
      </c>
      <c r="E500">
        <v>-1.6056302499999999</v>
      </c>
      <c r="F500">
        <v>5.3599560000000004</v>
      </c>
      <c r="G500">
        <v>270.28294375000002</v>
      </c>
      <c r="H500">
        <v>40</v>
      </c>
      <c r="I500">
        <v>16</v>
      </c>
      <c r="J500">
        <v>1.18</v>
      </c>
      <c r="K500">
        <v>21.19013575</v>
      </c>
      <c r="L500">
        <v>-1.1765914205834289</v>
      </c>
      <c r="M500">
        <v>2.713081095076963</v>
      </c>
      <c r="N500">
        <v>-1.5486482136796691</v>
      </c>
      <c r="O500">
        <v>-1.0397002402926869</v>
      </c>
    </row>
    <row r="501" spans="1:15" x14ac:dyDescent="0.25">
      <c r="A501">
        <v>-174.79362499999999</v>
      </c>
      <c r="B501">
        <v>251.32575199999999</v>
      </c>
      <c r="C501">
        <v>79.485347750000003</v>
      </c>
      <c r="D501">
        <v>-221.15619649999999</v>
      </c>
      <c r="E501">
        <v>-16.7699055</v>
      </c>
      <c r="F501">
        <v>5.5061355000000001</v>
      </c>
      <c r="G501">
        <v>266.20108800000003</v>
      </c>
      <c r="H501">
        <v>40</v>
      </c>
      <c r="I501">
        <v>20</v>
      </c>
      <c r="J501">
        <v>1.18</v>
      </c>
      <c r="K501">
        <v>21.020367499999999</v>
      </c>
      <c r="L501">
        <v>-1.4032571341600519</v>
      </c>
      <c r="M501">
        <v>2.607436317157461</v>
      </c>
      <c r="N501">
        <v>-1.561604122553365</v>
      </c>
      <c r="O501">
        <v>-1.1229204820715919</v>
      </c>
    </row>
    <row r="502" spans="1:15" x14ac:dyDescent="0.25">
      <c r="A502">
        <v>-208.05412674999999</v>
      </c>
      <c r="B502">
        <v>240.02211374999999</v>
      </c>
      <c r="C502">
        <v>89.872636749999998</v>
      </c>
      <c r="D502">
        <v>-234.09340675000001</v>
      </c>
      <c r="E502">
        <v>-34.164221750000003</v>
      </c>
      <c r="F502">
        <v>5.2137764999999998</v>
      </c>
      <c r="G502">
        <v>262.86429600000002</v>
      </c>
      <c r="H502">
        <v>40</v>
      </c>
      <c r="I502">
        <v>24</v>
      </c>
      <c r="J502">
        <v>1.18</v>
      </c>
      <c r="K502">
        <v>20.897260750000001</v>
      </c>
      <c r="L502">
        <v>-1.593970781962635</v>
      </c>
      <c r="M502">
        <v>2.536621765454492</v>
      </c>
      <c r="N502">
        <v>-1.589172765048134</v>
      </c>
      <c r="O502">
        <v>-1.210689554047748</v>
      </c>
    </row>
    <row r="503" spans="1:15" x14ac:dyDescent="0.25">
      <c r="A503">
        <v>-241.859543</v>
      </c>
      <c r="B503">
        <v>228.47796625000001</v>
      </c>
      <c r="C503">
        <v>97.05341525</v>
      </c>
      <c r="D503">
        <v>-251.00790799999999</v>
      </c>
      <c r="E503">
        <v>-55.974021749999999</v>
      </c>
      <c r="F503">
        <v>5.2625027499999986</v>
      </c>
      <c r="G503">
        <v>262.16880025</v>
      </c>
      <c r="H503">
        <v>40</v>
      </c>
      <c r="I503">
        <v>28</v>
      </c>
      <c r="J503">
        <v>1.18</v>
      </c>
      <c r="K503">
        <v>20.867064750000001</v>
      </c>
      <c r="L503">
        <v>-1.7794590394375069</v>
      </c>
      <c r="M503">
        <v>2.5175613334291702</v>
      </c>
      <c r="N503">
        <v>-1.670443839852733</v>
      </c>
      <c r="O503">
        <v>-1.3215391316164851</v>
      </c>
    </row>
    <row r="504" spans="1:15" x14ac:dyDescent="0.25">
      <c r="A504">
        <v>-270.96559124999999</v>
      </c>
      <c r="B504">
        <v>211.78705174999999</v>
      </c>
      <c r="C504">
        <v>100.711544</v>
      </c>
      <c r="D504">
        <v>-268.752861</v>
      </c>
      <c r="E504">
        <v>-80.772079500000004</v>
      </c>
      <c r="F504">
        <v>5.1163227500000001</v>
      </c>
      <c r="G504">
        <v>257.95735925000002</v>
      </c>
      <c r="H504">
        <v>40</v>
      </c>
      <c r="I504">
        <v>32</v>
      </c>
      <c r="J504">
        <v>1.18</v>
      </c>
      <c r="K504">
        <v>20.701307</v>
      </c>
      <c r="L504">
        <v>-1.9656479030280409</v>
      </c>
      <c r="M504">
        <v>2.5413798568449102</v>
      </c>
      <c r="N504">
        <v>-1.791410435786521</v>
      </c>
      <c r="O504">
        <v>-1.454236638102937</v>
      </c>
    </row>
    <row r="505" spans="1:15" x14ac:dyDescent="0.25">
      <c r="A505">
        <v>-299.84636675000002</v>
      </c>
      <c r="B505">
        <v>196.01004775000001</v>
      </c>
      <c r="C505">
        <v>101.52446175</v>
      </c>
      <c r="D505">
        <v>-292.31079099999999</v>
      </c>
      <c r="E505">
        <v>-110.11941525</v>
      </c>
      <c r="F505">
        <v>5.1163227500000001</v>
      </c>
      <c r="G505">
        <v>256.6869585</v>
      </c>
      <c r="H505">
        <v>40</v>
      </c>
      <c r="I505">
        <v>36</v>
      </c>
      <c r="J505">
        <v>1.18</v>
      </c>
      <c r="K505">
        <v>20.649234499999999</v>
      </c>
      <c r="L505">
        <v>-2.158379858623626</v>
      </c>
      <c r="M505">
        <v>2.6259461812519231</v>
      </c>
      <c r="N505">
        <v>-1.9725153593891209</v>
      </c>
      <c r="O505">
        <v>-1.6196835359657931</v>
      </c>
    </row>
    <row r="506" spans="1:15" x14ac:dyDescent="0.25">
      <c r="A506">
        <v>-320.48191850000001</v>
      </c>
      <c r="B506">
        <v>178.83812325</v>
      </c>
      <c r="C506">
        <v>99.717977500000003</v>
      </c>
      <c r="D506">
        <v>-315.34426124999999</v>
      </c>
      <c r="E506">
        <v>-139.466747</v>
      </c>
      <c r="F506">
        <v>5.2137762499999996</v>
      </c>
      <c r="G506">
        <v>255.40653599999999</v>
      </c>
      <c r="H506">
        <v>40</v>
      </c>
      <c r="I506">
        <v>40</v>
      </c>
      <c r="J506">
        <v>1.18</v>
      </c>
      <c r="K506">
        <v>20.59260725</v>
      </c>
      <c r="L506">
        <v>-2.354785018539598</v>
      </c>
      <c r="M506">
        <v>2.7694235644427652</v>
      </c>
      <c r="N506">
        <v>-2.2128912793417301</v>
      </c>
      <c r="O506">
        <v>-1.8108089009242569</v>
      </c>
    </row>
    <row r="507" spans="1:15" x14ac:dyDescent="0.25">
      <c r="A507">
        <v>-339.02275075</v>
      </c>
      <c r="B507">
        <v>158.78015925</v>
      </c>
      <c r="C507">
        <v>95.969524250000006</v>
      </c>
      <c r="D507">
        <v>-338.46513375000001</v>
      </c>
      <c r="E507">
        <v>-170.5535165</v>
      </c>
      <c r="F507">
        <v>5.0675964999999996</v>
      </c>
      <c r="G507">
        <v>251.9253425</v>
      </c>
      <c r="H507">
        <v>40</v>
      </c>
      <c r="I507">
        <v>44</v>
      </c>
      <c r="J507">
        <v>1.18</v>
      </c>
      <c r="K507">
        <v>20.45490075</v>
      </c>
      <c r="L507">
        <v>-2.586337922882366</v>
      </c>
      <c r="M507">
        <v>2.9564829255261982</v>
      </c>
      <c r="N507">
        <v>-2.5119518424834548</v>
      </c>
      <c r="O507">
        <v>-2.0442057736259418</v>
      </c>
    </row>
    <row r="508" spans="1:15" x14ac:dyDescent="0.25">
      <c r="A508">
        <v>101.03852675</v>
      </c>
      <c r="B508">
        <v>166.4762575</v>
      </c>
      <c r="C508">
        <v>-427.39599625</v>
      </c>
      <c r="D508">
        <v>-427.23358150000001</v>
      </c>
      <c r="E508">
        <v>-225.68010699999999</v>
      </c>
      <c r="F508">
        <v>6.2370334999999999</v>
      </c>
      <c r="G508">
        <v>296.21463749999998</v>
      </c>
      <c r="H508">
        <v>44</v>
      </c>
      <c r="I508">
        <v>-44</v>
      </c>
      <c r="J508">
        <v>1.18</v>
      </c>
      <c r="K508">
        <v>22.16945175</v>
      </c>
      <c r="L508">
        <v>2.6208097332859839</v>
      </c>
      <c r="M508">
        <v>2.9445438619310669</v>
      </c>
      <c r="N508">
        <v>-2.5884368195162151</v>
      </c>
      <c r="O508">
        <v>-2.1502501151790199</v>
      </c>
    </row>
    <row r="509" spans="1:15" x14ac:dyDescent="0.25">
      <c r="A509">
        <v>108.755184</v>
      </c>
      <c r="B509">
        <v>196.05815125000001</v>
      </c>
      <c r="C509">
        <v>-426.08800500000001</v>
      </c>
      <c r="D509">
        <v>-423.474785</v>
      </c>
      <c r="E509">
        <v>-204.71773924999999</v>
      </c>
      <c r="F509">
        <v>6.5781194999999997</v>
      </c>
      <c r="G509">
        <v>308.86467750000003</v>
      </c>
      <c r="H509">
        <v>44</v>
      </c>
      <c r="I509">
        <v>-40</v>
      </c>
      <c r="J509">
        <v>1.18</v>
      </c>
      <c r="K509">
        <v>22.635137</v>
      </c>
      <c r="L509">
        <v>2.430406800401169</v>
      </c>
      <c r="M509">
        <v>2.8152491400110029</v>
      </c>
      <c r="N509">
        <v>-2.3337927375106049</v>
      </c>
      <c r="O509">
        <v>-1.9601606895384629</v>
      </c>
    </row>
    <row r="510" spans="1:15" x14ac:dyDescent="0.25">
      <c r="A510">
        <v>106.18296225</v>
      </c>
      <c r="B510">
        <v>208.7086065</v>
      </c>
      <c r="C510">
        <v>-384.95407125000003</v>
      </c>
      <c r="D510">
        <v>-380.68585975000002</v>
      </c>
      <c r="E510">
        <v>-166.00423050000001</v>
      </c>
      <c r="F510">
        <v>6.2370334999999999</v>
      </c>
      <c r="G510">
        <v>297.54080950000002</v>
      </c>
      <c r="H510">
        <v>44</v>
      </c>
      <c r="I510">
        <v>-36</v>
      </c>
      <c r="J510">
        <v>1.18</v>
      </c>
      <c r="K510">
        <v>22.220146</v>
      </c>
      <c r="L510">
        <v>2.2652538469891939</v>
      </c>
      <c r="M510">
        <v>2.7184460107094939</v>
      </c>
      <c r="N510">
        <v>-2.1380115833986011</v>
      </c>
      <c r="O510">
        <v>-1.7944474724638739</v>
      </c>
    </row>
    <row r="511" spans="1:15" x14ac:dyDescent="0.25">
      <c r="A511">
        <v>102.57961075</v>
      </c>
      <c r="B511">
        <v>222.80209375000001</v>
      </c>
      <c r="C511">
        <v>-351.48764799999998</v>
      </c>
      <c r="D511">
        <v>-347.38131700000002</v>
      </c>
      <c r="E511">
        <v>-136.25548925000001</v>
      </c>
      <c r="F511">
        <v>6.0421275000000003</v>
      </c>
      <c r="G511">
        <v>291.77883924999998</v>
      </c>
      <c r="H511">
        <v>44</v>
      </c>
      <c r="I511">
        <v>-32</v>
      </c>
      <c r="J511">
        <v>1.18</v>
      </c>
      <c r="K511">
        <v>22.00680225</v>
      </c>
      <c r="L511">
        <v>2.1300353866547899</v>
      </c>
      <c r="M511">
        <v>2.674766315101063</v>
      </c>
      <c r="N511">
        <v>-2.0079829482922311</v>
      </c>
      <c r="O511">
        <v>-1.6675628804856011</v>
      </c>
    </row>
    <row r="512" spans="1:15" x14ac:dyDescent="0.25">
      <c r="A512">
        <v>93.959778</v>
      </c>
      <c r="B512">
        <v>232.51842500000001</v>
      </c>
      <c r="C512">
        <v>-312.15783699999997</v>
      </c>
      <c r="D512">
        <v>-313.29004700000002</v>
      </c>
      <c r="E512">
        <v>-108.959793</v>
      </c>
      <c r="F512">
        <v>6.0421275000000003</v>
      </c>
      <c r="G512">
        <v>284.06570449999998</v>
      </c>
      <c r="H512">
        <v>44</v>
      </c>
      <c r="I512">
        <v>-28</v>
      </c>
      <c r="J512">
        <v>1.18</v>
      </c>
      <c r="K512">
        <v>21.707747250000001</v>
      </c>
      <c r="L512">
        <v>1.993111935292422</v>
      </c>
      <c r="M512">
        <v>2.6786838167929021</v>
      </c>
      <c r="N512">
        <v>-1.9289132483636311</v>
      </c>
      <c r="O512">
        <v>-1.5644145012695261</v>
      </c>
    </row>
    <row r="513" spans="1:15" x14ac:dyDescent="0.25">
      <c r="A513">
        <v>85.971900750000003</v>
      </c>
      <c r="B513">
        <v>242.42714674999999</v>
      </c>
      <c r="C513">
        <v>-273.32415750000001</v>
      </c>
      <c r="D513">
        <v>-287.28452299999998</v>
      </c>
      <c r="E513">
        <v>-85.365961249999998</v>
      </c>
      <c r="F513">
        <v>5.8959479999999997</v>
      </c>
      <c r="G513">
        <v>280.00736975000001</v>
      </c>
      <c r="H513">
        <v>44</v>
      </c>
      <c r="I513">
        <v>-24</v>
      </c>
      <c r="J513">
        <v>1.18</v>
      </c>
      <c r="K513">
        <v>21.5544805</v>
      </c>
      <c r="L513">
        <v>1.8431489601933551</v>
      </c>
      <c r="M513">
        <v>2.7173661275275021</v>
      </c>
      <c r="N513">
        <v>-1.87435121174871</v>
      </c>
      <c r="O513">
        <v>-1.4681699243712569</v>
      </c>
    </row>
    <row r="514" spans="1:15" x14ac:dyDescent="0.25">
      <c r="A514">
        <v>73.380707000000001</v>
      </c>
      <c r="B514">
        <v>249.93085074999999</v>
      </c>
      <c r="C514">
        <v>-237.60258099999999</v>
      </c>
      <c r="D514">
        <v>-270.54483025000002</v>
      </c>
      <c r="E514">
        <v>-70.112482</v>
      </c>
      <c r="F514">
        <v>5.6523149999999998</v>
      </c>
      <c r="G514">
        <v>276.32569899999999</v>
      </c>
      <c r="H514">
        <v>44</v>
      </c>
      <c r="I514">
        <v>-20</v>
      </c>
      <c r="J514">
        <v>1.18</v>
      </c>
      <c r="K514">
        <v>21.418875499999999</v>
      </c>
      <c r="L514">
        <v>1.6904984782722019</v>
      </c>
      <c r="M514">
        <v>2.8292899359866439</v>
      </c>
      <c r="N514">
        <v>-1.883251047919539</v>
      </c>
      <c r="O514">
        <v>-1.4118585472581859</v>
      </c>
    </row>
    <row r="515" spans="1:15" x14ac:dyDescent="0.25">
      <c r="A515">
        <v>57.310825250000001</v>
      </c>
      <c r="B515">
        <v>254.74091000000001</v>
      </c>
      <c r="C515">
        <v>-200.43772899999999</v>
      </c>
      <c r="D515">
        <v>-257.03945149999998</v>
      </c>
      <c r="E515">
        <v>-56.955240250000003</v>
      </c>
      <c r="F515">
        <v>5.6035884999999999</v>
      </c>
      <c r="G515">
        <v>272.50813299999999</v>
      </c>
      <c r="H515">
        <v>44</v>
      </c>
      <c r="I515">
        <v>-16</v>
      </c>
      <c r="J515">
        <v>1.18</v>
      </c>
      <c r="K515">
        <v>21.269240499999999</v>
      </c>
      <c r="L515">
        <v>1.500462942313338</v>
      </c>
      <c r="M515">
        <v>2.9792714786043089</v>
      </c>
      <c r="N515">
        <v>-1.917970280597302</v>
      </c>
      <c r="O515">
        <v>-1.364208433719456</v>
      </c>
    </row>
    <row r="516" spans="1:15" x14ac:dyDescent="0.25">
      <c r="A516">
        <v>39.621186250000001</v>
      </c>
      <c r="B516">
        <v>259.88767224999998</v>
      </c>
      <c r="C516">
        <v>-166.70068724999999</v>
      </c>
      <c r="D516">
        <v>-253.19324499999999</v>
      </c>
      <c r="E516">
        <v>-47.053857000000001</v>
      </c>
      <c r="F516">
        <v>5.6035884999999999</v>
      </c>
      <c r="G516">
        <v>270.73888425000001</v>
      </c>
      <c r="H516">
        <v>44</v>
      </c>
      <c r="I516">
        <v>-12</v>
      </c>
      <c r="J516">
        <v>1.18</v>
      </c>
      <c r="K516">
        <v>21.19862775</v>
      </c>
      <c r="L516">
        <v>1.26664276880913</v>
      </c>
      <c r="M516">
        <v>3.149870781134422</v>
      </c>
      <c r="N516">
        <v>-1.950996352529168</v>
      </c>
      <c r="O516">
        <v>-1.3233063538023651</v>
      </c>
    </row>
    <row r="517" spans="1:15" x14ac:dyDescent="0.25">
      <c r="A517">
        <v>19.945975499999999</v>
      </c>
      <c r="B517">
        <v>260.08007800000001</v>
      </c>
      <c r="C517">
        <v>-131.79096225000001</v>
      </c>
      <c r="D517">
        <v>-246.50611875000001</v>
      </c>
      <c r="E517">
        <v>-39.293318749999997</v>
      </c>
      <c r="F517">
        <v>5.4574090000000002</v>
      </c>
      <c r="G517">
        <v>266.78585824999999</v>
      </c>
      <c r="H517">
        <v>44</v>
      </c>
      <c r="I517">
        <v>-8</v>
      </c>
      <c r="J517">
        <v>1.18</v>
      </c>
      <c r="K517">
        <v>21.0458915</v>
      </c>
      <c r="L517">
        <v>1.0125436592777199</v>
      </c>
      <c r="M517">
        <v>3.3805513339446072</v>
      </c>
      <c r="N517">
        <v>-2.0425528066838998</v>
      </c>
      <c r="O517">
        <v>-1.2986324057969201</v>
      </c>
    </row>
    <row r="518" spans="1:15" x14ac:dyDescent="0.25">
      <c r="A518">
        <v>-4.8656265000000003</v>
      </c>
      <c r="B518">
        <v>260.51298524999999</v>
      </c>
      <c r="C518">
        <v>-97.783298500000001</v>
      </c>
      <c r="D518">
        <v>-242.09173200000001</v>
      </c>
      <c r="E518">
        <v>-35.903657000000003</v>
      </c>
      <c r="F518">
        <v>5.3112292500000002</v>
      </c>
      <c r="G518">
        <v>264.62501500000002</v>
      </c>
      <c r="H518">
        <v>44</v>
      </c>
      <c r="I518">
        <v>-4</v>
      </c>
      <c r="J518">
        <v>1.18</v>
      </c>
      <c r="K518">
        <v>20.964608999999999</v>
      </c>
      <c r="L518">
        <v>0.69320332305709409</v>
      </c>
      <c r="M518">
        <v>3.7499049240488609</v>
      </c>
      <c r="N518">
        <v>-2.2422346118806988</v>
      </c>
      <c r="O518">
        <v>-1.3074983945915091</v>
      </c>
    </row>
    <row r="519" spans="1:15" x14ac:dyDescent="0.25">
      <c r="A519">
        <v>-31.217534499999999</v>
      </c>
      <c r="B519">
        <v>260.41677850000002</v>
      </c>
      <c r="C519">
        <v>-64.181561500000001</v>
      </c>
      <c r="D519">
        <v>-236.01648349999999</v>
      </c>
      <c r="E519">
        <v>-33.406010500000001</v>
      </c>
      <c r="F519">
        <v>5.4086825000000003</v>
      </c>
      <c r="G519">
        <v>263.47985825000001</v>
      </c>
      <c r="H519">
        <v>44</v>
      </c>
      <c r="I519">
        <v>0</v>
      </c>
      <c r="J519">
        <v>1.18</v>
      </c>
      <c r="K519">
        <v>20.914319249999998</v>
      </c>
      <c r="L519">
        <v>0.28251376019105828</v>
      </c>
      <c r="M519">
        <v>4.2542688466358669</v>
      </c>
      <c r="N519">
        <v>-2.5442313607713309</v>
      </c>
      <c r="O519">
        <v>-1.3326553882909371</v>
      </c>
    </row>
    <row r="520" spans="1:15" x14ac:dyDescent="0.25">
      <c r="A520">
        <v>-59.834107250000002</v>
      </c>
      <c r="B520">
        <v>255.6548195</v>
      </c>
      <c r="C520">
        <v>-35.180336750000002</v>
      </c>
      <c r="D520">
        <v>-231.95177475</v>
      </c>
      <c r="E520">
        <v>-34.342626500000001</v>
      </c>
      <c r="F520">
        <v>5.1650495000000003</v>
      </c>
      <c r="G520">
        <v>259.27793874999998</v>
      </c>
      <c r="H520">
        <v>44</v>
      </c>
      <c r="I520">
        <v>4</v>
      </c>
      <c r="J520">
        <v>1.18</v>
      </c>
      <c r="K520">
        <v>20.75330675</v>
      </c>
      <c r="L520">
        <v>-0.2208590057861004</v>
      </c>
      <c r="M520">
        <v>4.3724047122786596</v>
      </c>
      <c r="N520">
        <v>-2.633167957751589</v>
      </c>
      <c r="O520">
        <v>-1.354650926043969</v>
      </c>
    </row>
    <row r="521" spans="1:15" x14ac:dyDescent="0.25">
      <c r="A521">
        <v>-89.384882000000005</v>
      </c>
      <c r="B521">
        <v>254.01939775</v>
      </c>
      <c r="C521">
        <v>-11.140440249999999</v>
      </c>
      <c r="D521">
        <v>-232.03917325</v>
      </c>
      <c r="E521">
        <v>-36.661869250000002</v>
      </c>
      <c r="F521">
        <v>5.0675964999999996</v>
      </c>
      <c r="G521">
        <v>258.02240749999999</v>
      </c>
      <c r="H521">
        <v>44</v>
      </c>
      <c r="I521">
        <v>8</v>
      </c>
      <c r="J521">
        <v>1.18</v>
      </c>
      <c r="K521">
        <v>20.705963749999999</v>
      </c>
      <c r="L521">
        <v>-0.63071864290029944</v>
      </c>
      <c r="M521">
        <v>3.9183488286276651</v>
      </c>
      <c r="N521">
        <v>-2.3755888120834832</v>
      </c>
      <c r="O521">
        <v>-1.336417816892292</v>
      </c>
    </row>
    <row r="522" spans="1:15" x14ac:dyDescent="0.25">
      <c r="A522">
        <v>-125.201868</v>
      </c>
      <c r="B522">
        <v>250.3637545</v>
      </c>
      <c r="C522">
        <v>8.9421095000000008</v>
      </c>
      <c r="D522">
        <v>-232.43254475000001</v>
      </c>
      <c r="E522">
        <v>-44.600814749999998</v>
      </c>
      <c r="F522">
        <v>5.0675964999999996</v>
      </c>
      <c r="G522">
        <v>256.95685574999999</v>
      </c>
      <c r="H522">
        <v>44</v>
      </c>
      <c r="I522">
        <v>12</v>
      </c>
      <c r="J522">
        <v>1.18</v>
      </c>
      <c r="K522">
        <v>20.662303999999999</v>
      </c>
      <c r="L522">
        <v>-0.99944095145053513</v>
      </c>
      <c r="M522">
        <v>3.597272411548643</v>
      </c>
      <c r="N522">
        <v>-2.2469138931140589</v>
      </c>
      <c r="O522">
        <v>-1.3700890957115459</v>
      </c>
    </row>
    <row r="523" spans="1:15" x14ac:dyDescent="0.25">
      <c r="A523">
        <v>-155.7927895</v>
      </c>
      <c r="B523">
        <v>242.52334200000001</v>
      </c>
      <c r="C523">
        <v>25.381122000000001</v>
      </c>
      <c r="D523">
        <v>-233.39408125</v>
      </c>
      <c r="E523">
        <v>-53.743979250000002</v>
      </c>
      <c r="F523">
        <v>5.1650495000000003</v>
      </c>
      <c r="G523">
        <v>253.18047350000001</v>
      </c>
      <c r="H523">
        <v>44</v>
      </c>
      <c r="I523">
        <v>16</v>
      </c>
      <c r="J523">
        <v>1.18</v>
      </c>
      <c r="K523">
        <v>20.502807000000001</v>
      </c>
      <c r="L523">
        <v>-1.2862377627239909</v>
      </c>
      <c r="M523">
        <v>3.3790154523515632</v>
      </c>
      <c r="N523">
        <v>-2.17915604758613</v>
      </c>
      <c r="O523">
        <v>-1.4182563148107321</v>
      </c>
    </row>
    <row r="524" spans="1:15" x14ac:dyDescent="0.25">
      <c r="A524">
        <v>-190.96668600000001</v>
      </c>
      <c r="B524">
        <v>235.35635375000001</v>
      </c>
      <c r="C524">
        <v>39.60719125</v>
      </c>
      <c r="D524">
        <v>-242.09173200000001</v>
      </c>
      <c r="E524">
        <v>-66.812021250000001</v>
      </c>
      <c r="F524">
        <v>5.067596</v>
      </c>
      <c r="G524">
        <v>252.15470074999999</v>
      </c>
      <c r="H524">
        <v>44</v>
      </c>
      <c r="I524">
        <v>20</v>
      </c>
      <c r="J524">
        <v>1.1775</v>
      </c>
      <c r="K524">
        <v>20.486216500000001</v>
      </c>
      <c r="L524">
        <v>-1.540064387564221</v>
      </c>
      <c r="M524">
        <v>3.189046612524395</v>
      </c>
      <c r="N524">
        <v>-2.1305022575172869</v>
      </c>
      <c r="O524">
        <v>-1.4801233085758621</v>
      </c>
    </row>
    <row r="525" spans="1:15" x14ac:dyDescent="0.25">
      <c r="A525">
        <v>-221.43469974999999</v>
      </c>
      <c r="B525">
        <v>224.77421974999999</v>
      </c>
      <c r="C525">
        <v>50.536424500000003</v>
      </c>
      <c r="D525">
        <v>-251.75092699999999</v>
      </c>
      <c r="E525">
        <v>-81.039676749999998</v>
      </c>
      <c r="F525">
        <v>4.9701434999999998</v>
      </c>
      <c r="G525">
        <v>250.11378124999999</v>
      </c>
      <c r="H525">
        <v>44</v>
      </c>
      <c r="I525">
        <v>24</v>
      </c>
      <c r="J525">
        <v>1.18</v>
      </c>
      <c r="K525">
        <v>20.383756999999999</v>
      </c>
      <c r="L525">
        <v>-1.748448966974959</v>
      </c>
      <c r="M525">
        <v>3.063527539117131</v>
      </c>
      <c r="N525">
        <v>-2.128981637168021</v>
      </c>
      <c r="O525">
        <v>-1.55298349508261</v>
      </c>
    </row>
    <row r="526" spans="1:15" x14ac:dyDescent="0.25">
      <c r="A526">
        <v>-249.818138</v>
      </c>
      <c r="B526">
        <v>213.18197225</v>
      </c>
      <c r="C526">
        <v>57.446230999999997</v>
      </c>
      <c r="D526">
        <v>-261.80347425000002</v>
      </c>
      <c r="E526">
        <v>-97.898788249999996</v>
      </c>
      <c r="F526">
        <v>5.067596</v>
      </c>
      <c r="G526">
        <v>247.63265225000001</v>
      </c>
      <c r="H526">
        <v>44</v>
      </c>
      <c r="I526">
        <v>28</v>
      </c>
      <c r="J526">
        <v>1.18</v>
      </c>
      <c r="K526">
        <v>20.276271999999999</v>
      </c>
      <c r="L526">
        <v>-1.9458044167793751</v>
      </c>
      <c r="M526">
        <v>3.0079106259223471</v>
      </c>
      <c r="N526">
        <v>-2.188138122243664</v>
      </c>
      <c r="O526">
        <v>-1.652053343488125</v>
      </c>
    </row>
    <row r="527" spans="1:15" x14ac:dyDescent="0.25">
      <c r="A527">
        <v>-320.12147525</v>
      </c>
      <c r="B527">
        <v>227.17924475000001</v>
      </c>
      <c r="C527">
        <v>69.459354500000003</v>
      </c>
      <c r="D527">
        <v>-317.267357</v>
      </c>
      <c r="E527">
        <v>-137.37050625000001</v>
      </c>
      <c r="F527">
        <v>5.6035884999999999</v>
      </c>
      <c r="G527">
        <v>280.33493025000001</v>
      </c>
      <c r="H527">
        <v>44</v>
      </c>
      <c r="I527">
        <v>32</v>
      </c>
      <c r="J527">
        <v>1.18</v>
      </c>
      <c r="K527">
        <v>21.578759250000001</v>
      </c>
      <c r="L527">
        <v>-2.1485290907028158</v>
      </c>
      <c r="M527">
        <v>3.0026046908852182</v>
      </c>
      <c r="N527">
        <v>-2.303634054335443</v>
      </c>
      <c r="O527">
        <v>-1.7885002959369929</v>
      </c>
    </row>
    <row r="528" spans="1:15" x14ac:dyDescent="0.25">
      <c r="A528">
        <v>-387.70518499999997</v>
      </c>
      <c r="B528">
        <v>237.85758974999999</v>
      </c>
      <c r="C528">
        <v>79.665994749999996</v>
      </c>
      <c r="D528">
        <v>-380.03027350000002</v>
      </c>
      <c r="E528">
        <v>-184.37977225</v>
      </c>
      <c r="F528">
        <v>6.5781194999999997</v>
      </c>
      <c r="G528">
        <v>312.32392125000001</v>
      </c>
      <c r="H528">
        <v>44</v>
      </c>
      <c r="I528">
        <v>36</v>
      </c>
      <c r="J528">
        <v>1.18</v>
      </c>
      <c r="K528">
        <v>22.76424875</v>
      </c>
      <c r="L528">
        <v>-2.342965112432235</v>
      </c>
      <c r="M528">
        <v>3.0975814353633941</v>
      </c>
      <c r="N528">
        <v>-2.490097930452905</v>
      </c>
      <c r="O528">
        <v>-1.95735067896019</v>
      </c>
    </row>
    <row r="529" spans="1:15" x14ac:dyDescent="0.25">
      <c r="A529">
        <v>-404.73627475000001</v>
      </c>
      <c r="B529">
        <v>210.92123774999999</v>
      </c>
      <c r="C529">
        <v>77.272402</v>
      </c>
      <c r="D529">
        <v>-393.75419649999998</v>
      </c>
      <c r="E529">
        <v>-211.49706649999999</v>
      </c>
      <c r="F529">
        <v>6.2370334999999999</v>
      </c>
      <c r="G529">
        <v>303.50282325000001</v>
      </c>
      <c r="H529">
        <v>44</v>
      </c>
      <c r="I529">
        <v>40</v>
      </c>
      <c r="J529">
        <v>1.18</v>
      </c>
      <c r="K529">
        <v>22.446382</v>
      </c>
      <c r="L529">
        <v>-2.567319230210245</v>
      </c>
      <c r="M529">
        <v>3.2207236953560661</v>
      </c>
      <c r="N529">
        <v>-2.743066523117407</v>
      </c>
      <c r="O529">
        <v>-2.1597291733859851</v>
      </c>
    </row>
    <row r="530" spans="1:15" x14ac:dyDescent="0.25">
      <c r="A530">
        <v>-418.018036</v>
      </c>
      <c r="B530">
        <v>185.33171075000001</v>
      </c>
      <c r="C530">
        <v>72.891679749999994</v>
      </c>
      <c r="D530">
        <v>-403.63191999999998</v>
      </c>
      <c r="E530">
        <v>-239.28335575</v>
      </c>
      <c r="F530">
        <v>6.3344865000000006</v>
      </c>
      <c r="G530">
        <v>295.25430275000002</v>
      </c>
      <c r="H530">
        <v>44</v>
      </c>
      <c r="I530">
        <v>44</v>
      </c>
      <c r="J530">
        <v>1.18</v>
      </c>
      <c r="K530">
        <v>22.129043249999999</v>
      </c>
      <c r="L530">
        <v>-2.861880848003703</v>
      </c>
      <c r="M530">
        <v>3.4336500209331842</v>
      </c>
      <c r="N530">
        <v>-3.1163744094612449</v>
      </c>
      <c r="O530">
        <v>-2.4319948151552029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530"/>
  <sheetViews>
    <sheetView workbookViewId="0">
      <selection activeCell="T22" sqref="T2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56.36316575</v>
      </c>
      <c r="B2">
        <v>-332.40907299999998</v>
      </c>
      <c r="C2">
        <v>-347.69899750000002</v>
      </c>
      <c r="D2">
        <v>141.93399425000001</v>
      </c>
      <c r="E2">
        <v>-163.86339575</v>
      </c>
      <c r="F2">
        <v>5.2625029999999997</v>
      </c>
      <c r="G2">
        <v>243.28479775</v>
      </c>
      <c r="H2">
        <v>-44</v>
      </c>
      <c r="I2">
        <v>-44</v>
      </c>
      <c r="J2">
        <v>1.1775</v>
      </c>
      <c r="K2">
        <v>20.106897249999999</v>
      </c>
      <c r="L2">
        <v>2.2934519826162338</v>
      </c>
      <c r="M2">
        <v>-2.6924811129158241</v>
      </c>
      <c r="N2">
        <v>-2.3111520716681659</v>
      </c>
      <c r="O2">
        <v>-1.9600586748437521</v>
      </c>
    </row>
    <row r="3" spans="1:15" x14ac:dyDescent="0.25">
      <c r="A3">
        <v>58.258482749999999</v>
      </c>
      <c r="B3">
        <v>-306.1713105</v>
      </c>
      <c r="C3">
        <v>-325.05729674999998</v>
      </c>
      <c r="D3">
        <v>156.03978325</v>
      </c>
      <c r="E3">
        <v>-138.44092524999999</v>
      </c>
      <c r="F3">
        <v>5.1650495000000003</v>
      </c>
      <c r="G3">
        <v>238.32225025</v>
      </c>
      <c r="H3">
        <v>-44</v>
      </c>
      <c r="I3">
        <v>-40</v>
      </c>
      <c r="J3">
        <v>1.175</v>
      </c>
      <c r="K3">
        <v>19.9215655</v>
      </c>
      <c r="L3">
        <v>2.1635435283273079</v>
      </c>
      <c r="M3">
        <v>-2.608870027943976</v>
      </c>
      <c r="N3">
        <v>-2.1266062257019041</v>
      </c>
      <c r="O3">
        <v>-1.8105743632537661</v>
      </c>
    </row>
    <row r="4" spans="1:15" x14ac:dyDescent="0.25">
      <c r="A4">
        <v>57.310823249999999</v>
      </c>
      <c r="B4">
        <v>-285.35375974999999</v>
      </c>
      <c r="C4">
        <v>-303.09213275000002</v>
      </c>
      <c r="D4">
        <v>170.14557275000001</v>
      </c>
      <c r="E4">
        <v>-117.74615300000001</v>
      </c>
      <c r="F4">
        <v>5.1163227500000001</v>
      </c>
      <c r="G4">
        <v>235.4407885</v>
      </c>
      <c r="H4">
        <v>-44</v>
      </c>
      <c r="I4">
        <v>-36</v>
      </c>
      <c r="J4">
        <v>1.18</v>
      </c>
      <c r="K4">
        <v>19.758044999999999</v>
      </c>
      <c r="L4">
        <v>2.0423469168617259</v>
      </c>
      <c r="M4">
        <v>-2.581350883483005</v>
      </c>
      <c r="N4">
        <v>-2.0016633296767039</v>
      </c>
      <c r="O4">
        <v>-1.696361336896445</v>
      </c>
    </row>
    <row r="5" spans="1:15" x14ac:dyDescent="0.25">
      <c r="A5">
        <v>54.558098999999999</v>
      </c>
      <c r="B5">
        <v>-264.82401249999998</v>
      </c>
      <c r="C5">
        <v>-274.13600924999997</v>
      </c>
      <c r="D5">
        <v>180.65921025</v>
      </c>
      <c r="E5">
        <v>-99.504419499999997</v>
      </c>
      <c r="F5">
        <v>4.8239642500000004</v>
      </c>
      <c r="G5">
        <v>230.59828949999999</v>
      </c>
      <c r="H5">
        <v>-44</v>
      </c>
      <c r="I5">
        <v>-32</v>
      </c>
      <c r="J5">
        <v>1.18</v>
      </c>
      <c r="K5">
        <v>19.56190775</v>
      </c>
      <c r="L5">
        <v>1.9338176287223969</v>
      </c>
      <c r="M5">
        <v>-2.6209887024500902</v>
      </c>
      <c r="N5">
        <v>-1.9421860035351379</v>
      </c>
      <c r="O5">
        <v>-1.613833167641519</v>
      </c>
    </row>
    <row r="6" spans="1:15" x14ac:dyDescent="0.25">
      <c r="A6">
        <v>50.40645</v>
      </c>
      <c r="B6">
        <v>-248.61129374999999</v>
      </c>
      <c r="C6">
        <v>-244.77396024999999</v>
      </c>
      <c r="D6">
        <v>190.69095974999999</v>
      </c>
      <c r="E6">
        <v>-84.830751499999991</v>
      </c>
      <c r="F6">
        <v>4.7752369999999997</v>
      </c>
      <c r="G6">
        <v>228.50394075</v>
      </c>
      <c r="H6">
        <v>-44</v>
      </c>
      <c r="I6">
        <v>-28</v>
      </c>
      <c r="J6">
        <v>1.18</v>
      </c>
      <c r="K6">
        <v>19.473087249999999</v>
      </c>
      <c r="L6">
        <v>1.823708319851526</v>
      </c>
      <c r="M6">
        <v>-2.7142299854622989</v>
      </c>
      <c r="N6">
        <v>-1.9359729183230781</v>
      </c>
      <c r="O6">
        <v>-1.5536684467195161</v>
      </c>
    </row>
    <row r="7" spans="1:15" x14ac:dyDescent="0.25">
      <c r="A7">
        <v>42.464163499999998</v>
      </c>
      <c r="B7">
        <v>-237.48302100000001</v>
      </c>
      <c r="C7">
        <v>-213.47249224999999</v>
      </c>
      <c r="D7">
        <v>200.15323649999999</v>
      </c>
      <c r="E7">
        <v>-71.985715999999996</v>
      </c>
      <c r="F7">
        <v>4.8726905</v>
      </c>
      <c r="G7">
        <v>227.07648075</v>
      </c>
      <c r="H7">
        <v>-44</v>
      </c>
      <c r="I7">
        <v>-24</v>
      </c>
      <c r="J7">
        <v>1.18</v>
      </c>
      <c r="K7">
        <v>19.406609</v>
      </c>
      <c r="L7">
        <v>1.6674268625635871</v>
      </c>
      <c r="M7">
        <v>-2.8512731420698811</v>
      </c>
      <c r="N7">
        <v>-1.9484680572657549</v>
      </c>
      <c r="O7">
        <v>-1.5007626942893639</v>
      </c>
    </row>
    <row r="8" spans="1:15" x14ac:dyDescent="0.25">
      <c r="A8">
        <v>30.505605249999999</v>
      </c>
      <c r="B8">
        <v>-224.86777499999999</v>
      </c>
      <c r="C8">
        <v>-179.6001435</v>
      </c>
      <c r="D8">
        <v>204.35868825</v>
      </c>
      <c r="E8">
        <v>-62.753344749999997</v>
      </c>
      <c r="F8">
        <v>4.7752374999999994</v>
      </c>
      <c r="G8">
        <v>222.43410499999999</v>
      </c>
      <c r="H8">
        <v>-44</v>
      </c>
      <c r="I8">
        <v>-20</v>
      </c>
      <c r="J8">
        <v>1.18</v>
      </c>
      <c r="K8">
        <v>19.207115999999999</v>
      </c>
      <c r="L8">
        <v>1.50636836524663</v>
      </c>
      <c r="M8">
        <v>-3.0774288252415909</v>
      </c>
      <c r="N8">
        <v>-2.0447567751783349</v>
      </c>
      <c r="O8">
        <v>-1.484190801378612</v>
      </c>
    </row>
    <row r="9" spans="1:15" x14ac:dyDescent="0.25">
      <c r="A9">
        <v>18.501923250000001</v>
      </c>
      <c r="B9">
        <v>-216.37767049999999</v>
      </c>
      <c r="C9">
        <v>-147.93783925</v>
      </c>
      <c r="D9">
        <v>209.57169350000001</v>
      </c>
      <c r="E9">
        <v>-53.208770749999999</v>
      </c>
      <c r="F9">
        <v>4.8239642500000004</v>
      </c>
      <c r="G9">
        <v>221.03339374999999</v>
      </c>
      <c r="H9">
        <v>-44</v>
      </c>
      <c r="I9">
        <v>-16</v>
      </c>
      <c r="J9">
        <v>1.18</v>
      </c>
      <c r="K9">
        <v>19.143056999999999</v>
      </c>
      <c r="L9">
        <v>1.290742064627465</v>
      </c>
      <c r="M9">
        <v>-3.3033008015869929</v>
      </c>
      <c r="N9">
        <v>-2.1268039972768218</v>
      </c>
      <c r="O9">
        <v>-1.450066709618576</v>
      </c>
    </row>
    <row r="10" spans="1:15" x14ac:dyDescent="0.25">
      <c r="A10">
        <v>2.3014637499999999</v>
      </c>
      <c r="B10">
        <v>-209.18268599999999</v>
      </c>
      <c r="C10">
        <v>-114.24589924999999</v>
      </c>
      <c r="D10">
        <v>210.9297105</v>
      </c>
      <c r="E10">
        <v>-46.6524505</v>
      </c>
      <c r="F10">
        <v>4.6290577500000003</v>
      </c>
      <c r="G10">
        <v>218.43204499999999</v>
      </c>
      <c r="H10">
        <v>-44</v>
      </c>
      <c r="I10">
        <v>-12</v>
      </c>
      <c r="J10">
        <v>1.18</v>
      </c>
      <c r="K10">
        <v>19.036220499999999</v>
      </c>
      <c r="L10">
        <v>1.0129470729227581</v>
      </c>
      <c r="M10">
        <v>-3.6512335772844979</v>
      </c>
      <c r="N10">
        <v>-2.3039010337991139</v>
      </c>
      <c r="O10">
        <v>-1.445708604273042</v>
      </c>
    </row>
    <row r="11" spans="1:15" x14ac:dyDescent="0.25">
      <c r="A11">
        <v>-14.146639</v>
      </c>
      <c r="B11">
        <v>-203.09090825000001</v>
      </c>
      <c r="C11">
        <v>-84.342603499999996</v>
      </c>
      <c r="D11">
        <v>212.11249175</v>
      </c>
      <c r="E11">
        <v>-40.497540749999999</v>
      </c>
      <c r="F11">
        <v>4.6290575</v>
      </c>
      <c r="G11">
        <v>215.59060274999999</v>
      </c>
      <c r="H11">
        <v>-44</v>
      </c>
      <c r="I11">
        <v>-8</v>
      </c>
      <c r="J11">
        <v>1.18</v>
      </c>
      <c r="K11">
        <v>18.9093065</v>
      </c>
      <c r="L11">
        <v>0.68006892605924163</v>
      </c>
      <c r="M11">
        <v>-4.0226955102248541</v>
      </c>
      <c r="N11">
        <v>-2.4812012842170001</v>
      </c>
      <c r="O11">
        <v>-1.4372570681475969</v>
      </c>
    </row>
    <row r="12" spans="1:15" x14ac:dyDescent="0.25">
      <c r="A12">
        <v>-39.153491250000002</v>
      </c>
      <c r="B12">
        <v>-228.99291249999999</v>
      </c>
      <c r="C12">
        <v>-65.62486100000001</v>
      </c>
      <c r="D12">
        <v>239.62316125000001</v>
      </c>
      <c r="E12">
        <v>-42.415374749999998</v>
      </c>
      <c r="F12">
        <v>4.9701430000000002</v>
      </c>
      <c r="G12">
        <v>243.19050999999999</v>
      </c>
      <c r="H12">
        <v>-44</v>
      </c>
      <c r="I12">
        <v>-4</v>
      </c>
      <c r="J12">
        <v>1.18</v>
      </c>
      <c r="K12">
        <v>20.093788499999999</v>
      </c>
      <c r="L12">
        <v>0.25228968802810592</v>
      </c>
      <c r="M12">
        <v>-4.4679424351709844</v>
      </c>
      <c r="N12">
        <v>-2.723117682103124</v>
      </c>
      <c r="O12">
        <v>-1.45180435041273</v>
      </c>
    </row>
    <row r="13" spans="1:15" x14ac:dyDescent="0.25">
      <c r="A13">
        <v>-72.174616</v>
      </c>
      <c r="B13">
        <v>-254.70306775</v>
      </c>
      <c r="C13">
        <v>-40.322078750000003</v>
      </c>
      <c r="D13">
        <v>266.6957625</v>
      </c>
      <c r="E13">
        <v>-42.103168500000002</v>
      </c>
      <c r="F13">
        <v>5.6523149999999998</v>
      </c>
      <c r="G13">
        <v>269.69835675000002</v>
      </c>
      <c r="H13">
        <v>-44</v>
      </c>
      <c r="I13">
        <v>0</v>
      </c>
      <c r="J13">
        <v>1.18</v>
      </c>
      <c r="K13">
        <v>21.155022500000001</v>
      </c>
      <c r="L13">
        <v>-0.26251658216608548</v>
      </c>
      <c r="M13">
        <v>-4.29716511277653</v>
      </c>
      <c r="N13">
        <v>-2.569750187363383</v>
      </c>
      <c r="O13">
        <v>-1.3935863367290151</v>
      </c>
    </row>
    <row r="14" spans="1:15" x14ac:dyDescent="0.25">
      <c r="A14">
        <v>-97.545812749999996</v>
      </c>
      <c r="B14">
        <v>-245.92516325</v>
      </c>
      <c r="C14">
        <v>-11.6816765</v>
      </c>
      <c r="D14">
        <v>254.21081924999999</v>
      </c>
      <c r="E14">
        <v>-39.20411575</v>
      </c>
      <c r="F14">
        <v>5.6523149999999998</v>
      </c>
      <c r="G14">
        <v>257.77224749999999</v>
      </c>
      <c r="H14">
        <v>-44</v>
      </c>
      <c r="I14">
        <v>4</v>
      </c>
      <c r="J14">
        <v>1.18</v>
      </c>
      <c r="K14">
        <v>20.67176375</v>
      </c>
      <c r="L14">
        <v>-0.64784186207876915</v>
      </c>
      <c r="M14">
        <v>-3.7738353203430459</v>
      </c>
      <c r="N14">
        <v>-2.2408919800620839</v>
      </c>
      <c r="O14">
        <v>-1.3384898378388901</v>
      </c>
    </row>
    <row r="15" spans="1:15" x14ac:dyDescent="0.25">
      <c r="A15">
        <v>-125.43535824999999</v>
      </c>
      <c r="B15">
        <v>-242.66342549999999</v>
      </c>
      <c r="C15">
        <v>13.006700500000001</v>
      </c>
      <c r="D15">
        <v>245.142822</v>
      </c>
      <c r="E15">
        <v>-38.133698500000001</v>
      </c>
      <c r="F15">
        <v>5.3599559999999986</v>
      </c>
      <c r="G15">
        <v>250.72861900000001</v>
      </c>
      <c r="H15">
        <v>-44</v>
      </c>
      <c r="I15">
        <v>8</v>
      </c>
      <c r="J15">
        <v>1.18</v>
      </c>
      <c r="K15">
        <v>20.393113249999999</v>
      </c>
      <c r="L15">
        <v>-0.94875322939284423</v>
      </c>
      <c r="M15">
        <v>-3.343314971055761</v>
      </c>
      <c r="N15">
        <v>-1.9798490954589949</v>
      </c>
      <c r="O15">
        <v>-1.298159821473625</v>
      </c>
    </row>
    <row r="16" spans="1:15" x14ac:dyDescent="0.25">
      <c r="A16">
        <v>-152.71924225000001</v>
      </c>
      <c r="B16">
        <v>-240.504921</v>
      </c>
      <c r="C16">
        <v>31.478010250000001</v>
      </c>
      <c r="D16">
        <v>235.24248499999999</v>
      </c>
      <c r="E16">
        <v>-40.452939000000001</v>
      </c>
      <c r="F16">
        <v>5.2625029999999997</v>
      </c>
      <c r="G16">
        <v>243.68500524999999</v>
      </c>
      <c r="H16">
        <v>-44</v>
      </c>
      <c r="I16">
        <v>12</v>
      </c>
      <c r="J16">
        <v>1.18</v>
      </c>
      <c r="K16">
        <v>20.102381749999999</v>
      </c>
      <c r="L16">
        <v>-1.1795870383667439</v>
      </c>
      <c r="M16">
        <v>-3.0466518500746891</v>
      </c>
      <c r="N16">
        <v>-1.819660141039682</v>
      </c>
      <c r="O16">
        <v>-1.292807481272451</v>
      </c>
    </row>
    <row r="17" spans="1:15" x14ac:dyDescent="0.25">
      <c r="A17">
        <v>-181.1125945</v>
      </c>
      <c r="B17">
        <v>-239.44965375000001</v>
      </c>
      <c r="C17">
        <v>48.097672750000001</v>
      </c>
      <c r="D17">
        <v>225.69259625000001</v>
      </c>
      <c r="E17">
        <v>-45.269824999999997</v>
      </c>
      <c r="F17">
        <v>5.2137762499999996</v>
      </c>
      <c r="G17">
        <v>238.98871224999999</v>
      </c>
      <c r="H17">
        <v>-44</v>
      </c>
      <c r="I17">
        <v>16</v>
      </c>
      <c r="J17">
        <v>1.18</v>
      </c>
      <c r="K17">
        <v>19.905492750000001</v>
      </c>
      <c r="L17">
        <v>-1.3890524650202321</v>
      </c>
      <c r="M17">
        <v>-2.8189380048111659</v>
      </c>
      <c r="N17">
        <v>-1.7227333317222691</v>
      </c>
      <c r="O17">
        <v>-1.305972326962765</v>
      </c>
    </row>
    <row r="18" spans="1:15" x14ac:dyDescent="0.25">
      <c r="A18">
        <v>-208.14424124999999</v>
      </c>
      <c r="B18">
        <v>-241.03255475</v>
      </c>
      <c r="C18">
        <v>59.975309250000002</v>
      </c>
      <c r="D18">
        <v>216.14272299999999</v>
      </c>
      <c r="E18">
        <v>-52.762763749999998</v>
      </c>
      <c r="F18">
        <v>4.8726909999999997</v>
      </c>
      <c r="G18">
        <v>236.5613515</v>
      </c>
      <c r="H18">
        <v>-44</v>
      </c>
      <c r="I18">
        <v>20</v>
      </c>
      <c r="J18">
        <v>1.18</v>
      </c>
      <c r="K18">
        <v>19.816471249999999</v>
      </c>
      <c r="L18">
        <v>-1.560502183595774</v>
      </c>
      <c r="M18">
        <v>-2.660780880172259</v>
      </c>
      <c r="N18">
        <v>-1.6839498988727091</v>
      </c>
      <c r="O18">
        <v>-1.3355081059628291</v>
      </c>
    </row>
    <row r="19" spans="1:15" x14ac:dyDescent="0.25">
      <c r="A19">
        <v>-231.90221025</v>
      </c>
      <c r="B19">
        <v>-246.50075924999999</v>
      </c>
      <c r="C19">
        <v>66.704465999999996</v>
      </c>
      <c r="D19">
        <v>202.2997665</v>
      </c>
      <c r="E19">
        <v>-63.823761999999988</v>
      </c>
      <c r="F19">
        <v>4.7752374999999994</v>
      </c>
      <c r="G19">
        <v>231.19860075</v>
      </c>
      <c r="H19">
        <v>-44</v>
      </c>
      <c r="I19">
        <v>24</v>
      </c>
      <c r="J19">
        <v>1.18</v>
      </c>
      <c r="K19">
        <v>19.590005250000001</v>
      </c>
      <c r="L19">
        <v>-1.702677516417368</v>
      </c>
      <c r="M19">
        <v>-2.5591575340546409</v>
      </c>
      <c r="N19">
        <v>-1.682319166776663</v>
      </c>
      <c r="O19">
        <v>-1.391184099916885</v>
      </c>
    </row>
    <row r="20" spans="1:15" x14ac:dyDescent="0.25">
      <c r="A20">
        <v>-255.43312449999999</v>
      </c>
      <c r="B20">
        <v>-258.012764</v>
      </c>
      <c r="C20">
        <v>73.478786249999999</v>
      </c>
      <c r="D20">
        <v>190.60334800000001</v>
      </c>
      <c r="E20">
        <v>-78.675836500000003</v>
      </c>
      <c r="F20">
        <v>4.9214172499999993</v>
      </c>
      <c r="G20">
        <v>229.19757874999999</v>
      </c>
      <c r="H20">
        <v>-44</v>
      </c>
      <c r="I20">
        <v>28</v>
      </c>
      <c r="J20">
        <v>1.18</v>
      </c>
      <c r="K20">
        <v>19.49689725</v>
      </c>
      <c r="L20">
        <v>-1.847330739894701</v>
      </c>
      <c r="M20">
        <v>-2.5196881356811511</v>
      </c>
      <c r="N20">
        <v>-1.7292032766069141</v>
      </c>
      <c r="O20">
        <v>-1.4695288906471671</v>
      </c>
    </row>
    <row r="21" spans="1:15" x14ac:dyDescent="0.25">
      <c r="A21">
        <v>-275.87667850000003</v>
      </c>
      <c r="B21">
        <v>-271.05967700000002</v>
      </c>
      <c r="C21">
        <v>75.465919499999998</v>
      </c>
      <c r="D21">
        <v>175.93933849999999</v>
      </c>
      <c r="E21">
        <v>-98.300197749999995</v>
      </c>
      <c r="F21">
        <v>4.8726905</v>
      </c>
      <c r="G21">
        <v>226.07598125000001</v>
      </c>
      <c r="H21">
        <v>-44</v>
      </c>
      <c r="I21">
        <v>32</v>
      </c>
      <c r="J21">
        <v>1.18</v>
      </c>
      <c r="K21">
        <v>19.362870749999999</v>
      </c>
      <c r="L21">
        <v>-2.0057371471820118</v>
      </c>
      <c r="M21">
        <v>-2.5518342150204769</v>
      </c>
      <c r="N21">
        <v>-1.851802152521252</v>
      </c>
      <c r="O21">
        <v>-1.588989991650865</v>
      </c>
    </row>
    <row r="22" spans="1:15" x14ac:dyDescent="0.25">
      <c r="A22">
        <v>-288.80769350000003</v>
      </c>
      <c r="B22">
        <v>-281.75626349999999</v>
      </c>
      <c r="C22">
        <v>76.7304575</v>
      </c>
      <c r="D22">
        <v>160.77092775</v>
      </c>
      <c r="E22">
        <v>-117.70155124999999</v>
      </c>
      <c r="F22">
        <v>4.7752374999999994</v>
      </c>
      <c r="G22">
        <v>222.63420875</v>
      </c>
      <c r="H22">
        <v>-44</v>
      </c>
      <c r="I22">
        <v>36</v>
      </c>
      <c r="J22">
        <v>1.18</v>
      </c>
      <c r="K22">
        <v>19.215938999999999</v>
      </c>
      <c r="L22">
        <v>-2.181294348620094</v>
      </c>
      <c r="M22">
        <v>-2.6407160024257812</v>
      </c>
      <c r="N22">
        <v>-2.0309108086483838</v>
      </c>
      <c r="O22">
        <v>-1.730868183558568</v>
      </c>
    </row>
    <row r="23" spans="1:15" x14ac:dyDescent="0.25">
      <c r="A23">
        <v>-303.94643424999998</v>
      </c>
      <c r="B23">
        <v>-295.39932225000001</v>
      </c>
      <c r="C23">
        <v>76.143348750000001</v>
      </c>
      <c r="D23">
        <v>145.65757375000001</v>
      </c>
      <c r="E23">
        <v>-142.94560999999999</v>
      </c>
      <c r="F23">
        <v>4.6777842500000002</v>
      </c>
      <c r="G23">
        <v>221.8738175</v>
      </c>
      <c r="H23">
        <v>-44</v>
      </c>
      <c r="I23">
        <v>40</v>
      </c>
      <c r="J23">
        <v>1.18</v>
      </c>
      <c r="K23">
        <v>19.186677</v>
      </c>
      <c r="L23">
        <v>-2.4253199341947012</v>
      </c>
      <c r="M23">
        <v>-2.8144167073832671</v>
      </c>
      <c r="N23">
        <v>-2.3280347526446712</v>
      </c>
      <c r="O23">
        <v>-1.942076538677916</v>
      </c>
    </row>
    <row r="24" spans="1:15" x14ac:dyDescent="0.25">
      <c r="A24">
        <v>-319.35552224999998</v>
      </c>
      <c r="B24">
        <v>-307.51438100000001</v>
      </c>
      <c r="C24">
        <v>73.523948499999989</v>
      </c>
      <c r="D24">
        <v>129.0629045</v>
      </c>
      <c r="E24">
        <v>-168.94788725000001</v>
      </c>
      <c r="F24">
        <v>4.6290575</v>
      </c>
      <c r="G24">
        <v>220.59316625</v>
      </c>
      <c r="H24">
        <v>-44</v>
      </c>
      <c r="I24">
        <v>44</v>
      </c>
      <c r="J24">
        <v>1.18</v>
      </c>
      <c r="K24">
        <v>19.13219175</v>
      </c>
      <c r="L24">
        <v>-2.719133905912849</v>
      </c>
      <c r="M24">
        <v>-3.0215717777736502</v>
      </c>
      <c r="N24">
        <v>-2.6960282372947768</v>
      </c>
      <c r="O24">
        <v>-2.2013314338613048</v>
      </c>
    </row>
    <row r="25" spans="1:15" x14ac:dyDescent="0.25">
      <c r="A25">
        <v>78.023946749999993</v>
      </c>
      <c r="B25">
        <v>-299.36003875</v>
      </c>
      <c r="C25">
        <v>-309.58697475000002</v>
      </c>
      <c r="D25">
        <v>127.97592575</v>
      </c>
      <c r="E25">
        <v>-118.32596225</v>
      </c>
      <c r="F25">
        <v>4.5803310000000002</v>
      </c>
      <c r="G25">
        <v>219.95283499999999</v>
      </c>
      <c r="H25">
        <v>-40</v>
      </c>
      <c r="I25">
        <v>-44</v>
      </c>
      <c r="J25">
        <v>1.18</v>
      </c>
      <c r="K25">
        <v>19.105969999999999</v>
      </c>
      <c r="L25">
        <v>2.0823095945458072</v>
      </c>
      <c r="M25">
        <v>-2.2957177991610922</v>
      </c>
      <c r="N25">
        <v>-1.81731636863004</v>
      </c>
      <c r="O25">
        <v>-1.6602853155447579</v>
      </c>
    </row>
    <row r="26" spans="1:15" x14ac:dyDescent="0.25">
      <c r="A26">
        <v>81.408443500000004</v>
      </c>
      <c r="B26">
        <v>-274.82010624999998</v>
      </c>
      <c r="C26">
        <v>-289.2455215</v>
      </c>
      <c r="D26">
        <v>144.93132399999999</v>
      </c>
      <c r="E26">
        <v>-94.8659325</v>
      </c>
      <c r="F26">
        <v>4.4828780000000004</v>
      </c>
      <c r="G26">
        <v>219.31251499999999</v>
      </c>
      <c r="H26">
        <v>-40</v>
      </c>
      <c r="I26">
        <v>-40</v>
      </c>
      <c r="J26">
        <v>1.18</v>
      </c>
      <c r="K26">
        <v>19.081874249999998</v>
      </c>
      <c r="L26">
        <v>1.9803822046771571</v>
      </c>
      <c r="M26">
        <v>-2.2427264171073911</v>
      </c>
      <c r="N26">
        <v>-1.6786947551846569</v>
      </c>
      <c r="O26">
        <v>-1.530842999644771</v>
      </c>
    </row>
    <row r="27" spans="1:15" x14ac:dyDescent="0.25">
      <c r="A27">
        <v>82.220722249999994</v>
      </c>
      <c r="B27">
        <v>-250.67385899999999</v>
      </c>
      <c r="C27">
        <v>-265.83705900000001</v>
      </c>
      <c r="D27">
        <v>158.62438574999999</v>
      </c>
      <c r="E27">
        <v>-72.520925750000004</v>
      </c>
      <c r="F27">
        <v>4.6777839999999999</v>
      </c>
      <c r="G27">
        <v>217.59162125</v>
      </c>
      <c r="H27">
        <v>-40</v>
      </c>
      <c r="I27">
        <v>-36</v>
      </c>
      <c r="J27">
        <v>1.18</v>
      </c>
      <c r="K27">
        <v>18.99659175</v>
      </c>
      <c r="L27">
        <v>1.8739620994479931</v>
      </c>
      <c r="M27">
        <v>-2.2037058305083428</v>
      </c>
      <c r="N27">
        <v>-1.5620038101996041</v>
      </c>
      <c r="O27">
        <v>-1.415656428569972</v>
      </c>
    </row>
    <row r="28" spans="1:15" x14ac:dyDescent="0.25">
      <c r="A28">
        <v>94.134154999999993</v>
      </c>
      <c r="B28">
        <v>-268.46947449999999</v>
      </c>
      <c r="C28">
        <v>-278.87182625000003</v>
      </c>
      <c r="D28">
        <v>196.31075675</v>
      </c>
      <c r="E28">
        <v>-60.523304000000003</v>
      </c>
      <c r="F28">
        <v>5.4574090000000002</v>
      </c>
      <c r="G28">
        <v>247.72707775000001</v>
      </c>
      <c r="H28">
        <v>-40</v>
      </c>
      <c r="I28">
        <v>-32</v>
      </c>
      <c r="J28">
        <v>1.18</v>
      </c>
      <c r="K28">
        <v>20.263850250000001</v>
      </c>
      <c r="L28">
        <v>1.749988616854534</v>
      </c>
      <c r="M28">
        <v>-2.1805761632133001</v>
      </c>
      <c r="N28">
        <v>-1.4461979958847631</v>
      </c>
      <c r="O28">
        <v>-1.3095551583427909</v>
      </c>
    </row>
    <row r="29" spans="1:15" x14ac:dyDescent="0.25">
      <c r="A29">
        <v>96.751499249999995</v>
      </c>
      <c r="B29">
        <v>-273.889725</v>
      </c>
      <c r="C29">
        <v>-268.31771850000001</v>
      </c>
      <c r="D29">
        <v>229.31388874999999</v>
      </c>
      <c r="E29">
        <v>-47.187663000000001</v>
      </c>
      <c r="F29">
        <v>5.9934012499999998</v>
      </c>
      <c r="G29">
        <v>269.69834175</v>
      </c>
      <c r="H29">
        <v>-40</v>
      </c>
      <c r="I29">
        <v>-28</v>
      </c>
      <c r="J29">
        <v>1.18</v>
      </c>
      <c r="K29">
        <v>21.141348499999999</v>
      </c>
      <c r="L29">
        <v>1.6303847182396201</v>
      </c>
      <c r="M29">
        <v>-2.2474000919359218</v>
      </c>
      <c r="N29">
        <v>-1.4152977692555639</v>
      </c>
      <c r="O29">
        <v>-1.237541010129964</v>
      </c>
    </row>
    <row r="30" spans="1:15" x14ac:dyDescent="0.25">
      <c r="A30">
        <v>86.011360249999996</v>
      </c>
      <c r="B30">
        <v>-243.91055299999999</v>
      </c>
      <c r="C30">
        <v>-220.77916325000001</v>
      </c>
      <c r="D30">
        <v>231.21226150000001</v>
      </c>
      <c r="E30">
        <v>-28.945927749999999</v>
      </c>
      <c r="F30">
        <v>5.798495</v>
      </c>
      <c r="G30">
        <v>258.89281449999999</v>
      </c>
      <c r="H30">
        <v>-40</v>
      </c>
      <c r="I30">
        <v>-24</v>
      </c>
      <c r="J30">
        <v>1.18</v>
      </c>
      <c r="K30">
        <v>20.71166075</v>
      </c>
      <c r="L30">
        <v>1.5083194913426221</v>
      </c>
      <c r="M30">
        <v>-2.335925721474557</v>
      </c>
      <c r="N30">
        <v>-1.4151580671209589</v>
      </c>
      <c r="O30">
        <v>-1.17082107313797</v>
      </c>
    </row>
    <row r="31" spans="1:15" x14ac:dyDescent="0.25">
      <c r="A31">
        <v>71.841598250000004</v>
      </c>
      <c r="B31">
        <v>-224.67590724999999</v>
      </c>
      <c r="C31">
        <v>-178.42746324999999</v>
      </c>
      <c r="D31">
        <v>236.469078</v>
      </c>
      <c r="E31">
        <v>-16.636104499999998</v>
      </c>
      <c r="F31">
        <v>5.6035884999999999</v>
      </c>
      <c r="G31">
        <v>253.77018000000001</v>
      </c>
      <c r="H31">
        <v>-40</v>
      </c>
      <c r="I31">
        <v>-20</v>
      </c>
      <c r="J31">
        <v>1.175</v>
      </c>
      <c r="K31">
        <v>20.55279775</v>
      </c>
      <c r="L31">
        <v>1.35342271856782</v>
      </c>
      <c r="M31">
        <v>-2.4939286196277441</v>
      </c>
      <c r="N31">
        <v>-1.4624548801947419</v>
      </c>
      <c r="O31">
        <v>-1.120307316209183</v>
      </c>
    </row>
    <row r="32" spans="1:15" x14ac:dyDescent="0.25">
      <c r="A32">
        <v>56.814429250000003</v>
      </c>
      <c r="B32">
        <v>-208.99081824999999</v>
      </c>
      <c r="C32">
        <v>-137.20331949999999</v>
      </c>
      <c r="D32">
        <v>238.49935925</v>
      </c>
      <c r="E32">
        <v>-4.8614882499999998</v>
      </c>
      <c r="F32">
        <v>5.4086824999999994</v>
      </c>
      <c r="G32">
        <v>248.00722525</v>
      </c>
      <c r="H32">
        <v>-40</v>
      </c>
      <c r="I32">
        <v>-16</v>
      </c>
      <c r="J32">
        <v>1.18</v>
      </c>
      <c r="K32">
        <v>20.27767025</v>
      </c>
      <c r="L32">
        <v>1.15325429042335</v>
      </c>
      <c r="M32">
        <v>-2.6601666072757211</v>
      </c>
      <c r="N32">
        <v>-1.5032933170270031</v>
      </c>
      <c r="O32">
        <v>-1.061127591635457</v>
      </c>
    </row>
    <row r="33" spans="1:15" x14ac:dyDescent="0.25">
      <c r="A33">
        <v>38.899160250000001</v>
      </c>
      <c r="B33">
        <v>-201.65191275000001</v>
      </c>
      <c r="C33">
        <v>-101.57195075</v>
      </c>
      <c r="D33">
        <v>239.53555675000001</v>
      </c>
      <c r="E33">
        <v>1.43058175</v>
      </c>
      <c r="F33">
        <v>5.3112294999999996</v>
      </c>
      <c r="G33">
        <v>243.7650415</v>
      </c>
      <c r="H33">
        <v>-40</v>
      </c>
      <c r="I33">
        <v>-12</v>
      </c>
      <c r="J33">
        <v>1.18</v>
      </c>
      <c r="K33">
        <v>20.103684749999999</v>
      </c>
      <c r="L33">
        <v>0.91785171733512738</v>
      </c>
      <c r="M33">
        <v>-2.882801332630093</v>
      </c>
      <c r="N33">
        <v>-1.5834703467497531</v>
      </c>
      <c r="O33">
        <v>-1.0253739604650409</v>
      </c>
    </row>
    <row r="34" spans="1:15" x14ac:dyDescent="0.25">
      <c r="A34">
        <v>18.186036999999999</v>
      </c>
      <c r="B34">
        <v>-195.943882</v>
      </c>
      <c r="C34">
        <v>-66.617128250000007</v>
      </c>
      <c r="D34">
        <v>238.13373200000001</v>
      </c>
      <c r="E34">
        <v>5.9010805</v>
      </c>
      <c r="F34">
        <v>4.8239642500000004</v>
      </c>
      <c r="G34">
        <v>239.642944</v>
      </c>
      <c r="H34">
        <v>-40</v>
      </c>
      <c r="I34">
        <v>-8</v>
      </c>
      <c r="J34">
        <v>1.18</v>
      </c>
      <c r="K34">
        <v>19.949891749999999</v>
      </c>
      <c r="L34">
        <v>0.61814032342311476</v>
      </c>
      <c r="M34">
        <v>-3.1643200163013918</v>
      </c>
      <c r="N34">
        <v>-1.7039372829016211</v>
      </c>
      <c r="O34">
        <v>-0.99215302925206783</v>
      </c>
    </row>
    <row r="35" spans="1:15" x14ac:dyDescent="0.25">
      <c r="A35">
        <v>-3.6042879999999999</v>
      </c>
      <c r="B35">
        <v>-189.03667849999999</v>
      </c>
      <c r="C35">
        <v>-34.18807125</v>
      </c>
      <c r="D35">
        <v>234.01589974999999</v>
      </c>
      <c r="E35">
        <v>10.37157975</v>
      </c>
      <c r="F35">
        <v>5.1163227500000001</v>
      </c>
      <c r="G35">
        <v>234.320198</v>
      </c>
      <c r="H35">
        <v>-40</v>
      </c>
      <c r="I35">
        <v>-4</v>
      </c>
      <c r="J35">
        <v>1.18</v>
      </c>
      <c r="K35">
        <v>19.709923</v>
      </c>
      <c r="L35">
        <v>0.25070895041514402</v>
      </c>
      <c r="M35">
        <v>-3.4681233393800142</v>
      </c>
      <c r="N35">
        <v>-1.8358972983015089</v>
      </c>
      <c r="O35">
        <v>-0.95692343552357084</v>
      </c>
    </row>
    <row r="36" spans="1:15" x14ac:dyDescent="0.25">
      <c r="A36">
        <v>-30.455696750000001</v>
      </c>
      <c r="B36">
        <v>-188.47420875</v>
      </c>
      <c r="C36">
        <v>-4.871124</v>
      </c>
      <c r="D36">
        <v>231.51890950000001</v>
      </c>
      <c r="E36">
        <v>11.131565</v>
      </c>
      <c r="F36">
        <v>4.7265107500000001</v>
      </c>
      <c r="G36">
        <v>231.6388245</v>
      </c>
      <c r="H36">
        <v>-40</v>
      </c>
      <c r="I36">
        <v>0</v>
      </c>
      <c r="J36">
        <v>1.18</v>
      </c>
      <c r="K36">
        <v>19.611146250000001</v>
      </c>
      <c r="L36">
        <v>-0.2121676397015706</v>
      </c>
      <c r="M36">
        <v>-3.482718977633807</v>
      </c>
      <c r="N36">
        <v>-1.828566507455798</v>
      </c>
      <c r="O36">
        <v>-0.94693536254686217</v>
      </c>
    </row>
    <row r="37" spans="1:15" x14ac:dyDescent="0.25">
      <c r="A37">
        <v>-55.869194</v>
      </c>
      <c r="B37">
        <v>-186.68630625</v>
      </c>
      <c r="C37">
        <v>19.826181250000001</v>
      </c>
      <c r="D37">
        <v>228.05817024999999</v>
      </c>
      <c r="E37">
        <v>13.322109749999999</v>
      </c>
      <c r="F37">
        <v>4.6290575</v>
      </c>
      <c r="G37">
        <v>228.55725874999999</v>
      </c>
      <c r="H37">
        <v>-40</v>
      </c>
      <c r="I37">
        <v>4</v>
      </c>
      <c r="J37">
        <v>1.18</v>
      </c>
      <c r="K37">
        <v>19.4817675</v>
      </c>
      <c r="L37">
        <v>-0.56235977706733598</v>
      </c>
      <c r="M37">
        <v>-3.0813383472348801</v>
      </c>
      <c r="N37">
        <v>-1.5990956394504661</v>
      </c>
      <c r="O37">
        <v>-0.93541682947465388</v>
      </c>
    </row>
    <row r="38" spans="1:15" x14ac:dyDescent="0.25">
      <c r="A38">
        <v>-83.4829005</v>
      </c>
      <c r="B38">
        <v>-186.84324649999999</v>
      </c>
      <c r="C38">
        <v>40.420109750000002</v>
      </c>
      <c r="D38">
        <v>222.90310274999999</v>
      </c>
      <c r="E38">
        <v>11.3550895</v>
      </c>
      <c r="F38">
        <v>4.6777839999999999</v>
      </c>
      <c r="G38">
        <v>224.83533875000001</v>
      </c>
      <c r="H38">
        <v>-40</v>
      </c>
      <c r="I38">
        <v>8</v>
      </c>
      <c r="J38">
        <v>1.18</v>
      </c>
      <c r="K38">
        <v>19.317039250000001</v>
      </c>
      <c r="L38">
        <v>-0.84560666887226221</v>
      </c>
      <c r="M38">
        <v>-2.796610261128992</v>
      </c>
      <c r="N38">
        <v>-1.457045224260711</v>
      </c>
      <c r="O38">
        <v>-0.95442631555686186</v>
      </c>
    </row>
    <row r="39" spans="1:15" x14ac:dyDescent="0.25">
      <c r="A39">
        <v>-112.04646875</v>
      </c>
      <c r="B39">
        <v>-190.28380575</v>
      </c>
      <c r="C39">
        <v>56.678475499999998</v>
      </c>
      <c r="D39">
        <v>218.47837075000001</v>
      </c>
      <c r="E39">
        <v>6.6163604999999999</v>
      </c>
      <c r="F39">
        <v>4.8726900000000004</v>
      </c>
      <c r="G39">
        <v>223.31456750000001</v>
      </c>
      <c r="H39">
        <v>-40</v>
      </c>
      <c r="I39">
        <v>12</v>
      </c>
      <c r="J39">
        <v>1.18</v>
      </c>
      <c r="K39">
        <v>19.241630000000001</v>
      </c>
      <c r="L39">
        <v>-1.0693653958414659</v>
      </c>
      <c r="M39">
        <v>-2.5907124062954701</v>
      </c>
      <c r="N39">
        <v>-1.373430349203659</v>
      </c>
      <c r="O39">
        <v>-0.9889615886815557</v>
      </c>
    </row>
    <row r="40" spans="1:15" x14ac:dyDescent="0.25">
      <c r="A40">
        <v>-139.35760124999999</v>
      </c>
      <c r="B40">
        <v>-189.99601000000001</v>
      </c>
      <c r="C40">
        <v>71.220678249999992</v>
      </c>
      <c r="D40">
        <v>210.92971025</v>
      </c>
      <c r="E40">
        <v>1.11764625</v>
      </c>
      <c r="F40">
        <v>4.6777839999999999</v>
      </c>
      <c r="G40">
        <v>220.47311375000001</v>
      </c>
      <c r="H40">
        <v>-40</v>
      </c>
      <c r="I40">
        <v>16</v>
      </c>
      <c r="J40">
        <v>1.18</v>
      </c>
      <c r="K40">
        <v>19.124713499999999</v>
      </c>
      <c r="L40">
        <v>-1.270146383770169</v>
      </c>
      <c r="M40">
        <v>-2.4182701823380639</v>
      </c>
      <c r="N40">
        <v>-1.3231226767985489</v>
      </c>
      <c r="O40">
        <v>-1.021506164199095</v>
      </c>
    </row>
    <row r="41" spans="1:15" x14ac:dyDescent="0.25">
      <c r="A41">
        <v>-164.54380025</v>
      </c>
      <c r="B41">
        <v>-191.96264274999999</v>
      </c>
      <c r="C41">
        <v>81.201510999999996</v>
      </c>
      <c r="D41">
        <v>200.81034074999999</v>
      </c>
      <c r="E41">
        <v>-8.1173474999999993</v>
      </c>
      <c r="F41">
        <v>4.6777842500000002</v>
      </c>
      <c r="G41">
        <v>216.35099</v>
      </c>
      <c r="H41">
        <v>-40</v>
      </c>
      <c r="I41">
        <v>20</v>
      </c>
      <c r="J41">
        <v>1.18</v>
      </c>
      <c r="K41">
        <v>18.9411725</v>
      </c>
      <c r="L41">
        <v>-1.4444151748861049</v>
      </c>
      <c r="M41">
        <v>-2.3086017914882651</v>
      </c>
      <c r="N41">
        <v>-1.319362180883964</v>
      </c>
      <c r="O41">
        <v>-1.075206783760271</v>
      </c>
    </row>
    <row r="42" spans="1:15" x14ac:dyDescent="0.25">
      <c r="A42">
        <v>-191.5322305</v>
      </c>
      <c r="B42">
        <v>-203.37870824999999</v>
      </c>
      <c r="C42">
        <v>87.750018749999995</v>
      </c>
      <c r="D42">
        <v>189.22561999999999</v>
      </c>
      <c r="E42">
        <v>-24.262844250000001</v>
      </c>
      <c r="F42">
        <v>4.5803310000000002</v>
      </c>
      <c r="G42">
        <v>213.70962499999999</v>
      </c>
      <c r="H42">
        <v>-40</v>
      </c>
      <c r="I42">
        <v>24</v>
      </c>
      <c r="J42">
        <v>1.18</v>
      </c>
      <c r="K42">
        <v>18.827012499999999</v>
      </c>
      <c r="L42">
        <v>-1.6125426590236089</v>
      </c>
      <c r="M42">
        <v>-2.2668789876209132</v>
      </c>
      <c r="N42">
        <v>-1.3740368071195761</v>
      </c>
      <c r="O42">
        <v>-1.1665226249145311</v>
      </c>
    </row>
    <row r="43" spans="1:15" x14ac:dyDescent="0.25">
      <c r="A43">
        <v>-212.81574649999999</v>
      </c>
      <c r="B43">
        <v>-214.15312950000001</v>
      </c>
      <c r="C43">
        <v>92.08557725</v>
      </c>
      <c r="D43">
        <v>174.6138685</v>
      </c>
      <c r="E43">
        <v>-40.854345500000001</v>
      </c>
      <c r="F43">
        <v>4.4828780000000004</v>
      </c>
      <c r="G43">
        <v>210.06777600000001</v>
      </c>
      <c r="H43">
        <v>-40</v>
      </c>
      <c r="I43">
        <v>28</v>
      </c>
      <c r="J43">
        <v>1.18</v>
      </c>
      <c r="K43">
        <v>18.666783500000001</v>
      </c>
      <c r="L43">
        <v>-1.766310774100764</v>
      </c>
      <c r="M43">
        <v>-2.2522033580873728</v>
      </c>
      <c r="N43">
        <v>-1.4537126961300759</v>
      </c>
      <c r="O43">
        <v>-1.2627326217732919</v>
      </c>
    </row>
    <row r="44" spans="1:15" x14ac:dyDescent="0.25">
      <c r="A44">
        <v>-245.59917824999999</v>
      </c>
      <c r="B44">
        <v>-241.51222225000001</v>
      </c>
      <c r="C44">
        <v>100.48573500000001</v>
      </c>
      <c r="D44">
        <v>171.06552124999999</v>
      </c>
      <c r="E44">
        <v>-63.556160749999997</v>
      </c>
      <c r="F44">
        <v>4.6290575</v>
      </c>
      <c r="G44">
        <v>218.71219625000001</v>
      </c>
      <c r="H44">
        <v>-40</v>
      </c>
      <c r="I44">
        <v>32</v>
      </c>
      <c r="J44">
        <v>1.18</v>
      </c>
      <c r="K44">
        <v>19.048623500000001</v>
      </c>
      <c r="L44">
        <v>-1.9227603002078719</v>
      </c>
      <c r="M44">
        <v>-2.2921405517469009</v>
      </c>
      <c r="N44">
        <v>-1.5682466854754611</v>
      </c>
      <c r="O44">
        <v>-1.3788576811015529</v>
      </c>
    </row>
    <row r="45" spans="1:15" x14ac:dyDescent="0.25">
      <c r="A45">
        <v>-300.79254175</v>
      </c>
      <c r="B45">
        <v>-296.02301799999998</v>
      </c>
      <c r="C45">
        <v>116.33763875</v>
      </c>
      <c r="D45">
        <v>180.01351149999999</v>
      </c>
      <c r="E45">
        <v>-99.281416000000007</v>
      </c>
      <c r="F45">
        <v>5.40868225</v>
      </c>
      <c r="G45">
        <v>247.72707775000001</v>
      </c>
      <c r="H45">
        <v>-40</v>
      </c>
      <c r="I45">
        <v>36</v>
      </c>
      <c r="J45">
        <v>1.175</v>
      </c>
      <c r="K45">
        <v>20.309085249999999</v>
      </c>
      <c r="L45">
        <v>-2.0947810824189261</v>
      </c>
      <c r="M45">
        <v>-2.39060358802086</v>
      </c>
      <c r="N45">
        <v>-1.742635118973316</v>
      </c>
      <c r="O45">
        <v>-1.525719748295693</v>
      </c>
    </row>
    <row r="46" spans="1:15" x14ac:dyDescent="0.25">
      <c r="A46">
        <v>-350.03852074999998</v>
      </c>
      <c r="B46">
        <v>-345.791786</v>
      </c>
      <c r="C46">
        <v>126.22814375</v>
      </c>
      <c r="D46">
        <v>178.20602425000001</v>
      </c>
      <c r="E46">
        <v>-141.51838275</v>
      </c>
      <c r="F46">
        <v>5.9934007500000002</v>
      </c>
      <c r="G46">
        <v>268.85791799999998</v>
      </c>
      <c r="H46">
        <v>-40</v>
      </c>
      <c r="I46">
        <v>40</v>
      </c>
      <c r="J46">
        <v>1.18</v>
      </c>
      <c r="K46">
        <v>21.107624999999999</v>
      </c>
      <c r="L46">
        <v>-2.3075481816236501</v>
      </c>
      <c r="M46">
        <v>-2.5388130704191152</v>
      </c>
      <c r="N46">
        <v>-1.988312218423316</v>
      </c>
      <c r="O46">
        <v>-1.7147159838845449</v>
      </c>
    </row>
    <row r="47" spans="1:15" x14ac:dyDescent="0.25">
      <c r="A47">
        <v>-358.8244095</v>
      </c>
      <c r="B47">
        <v>-349.98997524999999</v>
      </c>
      <c r="C47">
        <v>117.60217625</v>
      </c>
      <c r="D47">
        <v>149.29353725000001</v>
      </c>
      <c r="E47">
        <v>-172.02533725000001</v>
      </c>
      <c r="F47">
        <v>5.6035884999999999</v>
      </c>
      <c r="G47">
        <v>256.21142574999999</v>
      </c>
      <c r="H47">
        <v>-40</v>
      </c>
      <c r="I47">
        <v>44</v>
      </c>
      <c r="J47">
        <v>1.18</v>
      </c>
      <c r="K47">
        <v>20.609674250000001</v>
      </c>
      <c r="L47">
        <v>-2.6123227143651802</v>
      </c>
      <c r="M47">
        <v>-2.7376557536521</v>
      </c>
      <c r="N47">
        <v>-2.3481247724971399</v>
      </c>
      <c r="O47">
        <v>-1.973996963589526</v>
      </c>
    </row>
    <row r="48" spans="1:15" x14ac:dyDescent="0.25">
      <c r="A48">
        <v>117.73538025000001</v>
      </c>
      <c r="B48">
        <v>-330.51346599999999</v>
      </c>
      <c r="C48">
        <v>-331.82273075000001</v>
      </c>
      <c r="D48">
        <v>139.89286824999999</v>
      </c>
      <c r="E48">
        <v>-99.905826749999989</v>
      </c>
      <c r="F48">
        <v>5.3112294999999996</v>
      </c>
      <c r="G48">
        <v>245.52595149999999</v>
      </c>
      <c r="H48">
        <v>-36</v>
      </c>
      <c r="I48">
        <v>-44</v>
      </c>
      <c r="J48">
        <v>1.18</v>
      </c>
      <c r="K48">
        <v>20.177791500000001</v>
      </c>
      <c r="L48">
        <v>1.9439336507999501</v>
      </c>
      <c r="M48">
        <v>-2.034084819440765</v>
      </c>
      <c r="N48">
        <v>-1.493685891821481</v>
      </c>
      <c r="O48">
        <v>-1.4549685165056829</v>
      </c>
    </row>
    <row r="49" spans="1:15" x14ac:dyDescent="0.25">
      <c r="A49">
        <v>119.40506375</v>
      </c>
      <c r="B49">
        <v>-292.28153974999998</v>
      </c>
      <c r="C49">
        <v>-298.22100799999998</v>
      </c>
      <c r="D49">
        <v>155.13965225000001</v>
      </c>
      <c r="E49">
        <v>-69.086663999999999</v>
      </c>
      <c r="F49">
        <v>5.2625029999999997</v>
      </c>
      <c r="G49">
        <v>239.52287275</v>
      </c>
      <c r="H49">
        <v>-36</v>
      </c>
      <c r="I49">
        <v>-40</v>
      </c>
      <c r="J49">
        <v>1.18</v>
      </c>
      <c r="K49">
        <v>19.926148999999999</v>
      </c>
      <c r="L49">
        <v>1.84660871808514</v>
      </c>
      <c r="M49">
        <v>-1.9783346684730609</v>
      </c>
      <c r="N49">
        <v>-1.364601057691013</v>
      </c>
      <c r="O49">
        <v>-1.3287585779343429</v>
      </c>
    </row>
    <row r="50" spans="1:15" x14ac:dyDescent="0.25">
      <c r="A50">
        <v>118.90867249999999</v>
      </c>
      <c r="B50">
        <v>-263.35554500000001</v>
      </c>
      <c r="C50">
        <v>-274.09090450000002</v>
      </c>
      <c r="D50">
        <v>170.65999224999999</v>
      </c>
      <c r="E50">
        <v>-43.262790750000001</v>
      </c>
      <c r="F50">
        <v>5.067596</v>
      </c>
      <c r="G50">
        <v>236.12113174999999</v>
      </c>
      <c r="H50">
        <v>-36</v>
      </c>
      <c r="I50">
        <v>-36</v>
      </c>
      <c r="J50">
        <v>1.18</v>
      </c>
      <c r="K50">
        <v>19.78928625</v>
      </c>
      <c r="L50">
        <v>1.7430992028356671</v>
      </c>
      <c r="M50">
        <v>-1.925017009450259</v>
      </c>
      <c r="N50">
        <v>-1.2391758203299681</v>
      </c>
      <c r="O50">
        <v>-1.2143583077307869</v>
      </c>
    </row>
    <row r="51" spans="1:15" x14ac:dyDescent="0.25">
      <c r="A51">
        <v>114.441137</v>
      </c>
      <c r="B51">
        <v>-231.48718274999999</v>
      </c>
      <c r="C51">
        <v>-236.74561299999999</v>
      </c>
      <c r="D51">
        <v>182.28005974999999</v>
      </c>
      <c r="E51">
        <v>-20.248769249999999</v>
      </c>
      <c r="F51">
        <v>4.8239642500000004</v>
      </c>
      <c r="G51">
        <v>230.83842125000001</v>
      </c>
      <c r="H51">
        <v>-36</v>
      </c>
      <c r="I51">
        <v>-32</v>
      </c>
      <c r="J51">
        <v>1.18</v>
      </c>
      <c r="K51">
        <v>19.572305</v>
      </c>
      <c r="L51">
        <v>1.6420768741427541</v>
      </c>
      <c r="M51">
        <v>-1.934693524944481</v>
      </c>
      <c r="N51">
        <v>-1.174037082129459</v>
      </c>
      <c r="O51">
        <v>-1.117238681810272</v>
      </c>
    </row>
    <row r="52" spans="1:15" x14ac:dyDescent="0.25">
      <c r="A52">
        <v>110.15410975</v>
      </c>
      <c r="B52">
        <v>-205.887337</v>
      </c>
      <c r="C52">
        <v>-199.49056625</v>
      </c>
      <c r="D52">
        <v>193.40698599999999</v>
      </c>
      <c r="E52">
        <v>-0.49049975000000001</v>
      </c>
      <c r="F52">
        <v>4.7752374999999994</v>
      </c>
      <c r="G52">
        <v>228.35715500000001</v>
      </c>
      <c r="H52">
        <v>-36</v>
      </c>
      <c r="I52">
        <v>-28</v>
      </c>
      <c r="J52">
        <v>1.18</v>
      </c>
      <c r="K52">
        <v>19.466694</v>
      </c>
      <c r="L52">
        <v>1.531394409494875</v>
      </c>
      <c r="M52">
        <v>-1.9747820966503009</v>
      </c>
      <c r="N52">
        <v>-1.131817132487126</v>
      </c>
      <c r="O52">
        <v>-1.026048122458745</v>
      </c>
    </row>
    <row r="53" spans="1:15" x14ac:dyDescent="0.25">
      <c r="A53">
        <v>102.03131075</v>
      </c>
      <c r="B53">
        <v>-183.04083650000001</v>
      </c>
      <c r="C53">
        <v>-162.91203325000001</v>
      </c>
      <c r="D53">
        <v>202.53163524999999</v>
      </c>
      <c r="E53">
        <v>15.37853975</v>
      </c>
      <c r="F53">
        <v>4.8239637499999999</v>
      </c>
      <c r="G53">
        <v>226.11599375</v>
      </c>
      <c r="H53">
        <v>-36</v>
      </c>
      <c r="I53">
        <v>-24</v>
      </c>
      <c r="J53">
        <v>1.18</v>
      </c>
      <c r="K53">
        <v>19.366750499999998</v>
      </c>
      <c r="L53">
        <v>1.406623398834516</v>
      </c>
      <c r="M53">
        <v>-2.0470571215007189</v>
      </c>
      <c r="N53">
        <v>-1.118842676838262</v>
      </c>
      <c r="O53">
        <v>-0.94396833200609886</v>
      </c>
    </row>
    <row r="54" spans="1:15" x14ac:dyDescent="0.25">
      <c r="A54">
        <v>88.718959749999996</v>
      </c>
      <c r="B54">
        <v>-166.01267225000001</v>
      </c>
      <c r="C54">
        <v>-126.87473850000001</v>
      </c>
      <c r="D54">
        <v>208.44591550000001</v>
      </c>
      <c r="E54">
        <v>26.778312</v>
      </c>
      <c r="F54">
        <v>4.4828780000000004</v>
      </c>
      <c r="G54">
        <v>221.71374499999999</v>
      </c>
      <c r="H54">
        <v>-36</v>
      </c>
      <c r="I54">
        <v>-20</v>
      </c>
      <c r="J54">
        <v>1.18</v>
      </c>
      <c r="K54">
        <v>19.188216749999999</v>
      </c>
      <c r="L54">
        <v>1.244629000495566</v>
      </c>
      <c r="M54">
        <v>-2.1617705575465358</v>
      </c>
      <c r="N54">
        <v>-1.1254098047031991</v>
      </c>
      <c r="O54">
        <v>-0.8713241001457277</v>
      </c>
    </row>
    <row r="55" spans="1:15" x14ac:dyDescent="0.25">
      <c r="A55">
        <v>78.565466000000001</v>
      </c>
      <c r="B55">
        <v>-154.54862975</v>
      </c>
      <c r="C55">
        <v>-95.618352999999999</v>
      </c>
      <c r="D55">
        <v>212.60784525</v>
      </c>
      <c r="E55">
        <v>37.820445749999998</v>
      </c>
      <c r="F55">
        <v>4.6777839999999999</v>
      </c>
      <c r="G55">
        <v>220.03289000000001</v>
      </c>
      <c r="H55">
        <v>-36</v>
      </c>
      <c r="I55">
        <v>-16</v>
      </c>
      <c r="J55">
        <v>1.18</v>
      </c>
      <c r="K55">
        <v>19.1051915</v>
      </c>
      <c r="L55">
        <v>1.0691804705797709</v>
      </c>
      <c r="M55">
        <v>-2.2539047092816</v>
      </c>
      <c r="N55">
        <v>-1.118607627848309</v>
      </c>
      <c r="O55">
        <v>-0.79653944421247036</v>
      </c>
    </row>
    <row r="56" spans="1:15" x14ac:dyDescent="0.25">
      <c r="A56">
        <v>62.274755499999998</v>
      </c>
      <c r="B56">
        <v>-147.83329749999999</v>
      </c>
      <c r="C56">
        <v>-62.602959749999997</v>
      </c>
      <c r="D56">
        <v>214.49168025</v>
      </c>
      <c r="E56">
        <v>43.900324750000003</v>
      </c>
      <c r="F56">
        <v>4.6777839999999999</v>
      </c>
      <c r="G56">
        <v>217.1914175</v>
      </c>
      <c r="H56">
        <v>-36</v>
      </c>
      <c r="I56">
        <v>-12</v>
      </c>
      <c r="J56">
        <v>1.18</v>
      </c>
      <c r="K56">
        <v>18.9787365</v>
      </c>
      <c r="L56">
        <v>0.83744580409379621</v>
      </c>
      <c r="M56">
        <v>-2.4297698724475461</v>
      </c>
      <c r="N56">
        <v>-1.1621010391676181</v>
      </c>
      <c r="O56">
        <v>-0.73696562014288625</v>
      </c>
    </row>
    <row r="57" spans="1:15" x14ac:dyDescent="0.25">
      <c r="A57">
        <v>44.359479749999998</v>
      </c>
      <c r="B57">
        <v>-144.71546925000001</v>
      </c>
      <c r="C57">
        <v>-31.57209825</v>
      </c>
      <c r="D57">
        <v>216.76990900000001</v>
      </c>
      <c r="E57">
        <v>49.399037499999999</v>
      </c>
      <c r="F57">
        <v>4.6777839999999999</v>
      </c>
      <c r="G57">
        <v>217.31148125000001</v>
      </c>
      <c r="H57">
        <v>-36</v>
      </c>
      <c r="I57">
        <v>-8</v>
      </c>
      <c r="J57">
        <v>1.18</v>
      </c>
      <c r="K57">
        <v>18.9840135</v>
      </c>
      <c r="L57">
        <v>0.5520707617488767</v>
      </c>
      <c r="M57">
        <v>-2.6281836072429479</v>
      </c>
      <c r="N57">
        <v>-1.220814480350275</v>
      </c>
      <c r="O57">
        <v>-0.67485917468990975</v>
      </c>
    </row>
    <row r="58" spans="1:15" x14ac:dyDescent="0.25">
      <c r="A58">
        <v>27.5272495</v>
      </c>
      <c r="B58">
        <v>-164.09400174999999</v>
      </c>
      <c r="C58">
        <v>-4.7358147499999994</v>
      </c>
      <c r="D58">
        <v>246.63224775</v>
      </c>
      <c r="E58">
        <v>60.172942999999997</v>
      </c>
      <c r="F58">
        <v>5.4574090000000002</v>
      </c>
      <c r="G58">
        <v>246.84663399999999</v>
      </c>
      <c r="H58">
        <v>-36</v>
      </c>
      <c r="I58">
        <v>-4</v>
      </c>
      <c r="J58">
        <v>1.18</v>
      </c>
      <c r="K58">
        <v>20.22700575</v>
      </c>
      <c r="L58">
        <v>0.22309122473365281</v>
      </c>
      <c r="M58">
        <v>-2.8407926370256189</v>
      </c>
      <c r="N58">
        <v>-1.2911821475503069</v>
      </c>
      <c r="O58">
        <v>-0.62158700384130072</v>
      </c>
    </row>
    <row r="59" spans="1:15" x14ac:dyDescent="0.25">
      <c r="A59">
        <v>3.4296297500000001</v>
      </c>
      <c r="B59">
        <v>-179.01163450000001</v>
      </c>
      <c r="C59">
        <v>26.510177250000002</v>
      </c>
      <c r="D59">
        <v>269.76223750000003</v>
      </c>
      <c r="E59">
        <v>69.248054499999995</v>
      </c>
      <c r="F59">
        <v>6.0908542499999996</v>
      </c>
      <c r="G59">
        <v>269.29814149999999</v>
      </c>
      <c r="H59">
        <v>-36</v>
      </c>
      <c r="I59">
        <v>0</v>
      </c>
      <c r="J59">
        <v>1.18</v>
      </c>
      <c r="K59">
        <v>21.121396749999999</v>
      </c>
      <c r="L59">
        <v>-0.14691295265274559</v>
      </c>
      <c r="M59">
        <v>-2.8578077739121479</v>
      </c>
      <c r="N59">
        <v>-1.2739522850028491</v>
      </c>
      <c r="O59">
        <v>-0.59784306560243394</v>
      </c>
    </row>
    <row r="60" spans="1:15" x14ac:dyDescent="0.25">
      <c r="A60">
        <v>-27.529096500000001</v>
      </c>
      <c r="B60">
        <v>-171.28900525</v>
      </c>
      <c r="C60">
        <v>52.613883999999999</v>
      </c>
      <c r="D60">
        <v>256.05071624999999</v>
      </c>
      <c r="E60">
        <v>66.07399749999999</v>
      </c>
      <c r="F60">
        <v>5.554862</v>
      </c>
      <c r="G60">
        <v>256.61163325000001</v>
      </c>
      <c r="H60">
        <v>-36</v>
      </c>
      <c r="I60">
        <v>4</v>
      </c>
      <c r="J60">
        <v>1.18</v>
      </c>
      <c r="K60">
        <v>20.628124499999998</v>
      </c>
      <c r="L60">
        <v>-0.48427890602799217</v>
      </c>
      <c r="M60">
        <v>-2.582389241983325</v>
      </c>
      <c r="N60">
        <v>-1.1514021812476141</v>
      </c>
      <c r="O60">
        <v>-0.63428217653354391</v>
      </c>
    </row>
    <row r="61" spans="1:15" x14ac:dyDescent="0.25">
      <c r="A61">
        <v>-60.1945525</v>
      </c>
      <c r="B61">
        <v>-169.22643650000001</v>
      </c>
      <c r="C61">
        <v>75.059459750000002</v>
      </c>
      <c r="D61">
        <v>248.00609574999999</v>
      </c>
      <c r="E61">
        <v>61.827026250000003</v>
      </c>
      <c r="F61">
        <v>5.5061355000000001</v>
      </c>
      <c r="G61">
        <v>249.8881915</v>
      </c>
      <c r="H61">
        <v>-36</v>
      </c>
      <c r="I61">
        <v>8</v>
      </c>
      <c r="J61">
        <v>1.18</v>
      </c>
      <c r="K61">
        <v>20.352068750000001</v>
      </c>
      <c r="L61">
        <v>-0.76615494425859476</v>
      </c>
      <c r="M61">
        <v>-2.3634637590129399</v>
      </c>
      <c r="N61">
        <v>-1.0653157163981131</v>
      </c>
      <c r="O61">
        <v>-0.68098930256657764</v>
      </c>
    </row>
    <row r="62" spans="1:15" x14ac:dyDescent="0.25">
      <c r="A62">
        <v>-89.480825499999995</v>
      </c>
      <c r="B62">
        <v>-168.89067449999999</v>
      </c>
      <c r="C62">
        <v>92.17590525</v>
      </c>
      <c r="D62">
        <v>238.22133650000001</v>
      </c>
      <c r="E62">
        <v>55.836555250000004</v>
      </c>
      <c r="F62">
        <v>5.1163230000000004</v>
      </c>
      <c r="G62">
        <v>242.60444649999999</v>
      </c>
      <c r="H62">
        <v>-36</v>
      </c>
      <c r="I62">
        <v>12</v>
      </c>
      <c r="J62">
        <v>1.18</v>
      </c>
      <c r="K62">
        <v>20.062953749999998</v>
      </c>
      <c r="L62">
        <v>-0.9818342646271957</v>
      </c>
      <c r="M62">
        <v>-2.2003361350728561</v>
      </c>
      <c r="N62">
        <v>-1.009454960723444</v>
      </c>
      <c r="O62">
        <v>-0.72587776034746943</v>
      </c>
    </row>
    <row r="63" spans="1:15" x14ac:dyDescent="0.25">
      <c r="A63">
        <v>-119.26271825000001</v>
      </c>
      <c r="B63">
        <v>-168.21913875000001</v>
      </c>
      <c r="C63">
        <v>105.40840925000001</v>
      </c>
      <c r="D63">
        <v>228.55458824999999</v>
      </c>
      <c r="E63">
        <v>46.493212499999998</v>
      </c>
      <c r="F63">
        <v>5.0675964999999996</v>
      </c>
      <c r="G63">
        <v>237.96206649999999</v>
      </c>
      <c r="H63">
        <v>-36</v>
      </c>
      <c r="I63">
        <v>16</v>
      </c>
      <c r="J63">
        <v>1.18</v>
      </c>
      <c r="K63">
        <v>19.867972250000001</v>
      </c>
      <c r="L63">
        <v>-1.181003072556652</v>
      </c>
      <c r="M63">
        <v>-2.0857336462553522</v>
      </c>
      <c r="N63">
        <v>-1.0065000491020539</v>
      </c>
      <c r="O63">
        <v>-0.78221816793225807</v>
      </c>
    </row>
    <row r="64" spans="1:15" x14ac:dyDescent="0.25">
      <c r="A64">
        <v>-148.89972675000001</v>
      </c>
      <c r="B64">
        <v>-173.51949675</v>
      </c>
      <c r="C64">
        <v>116.47312725</v>
      </c>
      <c r="D64">
        <v>218.11401774999999</v>
      </c>
      <c r="E64">
        <v>32.858191499999997</v>
      </c>
      <c r="F64">
        <v>4.9701434999999998</v>
      </c>
      <c r="G64">
        <v>235.04056925</v>
      </c>
      <c r="H64">
        <v>-36</v>
      </c>
      <c r="I64">
        <v>20</v>
      </c>
      <c r="J64">
        <v>1.18</v>
      </c>
      <c r="K64">
        <v>19.747144500000001</v>
      </c>
      <c r="L64">
        <v>-1.367426796189027</v>
      </c>
      <c r="M64">
        <v>-2.018053554444498</v>
      </c>
      <c r="N64">
        <v>-1.041832059109834</v>
      </c>
      <c r="O64">
        <v>-0.85629746259081285</v>
      </c>
    </row>
    <row r="65" spans="1:15" x14ac:dyDescent="0.25">
      <c r="A65">
        <v>-175.71763999999999</v>
      </c>
      <c r="B65">
        <v>-187.64563749999999</v>
      </c>
      <c r="C65">
        <v>122.25388150000001</v>
      </c>
      <c r="D65">
        <v>204.25322349999999</v>
      </c>
      <c r="E65">
        <v>14.842079999999999</v>
      </c>
      <c r="F65">
        <v>5.0188697500000004</v>
      </c>
      <c r="G65">
        <v>230.03801000000001</v>
      </c>
      <c r="H65">
        <v>-36</v>
      </c>
      <c r="I65">
        <v>24</v>
      </c>
      <c r="J65">
        <v>1.18</v>
      </c>
      <c r="K65">
        <v>19.529164250000001</v>
      </c>
      <c r="L65">
        <v>-1.5162068822817649</v>
      </c>
      <c r="M65">
        <v>-1.9941593565485249</v>
      </c>
      <c r="N65">
        <v>-1.095025539465684</v>
      </c>
      <c r="O65">
        <v>-0.9500192269317429</v>
      </c>
    </row>
    <row r="66" spans="1:15" x14ac:dyDescent="0.25">
      <c r="A66">
        <v>-202.88628750000001</v>
      </c>
      <c r="B66">
        <v>-206.92824200000001</v>
      </c>
      <c r="C66">
        <v>127.22171375000001</v>
      </c>
      <c r="D66">
        <v>190.5279275</v>
      </c>
      <c r="E66">
        <v>-7.9389455</v>
      </c>
      <c r="F66">
        <v>4.7752374999999994</v>
      </c>
      <c r="G66">
        <v>227.83688375</v>
      </c>
      <c r="H66">
        <v>-36</v>
      </c>
      <c r="I66">
        <v>28</v>
      </c>
      <c r="J66">
        <v>1.18</v>
      </c>
      <c r="K66">
        <v>19.444031249999998</v>
      </c>
      <c r="L66">
        <v>-1.675938288757882</v>
      </c>
      <c r="M66">
        <v>-2.0178617866841702</v>
      </c>
      <c r="N66">
        <v>-1.197023007296131</v>
      </c>
      <c r="O66">
        <v>-1.0645467108025981</v>
      </c>
    </row>
    <row r="67" spans="1:15" x14ac:dyDescent="0.25">
      <c r="A67">
        <v>-225.36911774999999</v>
      </c>
      <c r="B67">
        <v>-224.24421325</v>
      </c>
      <c r="C67">
        <v>128.66689675000001</v>
      </c>
      <c r="D67">
        <v>174.66881574999999</v>
      </c>
      <c r="E67">
        <v>-34.476427000000001</v>
      </c>
      <c r="F67">
        <v>4.8239642500000004</v>
      </c>
      <c r="G67">
        <v>224.31507875</v>
      </c>
      <c r="H67">
        <v>-36</v>
      </c>
      <c r="I67">
        <v>32</v>
      </c>
      <c r="J67">
        <v>1.18</v>
      </c>
      <c r="K67">
        <v>19.287782499999999</v>
      </c>
      <c r="L67">
        <v>-1.8601179837730579</v>
      </c>
      <c r="M67">
        <v>-2.095907764495021</v>
      </c>
      <c r="N67">
        <v>-1.359702511826048</v>
      </c>
      <c r="O67">
        <v>-1.206487514342238</v>
      </c>
    </row>
    <row r="68" spans="1:15" x14ac:dyDescent="0.25">
      <c r="A68">
        <v>-245.82446275000001</v>
      </c>
      <c r="B68">
        <v>-242.27968974999999</v>
      </c>
      <c r="C68">
        <v>128.6217345</v>
      </c>
      <c r="D68">
        <v>157.59308625</v>
      </c>
      <c r="E68">
        <v>-63.333153749999987</v>
      </c>
      <c r="F68">
        <v>4.7752377499999996</v>
      </c>
      <c r="G68">
        <v>221.31353375</v>
      </c>
      <c r="H68">
        <v>-36</v>
      </c>
      <c r="I68">
        <v>36</v>
      </c>
      <c r="J68">
        <v>1.18</v>
      </c>
      <c r="K68">
        <v>19.157608249999999</v>
      </c>
      <c r="L68">
        <v>-2.071992894578468</v>
      </c>
      <c r="M68">
        <v>-2.212695050178811</v>
      </c>
      <c r="N68">
        <v>-1.575096483894439</v>
      </c>
      <c r="O68">
        <v>-1.3768867998697789</v>
      </c>
    </row>
    <row r="69" spans="1:15" x14ac:dyDescent="0.25">
      <c r="A69">
        <v>-264.297348</v>
      </c>
      <c r="B69">
        <v>-262.42569700000001</v>
      </c>
      <c r="C69">
        <v>126.31846825</v>
      </c>
      <c r="D69">
        <v>141.06680700000001</v>
      </c>
      <c r="E69">
        <v>-95.490342999999996</v>
      </c>
      <c r="F69">
        <v>4.7265107500000001</v>
      </c>
      <c r="G69">
        <v>219.83277125000001</v>
      </c>
      <c r="H69">
        <v>-36</v>
      </c>
      <c r="I69">
        <v>40</v>
      </c>
      <c r="J69">
        <v>1.18</v>
      </c>
      <c r="K69">
        <v>19.094156999999999</v>
      </c>
      <c r="L69">
        <v>-2.326885324949175</v>
      </c>
      <c r="M69">
        <v>-2.4035849783801271</v>
      </c>
      <c r="N69">
        <v>-1.878375112135531</v>
      </c>
      <c r="O69">
        <v>-1.5969910879550651</v>
      </c>
    </row>
    <row r="70" spans="1:15" x14ac:dyDescent="0.25">
      <c r="A70">
        <v>-279.25586700000002</v>
      </c>
      <c r="B70">
        <v>-276.499191</v>
      </c>
      <c r="C70">
        <v>120.22158825</v>
      </c>
      <c r="D70">
        <v>120.615387</v>
      </c>
      <c r="E70">
        <v>-125.95269949999999</v>
      </c>
      <c r="F70">
        <v>4.6777839999999999</v>
      </c>
      <c r="G70">
        <v>215.83072625</v>
      </c>
      <c r="H70">
        <v>-36</v>
      </c>
      <c r="I70">
        <v>44</v>
      </c>
      <c r="J70">
        <v>1.18</v>
      </c>
      <c r="K70">
        <v>18.917883</v>
      </c>
      <c r="L70">
        <v>-2.6294292942349591</v>
      </c>
      <c r="M70">
        <v>-2.613919579880835</v>
      </c>
      <c r="N70">
        <v>-2.249721165648042</v>
      </c>
      <c r="O70">
        <v>-1.8598464143412621</v>
      </c>
    </row>
    <row r="71" spans="1:15" x14ac:dyDescent="0.25">
      <c r="A71">
        <v>124.1884865</v>
      </c>
      <c r="B71">
        <v>-269.92740624999999</v>
      </c>
      <c r="C71">
        <v>-266.87442775</v>
      </c>
      <c r="D71">
        <v>116.767338</v>
      </c>
      <c r="E71">
        <v>-64.358974250000003</v>
      </c>
      <c r="F71">
        <v>4.7265107500000001</v>
      </c>
      <c r="G71">
        <v>213.349445</v>
      </c>
      <c r="H71">
        <v>-32</v>
      </c>
      <c r="I71">
        <v>-44</v>
      </c>
      <c r="J71">
        <v>1.18</v>
      </c>
      <c r="K71">
        <v>18.804202</v>
      </c>
      <c r="L71">
        <v>1.916607480472152</v>
      </c>
      <c r="M71">
        <v>-1.895193660579451</v>
      </c>
      <c r="N71">
        <v>-1.361079940607675</v>
      </c>
      <c r="O71">
        <v>-1.338595233620737</v>
      </c>
    </row>
    <row r="72" spans="1:15" x14ac:dyDescent="0.25">
      <c r="A72">
        <v>127.48273450000001</v>
      </c>
      <c r="B72">
        <v>-242.58448799999999</v>
      </c>
      <c r="C72">
        <v>-242.69921500000001</v>
      </c>
      <c r="D72">
        <v>133.36489524999999</v>
      </c>
      <c r="E72">
        <v>-35.190043250000002</v>
      </c>
      <c r="F72">
        <v>4.4828780000000004</v>
      </c>
      <c r="G72">
        <v>211.30840724999999</v>
      </c>
      <c r="H72">
        <v>-32</v>
      </c>
      <c r="I72">
        <v>-40</v>
      </c>
      <c r="J72">
        <v>1.18</v>
      </c>
      <c r="K72">
        <v>18.723018249999999</v>
      </c>
      <c r="L72">
        <v>1.7844414043952279</v>
      </c>
      <c r="M72">
        <v>-1.8122427108597801</v>
      </c>
      <c r="N72">
        <v>-1.188253351145073</v>
      </c>
      <c r="O72">
        <v>-1.1912492011238061</v>
      </c>
    </row>
    <row r="73" spans="1:15" x14ac:dyDescent="0.25">
      <c r="A73">
        <v>137.41058699999999</v>
      </c>
      <c r="B73">
        <v>-234.18964</v>
      </c>
      <c r="C73">
        <v>-237.60258074999999</v>
      </c>
      <c r="D73">
        <v>158.45925149999999</v>
      </c>
      <c r="E73">
        <v>-10.882598249999999</v>
      </c>
      <c r="F73">
        <v>4.7265107500000001</v>
      </c>
      <c r="G73">
        <v>225.15550999999999</v>
      </c>
      <c r="H73">
        <v>-32</v>
      </c>
      <c r="I73">
        <v>-36</v>
      </c>
      <c r="J73">
        <v>1.18</v>
      </c>
      <c r="K73">
        <v>19.32884275</v>
      </c>
      <c r="L73">
        <v>1.666685294840458</v>
      </c>
      <c r="M73">
        <v>-1.745043291875696</v>
      </c>
      <c r="N73">
        <v>-1.0490751757552561</v>
      </c>
      <c r="O73">
        <v>-1.0694139525534381</v>
      </c>
    </row>
    <row r="74" spans="1:15" x14ac:dyDescent="0.25">
      <c r="A74">
        <v>155.10023100000001</v>
      </c>
      <c r="B74">
        <v>-234.36643599999999</v>
      </c>
      <c r="C74">
        <v>-234.53557975000001</v>
      </c>
      <c r="D74">
        <v>195.17168050000001</v>
      </c>
      <c r="E74">
        <v>15.467949750000001</v>
      </c>
      <c r="F74">
        <v>5.2625027499999986</v>
      </c>
      <c r="G74">
        <v>253.490036</v>
      </c>
      <c r="H74">
        <v>-32</v>
      </c>
      <c r="I74">
        <v>-32</v>
      </c>
      <c r="J74">
        <v>1.18</v>
      </c>
      <c r="K74">
        <v>20.511534749999999</v>
      </c>
      <c r="L74">
        <v>1.559039198552854</v>
      </c>
      <c r="M74">
        <v>-1.7187012931521679</v>
      </c>
      <c r="N74">
        <v>-0.95239810036525629</v>
      </c>
      <c r="O74">
        <v>-0.95913420476463385</v>
      </c>
    </row>
    <row r="75" spans="1:15" x14ac:dyDescent="0.25">
      <c r="A75">
        <v>158.89086125</v>
      </c>
      <c r="B75">
        <v>-214.31511649999999</v>
      </c>
      <c r="C75">
        <v>-203.95576075</v>
      </c>
      <c r="D75">
        <v>221.15077199999999</v>
      </c>
      <c r="E75">
        <v>41.3521395</v>
      </c>
      <c r="F75">
        <v>6.0421275000000003</v>
      </c>
      <c r="G75">
        <v>265.29608925000002</v>
      </c>
      <c r="H75">
        <v>-32</v>
      </c>
      <c r="I75">
        <v>-28</v>
      </c>
      <c r="J75">
        <v>1.18</v>
      </c>
      <c r="K75">
        <v>20.962179249999998</v>
      </c>
      <c r="L75">
        <v>1.448570156477947</v>
      </c>
      <c r="M75">
        <v>-1.7384746548535579</v>
      </c>
      <c r="N75">
        <v>-0.89404113607306201</v>
      </c>
      <c r="O75">
        <v>-0.85904056144985486</v>
      </c>
    </row>
    <row r="76" spans="1:15" x14ac:dyDescent="0.25">
      <c r="A76">
        <v>143.81856925</v>
      </c>
      <c r="B76">
        <v>-176.27754200000001</v>
      </c>
      <c r="C76">
        <v>-153.80122775000001</v>
      </c>
      <c r="D76">
        <v>224.12980275000001</v>
      </c>
      <c r="E76">
        <v>58.876494999999998</v>
      </c>
      <c r="F76">
        <v>5.7497680000000004</v>
      </c>
      <c r="G76">
        <v>253.61008799999999</v>
      </c>
      <c r="H76">
        <v>-32</v>
      </c>
      <c r="I76">
        <v>-24</v>
      </c>
      <c r="J76">
        <v>1.18</v>
      </c>
      <c r="K76">
        <v>20.496382749999999</v>
      </c>
      <c r="L76">
        <v>1.3291598993778779</v>
      </c>
      <c r="M76">
        <v>-1.788204580221527</v>
      </c>
      <c r="N76">
        <v>-0.8696710710314145</v>
      </c>
      <c r="O76">
        <v>-0.76273732577861564</v>
      </c>
    </row>
    <row r="77" spans="1:15" x14ac:dyDescent="0.25">
      <c r="A77">
        <v>129.55855525000001</v>
      </c>
      <c r="B77">
        <v>-150.385975</v>
      </c>
      <c r="C77">
        <v>-111.9907455</v>
      </c>
      <c r="D77">
        <v>229.05099849999999</v>
      </c>
      <c r="E77">
        <v>73.807964499999997</v>
      </c>
      <c r="F77">
        <v>5.4086824999999994</v>
      </c>
      <c r="G77">
        <v>247.00670650000001</v>
      </c>
      <c r="H77">
        <v>-32</v>
      </c>
      <c r="I77">
        <v>-20</v>
      </c>
      <c r="J77">
        <v>1.18</v>
      </c>
      <c r="K77">
        <v>20.235811999999999</v>
      </c>
      <c r="L77">
        <v>1.178307206917351</v>
      </c>
      <c r="M77">
        <v>-1.850949155315585</v>
      </c>
      <c r="N77">
        <v>-0.84488983392742589</v>
      </c>
      <c r="O77">
        <v>-0.66633572311429079</v>
      </c>
    </row>
    <row r="78" spans="1:15" x14ac:dyDescent="0.25">
      <c r="A78">
        <v>113.1324675</v>
      </c>
      <c r="B78">
        <v>-133.92295824999999</v>
      </c>
      <c r="C78">
        <v>-73.111957750000002</v>
      </c>
      <c r="D78">
        <v>230.52605449999999</v>
      </c>
      <c r="E78">
        <v>84.358340999999996</v>
      </c>
      <c r="F78">
        <v>5.2625027499999986</v>
      </c>
      <c r="G78">
        <v>239.88305650000001</v>
      </c>
      <c r="H78">
        <v>-32</v>
      </c>
      <c r="I78">
        <v>-16</v>
      </c>
      <c r="J78">
        <v>1.18</v>
      </c>
      <c r="K78">
        <v>19.941455749999999</v>
      </c>
      <c r="L78">
        <v>0.9913116480357006</v>
      </c>
      <c r="M78">
        <v>-1.9398448718572749</v>
      </c>
      <c r="N78">
        <v>-0.82780829447873938</v>
      </c>
      <c r="O78">
        <v>-0.5789977045097936</v>
      </c>
    </row>
    <row r="79" spans="1:15" x14ac:dyDescent="0.25">
      <c r="A79">
        <v>94.856176500000004</v>
      </c>
      <c r="B79">
        <v>-124.08979625000001</v>
      </c>
      <c r="C79">
        <v>-38.517960500000001</v>
      </c>
      <c r="D79">
        <v>230.02946474999999</v>
      </c>
      <c r="E79">
        <v>90.304105750000005</v>
      </c>
      <c r="F79">
        <v>5.067596</v>
      </c>
      <c r="G79">
        <v>234.72041325000001</v>
      </c>
      <c r="H79">
        <v>-32</v>
      </c>
      <c r="I79">
        <v>-12</v>
      </c>
      <c r="J79">
        <v>1.18</v>
      </c>
      <c r="K79">
        <v>19.729209749999999</v>
      </c>
      <c r="L79">
        <v>0.77719071328396805</v>
      </c>
      <c r="M79">
        <v>-2.0635518066622041</v>
      </c>
      <c r="N79">
        <v>-0.84155795741432649</v>
      </c>
      <c r="O79">
        <v>-0.50330764343274559</v>
      </c>
    </row>
    <row r="80" spans="1:15" x14ac:dyDescent="0.25">
      <c r="A80">
        <v>75.632236500000005</v>
      </c>
      <c r="B80">
        <v>-118.2858275</v>
      </c>
      <c r="C80">
        <v>-6.5399345000000002</v>
      </c>
      <c r="D80">
        <v>229.29932775</v>
      </c>
      <c r="E80">
        <v>95.892231249999995</v>
      </c>
      <c r="F80">
        <v>5.1163232499999998</v>
      </c>
      <c r="G80">
        <v>231.158581</v>
      </c>
      <c r="H80">
        <v>-32</v>
      </c>
      <c r="I80">
        <v>-8</v>
      </c>
      <c r="J80">
        <v>1.18</v>
      </c>
      <c r="K80">
        <v>19.57351375</v>
      </c>
      <c r="L80">
        <v>0.51906875448892642</v>
      </c>
      <c r="M80">
        <v>-2.1957165400537062</v>
      </c>
      <c r="N80">
        <v>-0.85450134066259842</v>
      </c>
      <c r="O80">
        <v>-0.42659029890398392</v>
      </c>
    </row>
    <row r="81" spans="1:15" x14ac:dyDescent="0.25">
      <c r="A81">
        <v>53.204302749999997</v>
      </c>
      <c r="B81">
        <v>-113.8728905</v>
      </c>
      <c r="C81">
        <v>20.097154249999999</v>
      </c>
      <c r="D81">
        <v>224.5098155</v>
      </c>
      <c r="E81">
        <v>95.445180999999991</v>
      </c>
      <c r="F81">
        <v>4.7752374999999994</v>
      </c>
      <c r="G81">
        <v>225.27556625</v>
      </c>
      <c r="H81">
        <v>-32</v>
      </c>
      <c r="I81">
        <v>-4</v>
      </c>
      <c r="J81">
        <v>1.18</v>
      </c>
      <c r="K81">
        <v>19.332077999999999</v>
      </c>
      <c r="L81">
        <v>0.23257284102980269</v>
      </c>
      <c r="M81">
        <v>-2.3774979176880939</v>
      </c>
      <c r="N81">
        <v>-0.91224197138933594</v>
      </c>
      <c r="O81">
        <v>-0.36298461586067882</v>
      </c>
    </row>
    <row r="82" spans="1:15" x14ac:dyDescent="0.25">
      <c r="A82">
        <v>29.0615545</v>
      </c>
      <c r="B82">
        <v>-112.38592149999999</v>
      </c>
      <c r="C82">
        <v>46.833130750000002</v>
      </c>
      <c r="D82">
        <v>222.5823135</v>
      </c>
      <c r="E82">
        <v>96.294574749999995</v>
      </c>
      <c r="F82">
        <v>4.8726909999999997</v>
      </c>
      <c r="G82">
        <v>222.91435999999999</v>
      </c>
      <c r="H82">
        <v>-32</v>
      </c>
      <c r="I82">
        <v>0</v>
      </c>
      <c r="J82">
        <v>1.1625000000000001</v>
      </c>
      <c r="K82">
        <v>19.373137750000001</v>
      </c>
      <c r="L82">
        <v>-0.12880598349465799</v>
      </c>
      <c r="M82">
        <v>-2.428077326626827</v>
      </c>
      <c r="N82">
        <v>-0.91782785401172329</v>
      </c>
      <c r="O82">
        <v>-0.33730243456098591</v>
      </c>
    </row>
    <row r="83" spans="1:15" x14ac:dyDescent="0.25">
      <c r="A83">
        <v>4.0162762499999998</v>
      </c>
      <c r="B83">
        <v>-111.28268799999999</v>
      </c>
      <c r="C83">
        <v>68.736761000000001</v>
      </c>
      <c r="D83">
        <v>218.77113374999999</v>
      </c>
      <c r="E83">
        <v>94.729904000000005</v>
      </c>
      <c r="F83">
        <v>4.6777839999999999</v>
      </c>
      <c r="G83">
        <v>220.19295875</v>
      </c>
      <c r="H83">
        <v>-32</v>
      </c>
      <c r="I83">
        <v>4</v>
      </c>
      <c r="J83">
        <v>1.18</v>
      </c>
      <c r="K83">
        <v>19.112294500000001</v>
      </c>
      <c r="L83">
        <v>-0.43623097714000381</v>
      </c>
      <c r="M83">
        <v>-2.2246354646623949</v>
      </c>
      <c r="N83">
        <v>-0.84564862477372649</v>
      </c>
      <c r="O83">
        <v>-0.39302883280407219</v>
      </c>
    </row>
    <row r="84" spans="1:15" x14ac:dyDescent="0.25">
      <c r="A84">
        <v>-23.382454750000001</v>
      </c>
      <c r="B84">
        <v>-112.62575525</v>
      </c>
      <c r="C84">
        <v>87.027418249999997</v>
      </c>
      <c r="D84">
        <v>214.60948174999999</v>
      </c>
      <c r="E84">
        <v>90.617042249999997</v>
      </c>
      <c r="F84">
        <v>4.6290575</v>
      </c>
      <c r="G84">
        <v>217.1513975</v>
      </c>
      <c r="H84">
        <v>-32</v>
      </c>
      <c r="I84">
        <v>8</v>
      </c>
      <c r="J84">
        <v>1.18</v>
      </c>
      <c r="K84">
        <v>18.97912925</v>
      </c>
      <c r="L84">
        <v>-0.69603544028329434</v>
      </c>
      <c r="M84">
        <v>-2.0630461409788912</v>
      </c>
      <c r="N84">
        <v>-0.79776005299977415</v>
      </c>
      <c r="O84">
        <v>-0.45789652044684531</v>
      </c>
    </row>
    <row r="85" spans="1:15" x14ac:dyDescent="0.25">
      <c r="A85">
        <v>-49.606438750000002</v>
      </c>
      <c r="B85">
        <v>-114.40842050000001</v>
      </c>
      <c r="C85">
        <v>103.9632185</v>
      </c>
      <c r="D85">
        <v>210.4308015</v>
      </c>
      <c r="E85">
        <v>86.995939500000006</v>
      </c>
      <c r="F85">
        <v>4.8239642500000004</v>
      </c>
      <c r="G85">
        <v>215.47053500000001</v>
      </c>
      <c r="H85">
        <v>-32</v>
      </c>
      <c r="I85">
        <v>12</v>
      </c>
      <c r="J85">
        <v>1.18</v>
      </c>
      <c r="K85">
        <v>18.8951855</v>
      </c>
      <c r="L85">
        <v>-0.90867368963346928</v>
      </c>
      <c r="M85">
        <v>-1.9221066685043391</v>
      </c>
      <c r="N85">
        <v>-0.76020245509098661</v>
      </c>
      <c r="O85">
        <v>-0.51378498408835771</v>
      </c>
    </row>
    <row r="86" spans="1:15" x14ac:dyDescent="0.25">
      <c r="A86">
        <v>-76.189363499999999</v>
      </c>
      <c r="B86">
        <v>-114.16068850000001</v>
      </c>
      <c r="C86">
        <v>115.79569600000001</v>
      </c>
      <c r="D86">
        <v>202.79450224999999</v>
      </c>
      <c r="E86">
        <v>76.624380250000002</v>
      </c>
      <c r="F86">
        <v>4.6777842500000002</v>
      </c>
      <c r="G86">
        <v>213.26940500000001</v>
      </c>
      <c r="H86">
        <v>-32</v>
      </c>
      <c r="I86">
        <v>16</v>
      </c>
      <c r="J86">
        <v>1.18</v>
      </c>
      <c r="K86">
        <v>18.802793000000001</v>
      </c>
      <c r="L86">
        <v>-1.117503383277068</v>
      </c>
      <c r="M86">
        <v>-1.84492605000026</v>
      </c>
      <c r="N86">
        <v>-0.79538725848921399</v>
      </c>
      <c r="O86">
        <v>-0.58122423348609686</v>
      </c>
    </row>
    <row r="87" spans="1:15" x14ac:dyDescent="0.25">
      <c r="A87">
        <v>-108.944935</v>
      </c>
      <c r="B87">
        <v>-127.9360465</v>
      </c>
      <c r="C87">
        <v>133.31859574999999</v>
      </c>
      <c r="D87">
        <v>206.26847075000001</v>
      </c>
      <c r="E87">
        <v>66.923395249999999</v>
      </c>
      <c r="F87">
        <v>4.9701434999999998</v>
      </c>
      <c r="G87">
        <v>224.11497499999999</v>
      </c>
      <c r="H87">
        <v>-32</v>
      </c>
      <c r="I87">
        <v>20</v>
      </c>
      <c r="J87">
        <v>1.18</v>
      </c>
      <c r="K87">
        <v>19.272492249999999</v>
      </c>
      <c r="L87">
        <v>-1.306960606653393</v>
      </c>
      <c r="M87">
        <v>-1.8029763592896479</v>
      </c>
      <c r="N87">
        <v>-0.84802620378400673</v>
      </c>
      <c r="O87">
        <v>-0.66577359233120059</v>
      </c>
    </row>
    <row r="88" spans="1:15" x14ac:dyDescent="0.25">
      <c r="A88">
        <v>-157.87554175</v>
      </c>
      <c r="B88">
        <v>-170.1976775</v>
      </c>
      <c r="C88">
        <v>162.5836525</v>
      </c>
      <c r="D88">
        <v>224.1737555</v>
      </c>
      <c r="E88">
        <v>56.373016249999999</v>
      </c>
      <c r="F88">
        <v>5.7497680000000004</v>
      </c>
      <c r="G88">
        <v>255.37099449999999</v>
      </c>
      <c r="H88">
        <v>-32</v>
      </c>
      <c r="I88">
        <v>24</v>
      </c>
      <c r="J88">
        <v>1.18</v>
      </c>
      <c r="K88">
        <v>20.569027500000001</v>
      </c>
      <c r="L88">
        <v>-1.4539387596573681</v>
      </c>
      <c r="M88">
        <v>-1.78926687431551</v>
      </c>
      <c r="N88">
        <v>-0.90286602852153219</v>
      </c>
      <c r="O88">
        <v>-0.7703355799066588</v>
      </c>
    </row>
    <row r="89" spans="1:15" x14ac:dyDescent="0.25">
      <c r="A89">
        <v>-200.6655045</v>
      </c>
      <c r="B89">
        <v>-206.66909824999999</v>
      </c>
      <c r="C89">
        <v>176.40326675</v>
      </c>
      <c r="D89">
        <v>218.96037699999999</v>
      </c>
      <c r="E89">
        <v>27.806527249999998</v>
      </c>
      <c r="F89">
        <v>5.8959477500000004</v>
      </c>
      <c r="G89">
        <v>266.65679175000002</v>
      </c>
      <c r="H89">
        <v>-32</v>
      </c>
      <c r="I89">
        <v>28</v>
      </c>
      <c r="J89">
        <v>1.18</v>
      </c>
      <c r="K89">
        <v>21.023011499999999</v>
      </c>
      <c r="L89">
        <v>-1.6290093075267911</v>
      </c>
      <c r="M89">
        <v>-1.838788463223324</v>
      </c>
      <c r="N89">
        <v>-1.031896134825911</v>
      </c>
      <c r="O89">
        <v>-0.90535086681013532</v>
      </c>
    </row>
    <row r="90" spans="1:15" x14ac:dyDescent="0.25">
      <c r="A90">
        <v>-227.2614595</v>
      </c>
      <c r="B90">
        <v>-230.55995200000001</v>
      </c>
      <c r="C90">
        <v>173.33223724999999</v>
      </c>
      <c r="D90">
        <v>195.37170025</v>
      </c>
      <c r="E90">
        <v>-9.4107727499999996</v>
      </c>
      <c r="F90">
        <v>5.6523149999999998</v>
      </c>
      <c r="G90">
        <v>257.05184924999998</v>
      </c>
      <c r="H90">
        <v>-32</v>
      </c>
      <c r="I90">
        <v>32</v>
      </c>
      <c r="J90">
        <v>1.18</v>
      </c>
      <c r="K90">
        <v>20.642208249999999</v>
      </c>
      <c r="L90">
        <v>-1.825041482253154</v>
      </c>
      <c r="M90">
        <v>-1.940480821437149</v>
      </c>
      <c r="N90">
        <v>-1.2139675543344131</v>
      </c>
      <c r="O90">
        <v>-1.0686269258718339</v>
      </c>
    </row>
    <row r="91" spans="1:15" x14ac:dyDescent="0.25">
      <c r="A91">
        <v>-252.94327150000001</v>
      </c>
      <c r="B91">
        <v>-256.80139924999997</v>
      </c>
      <c r="C91">
        <v>172.24834799999999</v>
      </c>
      <c r="D91">
        <v>174.85518625</v>
      </c>
      <c r="E91">
        <v>-44.244007000000003</v>
      </c>
      <c r="F91">
        <v>5.4574090000000002</v>
      </c>
      <c r="G91">
        <v>253.04981649999999</v>
      </c>
      <c r="H91">
        <v>-32</v>
      </c>
      <c r="I91">
        <v>36</v>
      </c>
      <c r="J91">
        <v>1.18</v>
      </c>
      <c r="K91">
        <v>20.485306250000001</v>
      </c>
      <c r="L91">
        <v>-2.018705739547499</v>
      </c>
      <c r="M91">
        <v>-2.0493912790034989</v>
      </c>
      <c r="N91">
        <v>-1.4114929853011191</v>
      </c>
      <c r="O91">
        <v>-1.235986138053099</v>
      </c>
    </row>
    <row r="92" spans="1:15" x14ac:dyDescent="0.25">
      <c r="A92">
        <v>-273.62388625</v>
      </c>
      <c r="B92">
        <v>-279.65615100000002</v>
      </c>
      <c r="C92">
        <v>166.28694899999999</v>
      </c>
      <c r="D92">
        <v>151.1184465</v>
      </c>
      <c r="E92">
        <v>-84.20633875</v>
      </c>
      <c r="F92">
        <v>5.2625029999999997</v>
      </c>
      <c r="G92">
        <v>246.92666650000001</v>
      </c>
      <c r="H92">
        <v>-32</v>
      </c>
      <c r="I92">
        <v>40</v>
      </c>
      <c r="J92">
        <v>1.18</v>
      </c>
      <c r="K92">
        <v>20.2385795</v>
      </c>
      <c r="L92">
        <v>-2.2860401715778349</v>
      </c>
      <c r="M92">
        <v>-2.23856200460656</v>
      </c>
      <c r="N92">
        <v>-1.720765389796495</v>
      </c>
      <c r="O92">
        <v>-1.4649347759152891</v>
      </c>
    </row>
    <row r="93" spans="1:15" x14ac:dyDescent="0.25">
      <c r="A93">
        <v>-291.24070725000001</v>
      </c>
      <c r="B93">
        <v>-299.44969175</v>
      </c>
      <c r="C93">
        <v>160.280384</v>
      </c>
      <c r="D93">
        <v>129.99961074999999</v>
      </c>
      <c r="E93">
        <v>-122.07243149999999</v>
      </c>
      <c r="F93">
        <v>5.3112294999999996</v>
      </c>
      <c r="G93">
        <v>244.00518025</v>
      </c>
      <c r="H93">
        <v>-32</v>
      </c>
      <c r="I93">
        <v>44</v>
      </c>
      <c r="J93">
        <v>1.18</v>
      </c>
      <c r="K93">
        <v>20.113823499999999</v>
      </c>
      <c r="L93">
        <v>-2.605859068229218</v>
      </c>
      <c r="M93">
        <v>-2.4784850478332161</v>
      </c>
      <c r="N93">
        <v>-2.1127618737060598</v>
      </c>
      <c r="O93">
        <v>-1.7351834521345759</v>
      </c>
    </row>
    <row r="94" spans="1:15" x14ac:dyDescent="0.25">
      <c r="A94">
        <v>162.18510825000001</v>
      </c>
      <c r="B94">
        <v>-292.51383225000001</v>
      </c>
      <c r="C94">
        <v>-282.97619624999999</v>
      </c>
      <c r="D94">
        <v>121.10507</v>
      </c>
      <c r="E94">
        <v>-51.870746750000002</v>
      </c>
      <c r="F94">
        <v>5.0675964999999996</v>
      </c>
      <c r="G94">
        <v>238.9625815</v>
      </c>
      <c r="H94">
        <v>-28</v>
      </c>
      <c r="I94">
        <v>-44</v>
      </c>
      <c r="J94">
        <v>1.18</v>
      </c>
      <c r="K94">
        <v>19.910593250000002</v>
      </c>
      <c r="L94">
        <v>1.8872790136863269</v>
      </c>
      <c r="M94">
        <v>-1.753561469192457</v>
      </c>
      <c r="N94">
        <v>-1.2330041192782479</v>
      </c>
      <c r="O94">
        <v>-1.241393415712672</v>
      </c>
    </row>
    <row r="95" spans="1:15" x14ac:dyDescent="0.25">
      <c r="A95">
        <v>163.80966549999999</v>
      </c>
      <c r="B95">
        <v>-258.88212600000003</v>
      </c>
      <c r="C95">
        <v>-252.44147475</v>
      </c>
      <c r="D95">
        <v>139.66493600000001</v>
      </c>
      <c r="E95">
        <v>-17.84032625</v>
      </c>
      <c r="F95">
        <v>4.8726905</v>
      </c>
      <c r="G95">
        <v>234.72041325000001</v>
      </c>
      <c r="H95">
        <v>-28</v>
      </c>
      <c r="I95">
        <v>-40</v>
      </c>
      <c r="J95">
        <v>1.18</v>
      </c>
      <c r="K95">
        <v>19.737572499999999</v>
      </c>
      <c r="L95">
        <v>1.7502785005094399</v>
      </c>
      <c r="M95">
        <v>-1.6758410417795231</v>
      </c>
      <c r="N95">
        <v>-1.0620035330683311</v>
      </c>
      <c r="O95">
        <v>-1.095510388845117</v>
      </c>
    </row>
    <row r="96" spans="1:15" x14ac:dyDescent="0.25">
      <c r="A96">
        <v>164.26093675000001</v>
      </c>
      <c r="B96">
        <v>-222.10124949999999</v>
      </c>
      <c r="C96">
        <v>-221.13998774999999</v>
      </c>
      <c r="D96">
        <v>156.48775499999999</v>
      </c>
      <c r="E96">
        <v>14.037388999999999</v>
      </c>
      <c r="F96">
        <v>4.9701434999999998</v>
      </c>
      <c r="G96">
        <v>232.51928749999999</v>
      </c>
      <c r="H96">
        <v>-28</v>
      </c>
      <c r="I96">
        <v>-36</v>
      </c>
      <c r="J96">
        <v>1.18</v>
      </c>
      <c r="K96">
        <v>19.638646999999999</v>
      </c>
      <c r="L96">
        <v>1.6354292006137701</v>
      </c>
      <c r="M96">
        <v>-1.606521394779737</v>
      </c>
      <c r="N96">
        <v>-0.92712235952139543</v>
      </c>
      <c r="O96">
        <v>-0.9615230829285859</v>
      </c>
    </row>
    <row r="97" spans="1:15" x14ac:dyDescent="0.25">
      <c r="A97">
        <v>160.10928325</v>
      </c>
      <c r="B97">
        <v>-184.0258255</v>
      </c>
      <c r="C97">
        <v>-181.62977975000001</v>
      </c>
      <c r="D97">
        <v>169.80593875</v>
      </c>
      <c r="E97">
        <v>42.06741925</v>
      </c>
      <c r="F97">
        <v>4.9214167499999997</v>
      </c>
      <c r="G97">
        <v>227.59675250000001</v>
      </c>
      <c r="H97">
        <v>-28</v>
      </c>
      <c r="I97">
        <v>-32</v>
      </c>
      <c r="J97">
        <v>1.18</v>
      </c>
      <c r="K97">
        <v>19.427186500000001</v>
      </c>
      <c r="L97">
        <v>1.51954766097168</v>
      </c>
      <c r="M97">
        <v>-1.5733190433895019</v>
      </c>
      <c r="N97">
        <v>-0.8249616160593588</v>
      </c>
      <c r="O97">
        <v>-0.8348292034976782</v>
      </c>
    </row>
    <row r="98" spans="1:15" x14ac:dyDescent="0.25">
      <c r="A98">
        <v>154.96484749999999</v>
      </c>
      <c r="B98">
        <v>-151.83564000000001</v>
      </c>
      <c r="C98">
        <v>-141.75872425</v>
      </c>
      <c r="D98">
        <v>182.70916374999999</v>
      </c>
      <c r="E98">
        <v>64.375211500000006</v>
      </c>
      <c r="F98">
        <v>4.8239642500000004</v>
      </c>
      <c r="G98">
        <v>225.5557025</v>
      </c>
      <c r="H98">
        <v>-28</v>
      </c>
      <c r="I98">
        <v>-28</v>
      </c>
      <c r="J98">
        <v>1.18</v>
      </c>
      <c r="K98">
        <v>19.342222249999999</v>
      </c>
      <c r="L98">
        <v>1.4051235357830081</v>
      </c>
      <c r="M98">
        <v>-1.584229261596805</v>
      </c>
      <c r="N98">
        <v>-0.76326997534727825</v>
      </c>
      <c r="O98">
        <v>-0.71799583455980376</v>
      </c>
    </row>
    <row r="99" spans="1:15" x14ac:dyDescent="0.25">
      <c r="A99">
        <v>147.51895525</v>
      </c>
      <c r="B99">
        <v>-124.0504495</v>
      </c>
      <c r="C99">
        <v>-104.1879235</v>
      </c>
      <c r="D99">
        <v>193.12491975</v>
      </c>
      <c r="E99">
        <v>82.525438250000008</v>
      </c>
      <c r="F99">
        <v>4.7752374999999994</v>
      </c>
      <c r="G99">
        <v>223.15448000000001</v>
      </c>
      <c r="H99">
        <v>-28</v>
      </c>
      <c r="I99">
        <v>-24</v>
      </c>
      <c r="J99">
        <v>1.18</v>
      </c>
      <c r="K99">
        <v>19.2388735</v>
      </c>
      <c r="L99">
        <v>1.280025658113829</v>
      </c>
      <c r="M99">
        <v>-1.612981046755926</v>
      </c>
      <c r="N99">
        <v>-0.71518949039559554</v>
      </c>
      <c r="O99">
        <v>-0.60462934315564254</v>
      </c>
    </row>
    <row r="100" spans="1:15" x14ac:dyDescent="0.25">
      <c r="A100">
        <v>135.60552200000001</v>
      </c>
      <c r="B100">
        <v>-101.31274974999999</v>
      </c>
      <c r="C100">
        <v>-67.203464249999996</v>
      </c>
      <c r="D100">
        <v>199.75329199999999</v>
      </c>
      <c r="E100">
        <v>98.038071000000002</v>
      </c>
      <c r="F100">
        <v>4.6290575</v>
      </c>
      <c r="G100">
        <v>219.43256375000001</v>
      </c>
      <c r="H100">
        <v>-28</v>
      </c>
      <c r="I100">
        <v>-20</v>
      </c>
      <c r="J100">
        <v>1.18</v>
      </c>
      <c r="K100">
        <v>19.080712500000001</v>
      </c>
      <c r="L100">
        <v>1.112520902706934</v>
      </c>
      <c r="M100">
        <v>-1.6515263506249971</v>
      </c>
      <c r="N100">
        <v>-0.66592946820944188</v>
      </c>
      <c r="O100">
        <v>-0.48759066968844911</v>
      </c>
    </row>
    <row r="101" spans="1:15" x14ac:dyDescent="0.25">
      <c r="A101">
        <v>123.87260449999999</v>
      </c>
      <c r="B101">
        <v>-87.497259249999999</v>
      </c>
      <c r="C101">
        <v>-35.315645250000003</v>
      </c>
      <c r="D101">
        <v>205.52379225000001</v>
      </c>
      <c r="E101">
        <v>109.795481</v>
      </c>
      <c r="F101">
        <v>4.7265107500000001</v>
      </c>
      <c r="G101">
        <v>218.07186874999999</v>
      </c>
      <c r="H101">
        <v>-28</v>
      </c>
      <c r="I101">
        <v>-16</v>
      </c>
      <c r="J101">
        <v>1.18</v>
      </c>
      <c r="K101">
        <v>19.015842750000001</v>
      </c>
      <c r="L101">
        <v>0.9298283842963756</v>
      </c>
      <c r="M101">
        <v>-1.711605327752006</v>
      </c>
      <c r="N101">
        <v>-0.63249442823647417</v>
      </c>
      <c r="O101">
        <v>-0.38630624383135931</v>
      </c>
    </row>
    <row r="102" spans="1:15" x14ac:dyDescent="0.25">
      <c r="A102">
        <v>107.7624015</v>
      </c>
      <c r="B102">
        <v>-81.255556249999998</v>
      </c>
      <c r="C102">
        <v>-9.5618352499999997</v>
      </c>
      <c r="D102">
        <v>207.52592874999999</v>
      </c>
      <c r="E102">
        <v>114.84714525</v>
      </c>
      <c r="F102">
        <v>4.7265107500000001</v>
      </c>
      <c r="G102">
        <v>214.950275</v>
      </c>
      <c r="H102">
        <v>-28</v>
      </c>
      <c r="I102">
        <v>-12</v>
      </c>
      <c r="J102">
        <v>1.18</v>
      </c>
      <c r="K102">
        <v>18.87621025</v>
      </c>
      <c r="L102">
        <v>0.73210008965467499</v>
      </c>
      <c r="M102">
        <v>-1.802022443678218</v>
      </c>
      <c r="N102">
        <v>-0.62466504480648455</v>
      </c>
      <c r="O102">
        <v>-0.31283928503804098</v>
      </c>
    </row>
    <row r="103" spans="1:15" x14ac:dyDescent="0.25">
      <c r="A103">
        <v>91.336299749999995</v>
      </c>
      <c r="B103">
        <v>-75.931251750000001</v>
      </c>
      <c r="C103">
        <v>16.75515725</v>
      </c>
      <c r="D103">
        <v>208.40212625000001</v>
      </c>
      <c r="E103">
        <v>120.39056574999999</v>
      </c>
      <c r="F103">
        <v>4.7752369999999997</v>
      </c>
      <c r="G103">
        <v>212.82918549999999</v>
      </c>
      <c r="H103">
        <v>-28</v>
      </c>
      <c r="I103">
        <v>-8</v>
      </c>
      <c r="J103">
        <v>1.18</v>
      </c>
      <c r="K103">
        <v>18.7785455</v>
      </c>
      <c r="L103">
        <v>0.49726002284655701</v>
      </c>
      <c r="M103">
        <v>-1.8958509469332681</v>
      </c>
      <c r="N103">
        <v>-0.61637261138652455</v>
      </c>
      <c r="O103">
        <v>-0.22911621401348489</v>
      </c>
    </row>
    <row r="104" spans="1:15" x14ac:dyDescent="0.25">
      <c r="A104">
        <v>70.713432249999997</v>
      </c>
      <c r="B104">
        <v>-73.298242500000001</v>
      </c>
      <c r="C104">
        <v>43.491132499999999</v>
      </c>
      <c r="D104">
        <v>208.19638825000001</v>
      </c>
      <c r="E104">
        <v>123.0728665</v>
      </c>
      <c r="F104">
        <v>4.7265110000000004</v>
      </c>
      <c r="G104">
        <v>211.508511</v>
      </c>
      <c r="H104">
        <v>-28</v>
      </c>
      <c r="I104">
        <v>-4</v>
      </c>
      <c r="J104">
        <v>1.18</v>
      </c>
      <c r="K104">
        <v>18.721055499999999</v>
      </c>
      <c r="L104">
        <v>0.1972958029403668</v>
      </c>
      <c r="M104">
        <v>-2.04017934531017</v>
      </c>
      <c r="N104">
        <v>-0.64096452150964933</v>
      </c>
      <c r="O104">
        <v>-0.1422761329196455</v>
      </c>
    </row>
    <row r="105" spans="1:15" x14ac:dyDescent="0.25">
      <c r="A105">
        <v>48.646509999999999</v>
      </c>
      <c r="B105">
        <v>-71.811132499999999</v>
      </c>
      <c r="C105">
        <v>64.807658500000002</v>
      </c>
      <c r="D105">
        <v>204.9850385</v>
      </c>
      <c r="E105">
        <v>121.77643</v>
      </c>
      <c r="F105">
        <v>4.5316045000000003</v>
      </c>
      <c r="G105">
        <v>208.14678225</v>
      </c>
      <c r="H105">
        <v>-28</v>
      </c>
      <c r="I105">
        <v>0</v>
      </c>
      <c r="J105">
        <v>1.18</v>
      </c>
      <c r="K105">
        <v>18.577146750000001</v>
      </c>
      <c r="L105">
        <v>-0.1211598916127956</v>
      </c>
      <c r="M105">
        <v>-2.0755977563018768</v>
      </c>
      <c r="N105">
        <v>-0.6476764698492179</v>
      </c>
      <c r="O105">
        <v>-0.1208218121092894</v>
      </c>
    </row>
    <row r="106" spans="1:15" x14ac:dyDescent="0.25">
      <c r="A106">
        <v>27.346742500000001</v>
      </c>
      <c r="B106">
        <v>-73.873705000000001</v>
      </c>
      <c r="C106">
        <v>85.130611500000001</v>
      </c>
      <c r="D106">
        <v>206.80742649999999</v>
      </c>
      <c r="E106">
        <v>122.670523</v>
      </c>
      <c r="F106">
        <v>4.4341514999999996</v>
      </c>
      <c r="G106">
        <v>210.30789200000001</v>
      </c>
      <c r="H106">
        <v>-28</v>
      </c>
      <c r="I106">
        <v>4</v>
      </c>
      <c r="J106">
        <v>1.18</v>
      </c>
      <c r="K106">
        <v>18.6798295</v>
      </c>
      <c r="L106">
        <v>-0.39597117594120529</v>
      </c>
      <c r="M106">
        <v>-1.9233284246026641</v>
      </c>
      <c r="N106">
        <v>-0.60052256689356864</v>
      </c>
      <c r="O106">
        <v>-0.1897852644724001</v>
      </c>
    </row>
    <row r="107" spans="1:15" x14ac:dyDescent="0.25">
      <c r="A107">
        <v>6.4079872499999997</v>
      </c>
      <c r="B107">
        <v>-83.557959000000011</v>
      </c>
      <c r="C107">
        <v>118.64090525</v>
      </c>
      <c r="D107">
        <v>233.91429875</v>
      </c>
      <c r="E107">
        <v>139.65841649999999</v>
      </c>
      <c r="F107">
        <v>5.3599560000000004</v>
      </c>
      <c r="G107">
        <v>240.12318024999999</v>
      </c>
      <c r="H107">
        <v>-28</v>
      </c>
      <c r="I107">
        <v>8</v>
      </c>
      <c r="J107">
        <v>1.18</v>
      </c>
      <c r="K107">
        <v>19.94746825</v>
      </c>
      <c r="L107">
        <v>-0.62969764911901749</v>
      </c>
      <c r="M107">
        <v>-1.781220168812395</v>
      </c>
      <c r="N107">
        <v>-0.56366819482296682</v>
      </c>
      <c r="O107">
        <v>-0.24650705130207401</v>
      </c>
    </row>
    <row r="108" spans="1:15" x14ac:dyDescent="0.25">
      <c r="A108">
        <v>-23.69935375</v>
      </c>
      <c r="B108">
        <v>-94.878093750000005</v>
      </c>
      <c r="C108">
        <v>152.19636525000001</v>
      </c>
      <c r="D108">
        <v>254.44601424999999</v>
      </c>
      <c r="E108">
        <v>149.04647075</v>
      </c>
      <c r="F108">
        <v>5.9446744999999996</v>
      </c>
      <c r="G108">
        <v>265.656273</v>
      </c>
      <c r="H108">
        <v>-28</v>
      </c>
      <c r="I108">
        <v>12</v>
      </c>
      <c r="J108">
        <v>1.18</v>
      </c>
      <c r="K108">
        <v>20.980635750000001</v>
      </c>
      <c r="L108">
        <v>-0.8443105055829967</v>
      </c>
      <c r="M108">
        <v>-1.676747176842609</v>
      </c>
      <c r="N108">
        <v>-0.55974632702591409</v>
      </c>
      <c r="O108">
        <v>-0.31312468454918613</v>
      </c>
    </row>
    <row r="109" spans="1:15" x14ac:dyDescent="0.25">
      <c r="A109">
        <v>-56.856701999999999</v>
      </c>
      <c r="B109">
        <v>-95.460319499999997</v>
      </c>
      <c r="C109">
        <v>164.39013650000001</v>
      </c>
      <c r="D109">
        <v>242.05032349999999</v>
      </c>
      <c r="E109">
        <v>132.95267100000001</v>
      </c>
      <c r="F109">
        <v>5.6035884999999999</v>
      </c>
      <c r="G109">
        <v>259.4931105</v>
      </c>
      <c r="H109">
        <v>-28</v>
      </c>
      <c r="I109">
        <v>16</v>
      </c>
      <c r="J109">
        <v>1.18</v>
      </c>
      <c r="K109">
        <v>20.744169500000002</v>
      </c>
      <c r="L109">
        <v>-1.0580352917600411</v>
      </c>
      <c r="M109">
        <v>-1.6140324294331869</v>
      </c>
      <c r="N109">
        <v>-0.60513850139518743</v>
      </c>
      <c r="O109">
        <v>-0.39100233657538602</v>
      </c>
    </row>
    <row r="110" spans="1:15" x14ac:dyDescent="0.25">
      <c r="A110">
        <v>-88.489597500000002</v>
      </c>
      <c r="B110">
        <v>-104.86254700000001</v>
      </c>
      <c r="C110">
        <v>171.66124350000001</v>
      </c>
      <c r="D110">
        <v>225.25376900000001</v>
      </c>
      <c r="E110">
        <v>109.21432325000001</v>
      </c>
      <c r="F110">
        <v>5.5061355000000001</v>
      </c>
      <c r="G110">
        <v>251.12882625</v>
      </c>
      <c r="H110">
        <v>-28</v>
      </c>
      <c r="I110">
        <v>20</v>
      </c>
      <c r="J110">
        <v>1.18</v>
      </c>
      <c r="K110">
        <v>20.403657500000001</v>
      </c>
      <c r="L110">
        <v>-1.2635444654932491</v>
      </c>
      <c r="M110">
        <v>-1.6033538843558921</v>
      </c>
      <c r="N110">
        <v>-0.6892720255964323</v>
      </c>
      <c r="O110">
        <v>-0.49629066634628238</v>
      </c>
    </row>
    <row r="111" spans="1:15" x14ac:dyDescent="0.25">
      <c r="A111">
        <v>-115.74836725</v>
      </c>
      <c r="B111">
        <v>-123.1956005</v>
      </c>
      <c r="C111">
        <v>175.500023</v>
      </c>
      <c r="D111">
        <v>206.8689</v>
      </c>
      <c r="E111">
        <v>81.899566500000006</v>
      </c>
      <c r="F111">
        <v>5.2137762499999996</v>
      </c>
      <c r="G111">
        <v>243.24478149999999</v>
      </c>
      <c r="H111">
        <v>-28</v>
      </c>
      <c r="I111">
        <v>24</v>
      </c>
      <c r="J111">
        <v>1.18</v>
      </c>
      <c r="K111">
        <v>20.085858250000001</v>
      </c>
      <c r="L111">
        <v>-1.4463241775908711</v>
      </c>
      <c r="M111">
        <v>-1.6390866033373019</v>
      </c>
      <c r="N111">
        <v>-0.80123752013754945</v>
      </c>
      <c r="O111">
        <v>-0.6191894712856757</v>
      </c>
    </row>
    <row r="112" spans="1:15" x14ac:dyDescent="0.25">
      <c r="A112">
        <v>-144.899475</v>
      </c>
      <c r="B112">
        <v>-150.44457249999999</v>
      </c>
      <c r="C112">
        <v>178.16458524999999</v>
      </c>
      <c r="D112">
        <v>189.91456224999999</v>
      </c>
      <c r="E112">
        <v>51.410762750000004</v>
      </c>
      <c r="F112">
        <v>5.1163232499999998</v>
      </c>
      <c r="G112">
        <v>238.68243774999999</v>
      </c>
      <c r="H112">
        <v>-28</v>
      </c>
      <c r="I112">
        <v>28</v>
      </c>
      <c r="J112">
        <v>1.18</v>
      </c>
      <c r="K112">
        <v>19.896598000000001</v>
      </c>
      <c r="L112">
        <v>-1.6227548142843591</v>
      </c>
      <c r="M112">
        <v>-1.7096340264309451</v>
      </c>
      <c r="N112">
        <v>-0.94067367774341659</v>
      </c>
      <c r="O112">
        <v>-0.76745646625740904</v>
      </c>
    </row>
    <row r="113" spans="1:15" x14ac:dyDescent="0.25">
      <c r="A113">
        <v>-172.65384675000001</v>
      </c>
      <c r="B113">
        <v>-178.66508099999999</v>
      </c>
      <c r="C113">
        <v>177.80329125</v>
      </c>
      <c r="D113">
        <v>170.74759675000001</v>
      </c>
      <c r="E113">
        <v>17.658493750000002</v>
      </c>
      <c r="F113">
        <v>5.0675964999999996</v>
      </c>
      <c r="G113">
        <v>233.75992199999999</v>
      </c>
      <c r="H113">
        <v>-28</v>
      </c>
      <c r="I113">
        <v>32</v>
      </c>
      <c r="J113">
        <v>1.18</v>
      </c>
      <c r="K113">
        <v>19.687913000000002</v>
      </c>
      <c r="L113">
        <v>-1.8128434949415271</v>
      </c>
      <c r="M113">
        <v>-1.807443603882317</v>
      </c>
      <c r="N113">
        <v>-1.1178443996761529</v>
      </c>
      <c r="O113">
        <v>-0.93485153413612199</v>
      </c>
    </row>
    <row r="114" spans="1:15" x14ac:dyDescent="0.25">
      <c r="A114">
        <v>-201.80495074999999</v>
      </c>
      <c r="B114">
        <v>-209.08239750000001</v>
      </c>
      <c r="C114">
        <v>175.31937375000001</v>
      </c>
      <c r="D114">
        <v>151.67839799999999</v>
      </c>
      <c r="E114">
        <v>-20.159568499999999</v>
      </c>
      <c r="F114">
        <v>4.9701434999999998</v>
      </c>
      <c r="G114">
        <v>230.11805749999999</v>
      </c>
      <c r="H114">
        <v>-28</v>
      </c>
      <c r="I114">
        <v>36</v>
      </c>
      <c r="J114">
        <v>1.18</v>
      </c>
      <c r="K114">
        <v>19.534753500000001</v>
      </c>
      <c r="L114">
        <v>-2.0353905398147178</v>
      </c>
      <c r="M114">
        <v>-1.9470740372014821</v>
      </c>
      <c r="N114">
        <v>-1.3507870544017111</v>
      </c>
      <c r="O114">
        <v>-1.135627675345229</v>
      </c>
    </row>
    <row r="115" spans="1:15" x14ac:dyDescent="0.25">
      <c r="A115">
        <v>-226.63067599999999</v>
      </c>
      <c r="B115">
        <v>-236.82803724999999</v>
      </c>
      <c r="C115">
        <v>172.5644795</v>
      </c>
      <c r="D115">
        <v>131.27019849999999</v>
      </c>
      <c r="E115">
        <v>-58.51626675</v>
      </c>
      <c r="F115">
        <v>4.9214172499999993</v>
      </c>
      <c r="G115">
        <v>228.437195</v>
      </c>
      <c r="H115">
        <v>-28</v>
      </c>
      <c r="I115">
        <v>40</v>
      </c>
      <c r="J115">
        <v>1.18</v>
      </c>
      <c r="K115">
        <v>19.4638195</v>
      </c>
      <c r="L115">
        <v>-2.304722890788959</v>
      </c>
      <c r="M115">
        <v>-2.1251891489976771</v>
      </c>
      <c r="N115">
        <v>-1.656751670245008</v>
      </c>
      <c r="O115">
        <v>-1.366286761873799</v>
      </c>
    </row>
    <row r="116" spans="1:15" x14ac:dyDescent="0.25">
      <c r="A116">
        <v>-245.01344675000001</v>
      </c>
      <c r="B116">
        <v>-258.27071375000003</v>
      </c>
      <c r="C116">
        <v>165.02240750000001</v>
      </c>
      <c r="D116">
        <v>108.13574225000001</v>
      </c>
      <c r="E116">
        <v>-97.541984749999997</v>
      </c>
      <c r="F116">
        <v>4.9214172499999993</v>
      </c>
      <c r="G116">
        <v>223.95489125</v>
      </c>
      <c r="H116">
        <v>-28</v>
      </c>
      <c r="I116">
        <v>44</v>
      </c>
      <c r="J116">
        <v>1.175</v>
      </c>
      <c r="K116">
        <v>19.308710000000001</v>
      </c>
      <c r="L116">
        <v>-2.6608594544288731</v>
      </c>
      <c r="M116">
        <v>-2.3777400143421259</v>
      </c>
      <c r="N116">
        <v>-2.0863265159280049</v>
      </c>
      <c r="O116">
        <v>-1.6649286355133821</v>
      </c>
    </row>
    <row r="117" spans="1:15" x14ac:dyDescent="0.25">
      <c r="A117">
        <v>167.69055574999999</v>
      </c>
      <c r="B117">
        <v>-251.62031575</v>
      </c>
      <c r="C117">
        <v>-241.88736349999999</v>
      </c>
      <c r="D117">
        <v>100.6498105</v>
      </c>
      <c r="E117">
        <v>-34.387228749999998</v>
      </c>
      <c r="F117">
        <v>4.4828780000000004</v>
      </c>
      <c r="G117">
        <v>221.51364125000001</v>
      </c>
      <c r="H117">
        <v>-24</v>
      </c>
      <c r="I117">
        <v>-44</v>
      </c>
      <c r="J117">
        <v>1.1775</v>
      </c>
      <c r="K117">
        <v>19.199830500000001</v>
      </c>
      <c r="L117">
        <v>1.9286382276141949</v>
      </c>
      <c r="M117">
        <v>-1.658787394464291</v>
      </c>
      <c r="N117">
        <v>-1.2050010993670131</v>
      </c>
      <c r="O117">
        <v>-1.1830341849951129</v>
      </c>
    </row>
    <row r="118" spans="1:15" x14ac:dyDescent="0.25">
      <c r="A118">
        <v>169.90176025</v>
      </c>
      <c r="B118">
        <v>-213.52946449999999</v>
      </c>
      <c r="C118">
        <v>-210.81141675000001</v>
      </c>
      <c r="D118">
        <v>119.2286185</v>
      </c>
      <c r="E118">
        <v>0.84941599999999995</v>
      </c>
      <c r="F118">
        <v>4.6290577500000003</v>
      </c>
      <c r="G118">
        <v>217.7917175</v>
      </c>
      <c r="H118">
        <v>-24</v>
      </c>
      <c r="I118">
        <v>-40</v>
      </c>
      <c r="J118">
        <v>1.18</v>
      </c>
      <c r="K118">
        <v>19.007698749999999</v>
      </c>
      <c r="L118">
        <v>1.787234560596092</v>
      </c>
      <c r="M118">
        <v>-1.562096093409473</v>
      </c>
      <c r="N118">
        <v>-1.018429950519816</v>
      </c>
      <c r="O118">
        <v>-1.017739528484022</v>
      </c>
    </row>
    <row r="119" spans="1:15" x14ac:dyDescent="0.25">
      <c r="A119">
        <v>168.90897749999999</v>
      </c>
      <c r="B119">
        <v>-171.82855975000001</v>
      </c>
      <c r="C119">
        <v>-177.07436749999999</v>
      </c>
      <c r="D119">
        <v>135.20497125</v>
      </c>
      <c r="E119">
        <v>32.545256500000001</v>
      </c>
      <c r="F119">
        <v>4.8726905</v>
      </c>
      <c r="G119">
        <v>214.0698165</v>
      </c>
      <c r="H119">
        <v>-24</v>
      </c>
      <c r="I119">
        <v>-36</v>
      </c>
      <c r="J119">
        <v>1.18</v>
      </c>
      <c r="K119">
        <v>18.830061499999999</v>
      </c>
      <c r="L119">
        <v>1.6714597082382581</v>
      </c>
      <c r="M119">
        <v>-1.483280425713527</v>
      </c>
      <c r="N119">
        <v>-0.87696195312457437</v>
      </c>
      <c r="O119">
        <v>-0.86631602455888379</v>
      </c>
    </row>
    <row r="120" spans="1:15" x14ac:dyDescent="0.25">
      <c r="A120">
        <v>166.33676174999999</v>
      </c>
      <c r="B120">
        <v>-136.4651945</v>
      </c>
      <c r="C120">
        <v>-145.00614150000001</v>
      </c>
      <c r="D120">
        <v>150.46120074999999</v>
      </c>
      <c r="E120">
        <v>60.172940999999987</v>
      </c>
      <c r="F120">
        <v>4.6290575</v>
      </c>
      <c r="G120">
        <v>212.0287745</v>
      </c>
      <c r="H120">
        <v>-24</v>
      </c>
      <c r="I120">
        <v>-32</v>
      </c>
      <c r="J120">
        <v>1.18</v>
      </c>
      <c r="K120">
        <v>18.748993500000001</v>
      </c>
      <c r="L120">
        <v>1.549682889112022</v>
      </c>
      <c r="M120">
        <v>-1.428143064420639</v>
      </c>
      <c r="N120">
        <v>-0.75585433935486912</v>
      </c>
      <c r="O120">
        <v>-0.72354071414563292</v>
      </c>
    </row>
    <row r="121" spans="1:15" x14ac:dyDescent="0.25">
      <c r="A121">
        <v>160.92156224999999</v>
      </c>
      <c r="B121">
        <v>-106.9400215</v>
      </c>
      <c r="C121">
        <v>-104.09771725</v>
      </c>
      <c r="D121">
        <v>163.32212050000001</v>
      </c>
      <c r="E121">
        <v>84.000699999999995</v>
      </c>
      <c r="F121">
        <v>4.4828780000000004</v>
      </c>
      <c r="G121">
        <v>209.78762025</v>
      </c>
      <c r="H121">
        <v>-24</v>
      </c>
      <c r="I121">
        <v>-28</v>
      </c>
      <c r="J121">
        <v>1.18</v>
      </c>
      <c r="K121">
        <v>18.654039000000001</v>
      </c>
      <c r="L121">
        <v>1.398376154076183</v>
      </c>
      <c r="M121">
        <v>-1.426048304958532</v>
      </c>
      <c r="N121">
        <v>-0.66372356325826121</v>
      </c>
      <c r="O121">
        <v>-0.58042762121522939</v>
      </c>
    </row>
    <row r="122" spans="1:15" x14ac:dyDescent="0.25">
      <c r="A122">
        <v>177.52815624999999</v>
      </c>
      <c r="B122">
        <v>-94.878093750000005</v>
      </c>
      <c r="C122">
        <v>-76.765298999999999</v>
      </c>
      <c r="D122">
        <v>198.43880475</v>
      </c>
      <c r="E122">
        <v>118.691778</v>
      </c>
      <c r="F122">
        <v>5.0675964999999996</v>
      </c>
      <c r="G122">
        <v>238.08214175000001</v>
      </c>
      <c r="H122">
        <v>-24</v>
      </c>
      <c r="I122">
        <v>-24</v>
      </c>
      <c r="J122">
        <v>1.18</v>
      </c>
      <c r="K122">
        <v>19.872996749999999</v>
      </c>
      <c r="L122">
        <v>1.2434011471536219</v>
      </c>
      <c r="M122">
        <v>-1.4342212168568409</v>
      </c>
      <c r="N122">
        <v>-0.58378309254835914</v>
      </c>
      <c r="O122">
        <v>-0.44438988681991037</v>
      </c>
    </row>
    <row r="123" spans="1:15" x14ac:dyDescent="0.25">
      <c r="A123">
        <v>188.358555</v>
      </c>
      <c r="B123">
        <v>-85.920236500000001</v>
      </c>
      <c r="C123">
        <v>-46.00505725</v>
      </c>
      <c r="D123">
        <v>233.19831475000001</v>
      </c>
      <c r="E123">
        <v>153.24873775</v>
      </c>
      <c r="F123">
        <v>6.0908542499999996</v>
      </c>
      <c r="G123">
        <v>265.45617675</v>
      </c>
      <c r="H123">
        <v>-24</v>
      </c>
      <c r="I123">
        <v>-20</v>
      </c>
      <c r="J123">
        <v>1.18</v>
      </c>
      <c r="K123">
        <v>20.966631750000001</v>
      </c>
      <c r="L123">
        <v>1.0691167653740401</v>
      </c>
      <c r="M123">
        <v>-1.45576581695367</v>
      </c>
      <c r="N123">
        <v>-0.5118670856047548</v>
      </c>
      <c r="O123">
        <v>-0.32869000470525128</v>
      </c>
    </row>
    <row r="124" spans="1:15" x14ac:dyDescent="0.25">
      <c r="A124">
        <v>169.85663600000001</v>
      </c>
      <c r="B124">
        <v>-65.335065749999998</v>
      </c>
      <c r="C124">
        <v>-9.5618357500000002</v>
      </c>
      <c r="D124">
        <v>235.59403225</v>
      </c>
      <c r="E124">
        <v>164.38028349999999</v>
      </c>
      <c r="F124">
        <v>5.6035884999999999</v>
      </c>
      <c r="G124">
        <v>258.29251099999999</v>
      </c>
      <c r="H124">
        <v>-24</v>
      </c>
      <c r="I124">
        <v>-16</v>
      </c>
      <c r="J124">
        <v>1.18</v>
      </c>
      <c r="K124">
        <v>20.695070749999999</v>
      </c>
      <c r="L124">
        <v>0.88895946934116288</v>
      </c>
      <c r="M124">
        <v>-1.4910200571000429</v>
      </c>
      <c r="N124">
        <v>-0.46531408985243161</v>
      </c>
      <c r="O124">
        <v>-0.2133078171771646</v>
      </c>
    </row>
    <row r="125" spans="1:15" x14ac:dyDescent="0.25">
      <c r="A125">
        <v>148.69223775</v>
      </c>
      <c r="B125">
        <v>-52.331645000000002</v>
      </c>
      <c r="C125">
        <v>21.948801249999999</v>
      </c>
      <c r="D125">
        <v>234.58537674999999</v>
      </c>
      <c r="E125">
        <v>169.92369825</v>
      </c>
      <c r="F125">
        <v>5.3112294999999996</v>
      </c>
      <c r="G125">
        <v>249.64807149999999</v>
      </c>
      <c r="H125">
        <v>-24</v>
      </c>
      <c r="I125">
        <v>-12</v>
      </c>
      <c r="J125">
        <v>1.18</v>
      </c>
      <c r="K125">
        <v>20.350187999999999</v>
      </c>
      <c r="L125">
        <v>0.68467661451492323</v>
      </c>
      <c r="M125">
        <v>-1.549939811984363</v>
      </c>
      <c r="N125">
        <v>-0.43069047679123662</v>
      </c>
      <c r="O125">
        <v>-0.11073528614474611</v>
      </c>
    </row>
    <row r="126" spans="1:15" x14ac:dyDescent="0.25">
      <c r="A126">
        <v>128.02425199999999</v>
      </c>
      <c r="B126">
        <v>-47.826130749999997</v>
      </c>
      <c r="C126">
        <v>48.368644500000002</v>
      </c>
      <c r="D126">
        <v>233.32982625</v>
      </c>
      <c r="E126">
        <v>173.0530545</v>
      </c>
      <c r="F126">
        <v>5.2625025000000001</v>
      </c>
      <c r="G126">
        <v>244.365364</v>
      </c>
      <c r="H126">
        <v>-24</v>
      </c>
      <c r="I126">
        <v>-8</v>
      </c>
      <c r="J126">
        <v>1.18</v>
      </c>
      <c r="K126">
        <v>20.13102525</v>
      </c>
      <c r="L126">
        <v>0.46101256814074282</v>
      </c>
      <c r="M126">
        <v>-1.627233421187243</v>
      </c>
      <c r="N126">
        <v>-0.41274383776684992</v>
      </c>
      <c r="O126">
        <v>-2.8876925668782961E-2</v>
      </c>
    </row>
    <row r="127" spans="1:15" x14ac:dyDescent="0.25">
      <c r="A127">
        <v>102.43745225000001</v>
      </c>
      <c r="B127">
        <v>-46.722817249999999</v>
      </c>
      <c r="C127">
        <v>70.543243250000003</v>
      </c>
      <c r="D127">
        <v>229.05103299999999</v>
      </c>
      <c r="E127">
        <v>170.773098</v>
      </c>
      <c r="F127">
        <v>5.1163227500000001</v>
      </c>
      <c r="G127">
        <v>237.60189025</v>
      </c>
      <c r="H127">
        <v>-24</v>
      </c>
      <c r="I127">
        <v>-4</v>
      </c>
      <c r="J127">
        <v>1.18</v>
      </c>
      <c r="K127">
        <v>19.850523249999998</v>
      </c>
      <c r="L127">
        <v>0.2007690099168746</v>
      </c>
      <c r="M127">
        <v>-1.7359198250031029</v>
      </c>
      <c r="N127">
        <v>-0.42066893038632702</v>
      </c>
      <c r="O127">
        <v>4.2767188174126863E-2</v>
      </c>
    </row>
    <row r="128" spans="1:15" x14ac:dyDescent="0.25">
      <c r="A128">
        <v>78.971607250000005</v>
      </c>
      <c r="B128">
        <v>-45.1877505</v>
      </c>
      <c r="C128">
        <v>92.266229500000009</v>
      </c>
      <c r="D128">
        <v>225.70621850000001</v>
      </c>
      <c r="E128">
        <v>169.25312425000001</v>
      </c>
      <c r="F128">
        <v>4.9214172499999993</v>
      </c>
      <c r="G128">
        <v>234.32020549999999</v>
      </c>
      <c r="H128">
        <v>-24</v>
      </c>
      <c r="I128">
        <v>0</v>
      </c>
      <c r="J128">
        <v>1.18</v>
      </c>
      <c r="K128">
        <v>19.718299500000001</v>
      </c>
      <c r="L128">
        <v>-8.7260823159310927E-2</v>
      </c>
      <c r="M128">
        <v>-1.777975680331114</v>
      </c>
      <c r="N128">
        <v>-0.42706398294153158</v>
      </c>
      <c r="O128">
        <v>7.8566754212338302E-2</v>
      </c>
    </row>
    <row r="129" spans="1:15" x14ac:dyDescent="0.25">
      <c r="A129">
        <v>55.731389999999998</v>
      </c>
      <c r="B129">
        <v>-43.889510250000001</v>
      </c>
      <c r="C129">
        <v>111.36980625</v>
      </c>
      <c r="D129">
        <v>220.98959725</v>
      </c>
      <c r="E129">
        <v>165.90024575000001</v>
      </c>
      <c r="F129">
        <v>4.9701434999999998</v>
      </c>
      <c r="G129">
        <v>230.35817725000001</v>
      </c>
      <c r="H129">
        <v>-24</v>
      </c>
      <c r="I129">
        <v>4</v>
      </c>
      <c r="J129">
        <v>1.18</v>
      </c>
      <c r="K129">
        <v>19.545164499999998</v>
      </c>
      <c r="L129">
        <v>-0.34778824850690981</v>
      </c>
      <c r="M129">
        <v>-1.6557139130471981</v>
      </c>
      <c r="N129">
        <v>-0.40292160273374739</v>
      </c>
      <c r="O129">
        <v>5.942300672332858E-3</v>
      </c>
    </row>
    <row r="130" spans="1:15" x14ac:dyDescent="0.25">
      <c r="A130">
        <v>31.408137750000002</v>
      </c>
      <c r="B130">
        <v>-42.0218165</v>
      </c>
      <c r="C130">
        <v>129.25400550000001</v>
      </c>
      <c r="D130">
        <v>215.60065850000001</v>
      </c>
      <c r="E130">
        <v>160.44623974999999</v>
      </c>
      <c r="F130">
        <v>5.0188697500000004</v>
      </c>
      <c r="G130">
        <v>226.87638075000001</v>
      </c>
      <c r="H130">
        <v>-24</v>
      </c>
      <c r="I130">
        <v>8</v>
      </c>
      <c r="J130">
        <v>1.18</v>
      </c>
      <c r="K130">
        <v>19.391482750000002</v>
      </c>
      <c r="L130">
        <v>-0.59031450768019766</v>
      </c>
      <c r="M130">
        <v>-1.5542642998638301</v>
      </c>
      <c r="N130">
        <v>-0.40078788616847161</v>
      </c>
      <c r="O130">
        <v>-6.2297142504483378E-2</v>
      </c>
    </row>
    <row r="131" spans="1:15" x14ac:dyDescent="0.25">
      <c r="A131">
        <v>5.7310875000000001</v>
      </c>
      <c r="B131">
        <v>-41.8328475</v>
      </c>
      <c r="C131">
        <v>144.69945525</v>
      </c>
      <c r="D131">
        <v>209.54123325</v>
      </c>
      <c r="E131">
        <v>151.68406300000001</v>
      </c>
      <c r="F131">
        <v>4.6777842500000002</v>
      </c>
      <c r="G131">
        <v>224.95540249999999</v>
      </c>
      <c r="H131">
        <v>-24</v>
      </c>
      <c r="I131">
        <v>12</v>
      </c>
      <c r="J131">
        <v>1.18</v>
      </c>
      <c r="K131">
        <v>19.322314250000002</v>
      </c>
      <c r="L131">
        <v>-0.81874421984755597</v>
      </c>
      <c r="M131">
        <v>-1.480973825922373</v>
      </c>
      <c r="N131">
        <v>-0.43168515907187072</v>
      </c>
      <c r="O131">
        <v>-0.13390014049430901</v>
      </c>
    </row>
    <row r="132" spans="1:15" x14ac:dyDescent="0.25">
      <c r="A132">
        <v>-18.337712499999999</v>
      </c>
      <c r="B132">
        <v>-40.483874499999999</v>
      </c>
      <c r="C132">
        <v>156.84806424999999</v>
      </c>
      <c r="D132">
        <v>201.374405</v>
      </c>
      <c r="E132">
        <v>139.39018999999999</v>
      </c>
      <c r="F132">
        <v>4.6290575</v>
      </c>
      <c r="G132">
        <v>222.47412875000001</v>
      </c>
      <c r="H132">
        <v>-24</v>
      </c>
      <c r="I132">
        <v>16</v>
      </c>
      <c r="J132">
        <v>1.18</v>
      </c>
      <c r="K132">
        <v>19.215329000000001</v>
      </c>
      <c r="L132">
        <v>-1.037830421604004</v>
      </c>
      <c r="M132">
        <v>-1.4328119248468241</v>
      </c>
      <c r="N132">
        <v>-0.49222258332417512</v>
      </c>
      <c r="O132">
        <v>-0.2016633092953603</v>
      </c>
    </row>
    <row r="133" spans="1:15" x14ac:dyDescent="0.25">
      <c r="A133">
        <v>-44.515130999999997</v>
      </c>
      <c r="B133">
        <v>-51.180442749999997</v>
      </c>
      <c r="C133">
        <v>166.91922</v>
      </c>
      <c r="D133">
        <v>192.10501475000001</v>
      </c>
      <c r="E133">
        <v>121.50819199999999</v>
      </c>
      <c r="F133">
        <v>4.6290575</v>
      </c>
      <c r="G133">
        <v>222.15396874999999</v>
      </c>
      <c r="H133">
        <v>-24</v>
      </c>
      <c r="I133">
        <v>20</v>
      </c>
      <c r="J133">
        <v>1.18</v>
      </c>
      <c r="K133">
        <v>19.20120125</v>
      </c>
      <c r="L133">
        <v>-1.248465662203962</v>
      </c>
      <c r="M133">
        <v>-1.436538352197255</v>
      </c>
      <c r="N133">
        <v>-0.59429744382416083</v>
      </c>
      <c r="O133">
        <v>-0.30985641480722292</v>
      </c>
    </row>
    <row r="134" spans="1:15" x14ac:dyDescent="0.25">
      <c r="A134">
        <v>-73.305793750000007</v>
      </c>
      <c r="B134">
        <v>-76.229619999999997</v>
      </c>
      <c r="C134">
        <v>175.40969824999999</v>
      </c>
      <c r="D134">
        <v>181.90890899999999</v>
      </c>
      <c r="E134">
        <v>98.038070500000003</v>
      </c>
      <c r="F134">
        <v>4.6290577500000003</v>
      </c>
      <c r="G134">
        <v>222.31403374999999</v>
      </c>
      <c r="H134">
        <v>-24</v>
      </c>
      <c r="I134">
        <v>24</v>
      </c>
      <c r="J134">
        <v>1.18</v>
      </c>
      <c r="K134">
        <v>19.20826375</v>
      </c>
      <c r="L134">
        <v>-1.439282280416194</v>
      </c>
      <c r="M134">
        <v>-1.493811448208844</v>
      </c>
      <c r="N134">
        <v>-0.71917010102518586</v>
      </c>
      <c r="O134">
        <v>-0.45945745123249598</v>
      </c>
    </row>
    <row r="135" spans="1:15" x14ac:dyDescent="0.25">
      <c r="A135">
        <v>-102.23161675</v>
      </c>
      <c r="B135">
        <v>-104.58932325000001</v>
      </c>
      <c r="C135">
        <v>177.98394425000001</v>
      </c>
      <c r="D135">
        <v>166.16971225</v>
      </c>
      <c r="E135">
        <v>68.041017499999995</v>
      </c>
      <c r="F135">
        <v>4.7752374999999994</v>
      </c>
      <c r="G135">
        <v>219.152435</v>
      </c>
      <c r="H135">
        <v>-24</v>
      </c>
      <c r="I135">
        <v>28</v>
      </c>
      <c r="J135">
        <v>1.18</v>
      </c>
      <c r="K135">
        <v>19.061771</v>
      </c>
      <c r="L135">
        <v>-1.6343774697529061</v>
      </c>
      <c r="M135">
        <v>-1.579213767060351</v>
      </c>
      <c r="N135">
        <v>-0.8813616314863133</v>
      </c>
      <c r="O135">
        <v>-0.63098176288278385</v>
      </c>
    </row>
    <row r="136" spans="1:15" x14ac:dyDescent="0.25">
      <c r="A136">
        <v>-132.148674</v>
      </c>
      <c r="B136">
        <v>-135.620678</v>
      </c>
      <c r="C136">
        <v>181.642067</v>
      </c>
      <c r="D136">
        <v>150.92399225</v>
      </c>
      <c r="E136">
        <v>36.076951749999999</v>
      </c>
      <c r="F136">
        <v>4.7752374999999994</v>
      </c>
      <c r="G136">
        <v>218.7522275</v>
      </c>
      <c r="H136">
        <v>-24</v>
      </c>
      <c r="I136">
        <v>32</v>
      </c>
      <c r="J136">
        <v>1.18</v>
      </c>
      <c r="K136">
        <v>19.043969749999999</v>
      </c>
      <c r="L136">
        <v>-1.846247366055616</v>
      </c>
      <c r="M136">
        <v>-1.6859388498770529</v>
      </c>
      <c r="N136">
        <v>-1.0748074992143499</v>
      </c>
      <c r="O136">
        <v>-0.81582889177370566</v>
      </c>
    </row>
    <row r="137" spans="1:15" x14ac:dyDescent="0.25">
      <c r="A137">
        <v>-163.10201275</v>
      </c>
      <c r="B137">
        <v>-168.44607925</v>
      </c>
      <c r="C137">
        <v>180.46784975</v>
      </c>
      <c r="D137">
        <v>132.27796950000001</v>
      </c>
      <c r="E137">
        <v>-1.471821</v>
      </c>
      <c r="F137">
        <v>4.3366984999999998</v>
      </c>
      <c r="G137">
        <v>216.95129374999999</v>
      </c>
      <c r="H137">
        <v>-24</v>
      </c>
      <c r="I137">
        <v>36</v>
      </c>
      <c r="J137">
        <v>1.18</v>
      </c>
      <c r="K137">
        <v>18.983246000000001</v>
      </c>
      <c r="L137">
        <v>-2.091109178102919</v>
      </c>
      <c r="M137">
        <v>-1.830334902031763</v>
      </c>
      <c r="N137">
        <v>-1.3294295338723829</v>
      </c>
      <c r="O137">
        <v>-1.0353569185850371</v>
      </c>
    </row>
    <row r="138" spans="1:15" x14ac:dyDescent="0.25">
      <c r="A138">
        <v>-188.06293124999999</v>
      </c>
      <c r="B138">
        <v>-196.46469500000001</v>
      </c>
      <c r="C138">
        <v>177.66780474999999</v>
      </c>
      <c r="D138">
        <v>112.561077</v>
      </c>
      <c r="E138">
        <v>-39.962328749999998</v>
      </c>
      <c r="F138">
        <v>4.7265107500000001</v>
      </c>
      <c r="G138">
        <v>215.51055875</v>
      </c>
      <c r="H138">
        <v>-24</v>
      </c>
      <c r="I138">
        <v>40</v>
      </c>
      <c r="J138">
        <v>1.18</v>
      </c>
      <c r="K138">
        <v>18.901332</v>
      </c>
      <c r="L138">
        <v>-2.4013739341855969</v>
      </c>
      <c r="M138">
        <v>-2.0290374115685168</v>
      </c>
      <c r="N138">
        <v>-1.677436270803957</v>
      </c>
      <c r="O138">
        <v>-1.2934245206644761</v>
      </c>
    </row>
    <row r="139" spans="1:15" x14ac:dyDescent="0.25">
      <c r="A139">
        <v>-246.41018274999999</v>
      </c>
      <c r="B139">
        <v>-260.01576249999999</v>
      </c>
      <c r="C139">
        <v>199.39078900000001</v>
      </c>
      <c r="D139">
        <v>106.12705200000001</v>
      </c>
      <c r="E139">
        <v>-91.520870000000002</v>
      </c>
      <c r="F139">
        <v>5.3112294999999996</v>
      </c>
      <c r="G139">
        <v>245.56597525000001</v>
      </c>
      <c r="H139">
        <v>-24</v>
      </c>
      <c r="I139">
        <v>44</v>
      </c>
      <c r="J139">
        <v>1.18</v>
      </c>
      <c r="K139">
        <v>20.179405249999999</v>
      </c>
      <c r="L139">
        <v>-2.7570873375593838</v>
      </c>
      <c r="M139">
        <v>-2.2644425061317079</v>
      </c>
      <c r="N139">
        <v>-2.084733646900788</v>
      </c>
      <c r="O139">
        <v>-1.5988538578022271</v>
      </c>
    </row>
    <row r="140" spans="1:15" x14ac:dyDescent="0.25">
      <c r="A140">
        <v>222.20352575000001</v>
      </c>
      <c r="B140">
        <v>-271.28921500000001</v>
      </c>
      <c r="C140">
        <v>-272.69271874999998</v>
      </c>
      <c r="D140">
        <v>101.56345924999999</v>
      </c>
      <c r="E140">
        <v>-28.4999185</v>
      </c>
      <c r="F140">
        <v>5.8959477500000004</v>
      </c>
      <c r="G140">
        <v>266.05648050000002</v>
      </c>
      <c r="H140">
        <v>-20</v>
      </c>
      <c r="I140">
        <v>-44</v>
      </c>
      <c r="J140">
        <v>1.18</v>
      </c>
      <c r="K140">
        <v>20.998787249999999</v>
      </c>
      <c r="L140">
        <v>2.032509393315209</v>
      </c>
      <c r="M140">
        <v>-1.531277026059358</v>
      </c>
      <c r="N140">
        <v>-1.209732258627467</v>
      </c>
      <c r="O140">
        <v>-1.1412647791525981</v>
      </c>
    </row>
    <row r="141" spans="1:15" x14ac:dyDescent="0.25">
      <c r="A141">
        <v>220.21795274999999</v>
      </c>
      <c r="B141">
        <v>-219.23839575</v>
      </c>
      <c r="C141">
        <v>-226.77787000000001</v>
      </c>
      <c r="D141">
        <v>122.6386035</v>
      </c>
      <c r="E141">
        <v>14.663259</v>
      </c>
      <c r="F141">
        <v>5.554862</v>
      </c>
      <c r="G141">
        <v>257.25196825</v>
      </c>
      <c r="H141">
        <v>-20</v>
      </c>
      <c r="I141">
        <v>-40</v>
      </c>
      <c r="J141">
        <v>1.18</v>
      </c>
      <c r="K141">
        <v>20.654420500000001</v>
      </c>
      <c r="L141">
        <v>1.8807427487456989</v>
      </c>
      <c r="M141">
        <v>-1.4384393963663511</v>
      </c>
      <c r="N141">
        <v>-1.0206997864521581</v>
      </c>
      <c r="O141">
        <v>-0.96167141987633675</v>
      </c>
    </row>
    <row r="142" spans="1:15" x14ac:dyDescent="0.25">
      <c r="A142">
        <v>218.99954199999999</v>
      </c>
      <c r="B142">
        <v>-170.9770355</v>
      </c>
      <c r="C142">
        <v>-186.04986550000001</v>
      </c>
      <c r="D142">
        <v>144.14269625</v>
      </c>
      <c r="E142">
        <v>54.718933249999999</v>
      </c>
      <c r="F142">
        <v>5.7497680000000004</v>
      </c>
      <c r="G142">
        <v>253.32995224999999</v>
      </c>
      <c r="H142">
        <v>-20</v>
      </c>
      <c r="I142">
        <v>-36</v>
      </c>
      <c r="J142">
        <v>1.18</v>
      </c>
      <c r="K142">
        <v>20.4848055</v>
      </c>
      <c r="L142">
        <v>1.73668408042425</v>
      </c>
      <c r="M142">
        <v>-1.3511025832829251</v>
      </c>
      <c r="N142">
        <v>-0.85157029543570639</v>
      </c>
      <c r="O142">
        <v>-0.79003889755930135</v>
      </c>
    </row>
    <row r="143" spans="1:15" x14ac:dyDescent="0.25">
      <c r="A143">
        <v>212.14029300000001</v>
      </c>
      <c r="B143">
        <v>-121.4995955</v>
      </c>
      <c r="C143">
        <v>-144.32959750000001</v>
      </c>
      <c r="D143">
        <v>161.76557149999999</v>
      </c>
      <c r="E143">
        <v>88.873548499999998</v>
      </c>
      <c r="F143">
        <v>5.7010414999999997</v>
      </c>
      <c r="G143">
        <v>247.08675024999999</v>
      </c>
      <c r="H143">
        <v>-20</v>
      </c>
      <c r="I143">
        <v>-32</v>
      </c>
      <c r="J143">
        <v>1.17</v>
      </c>
      <c r="K143">
        <v>20.313173249999998</v>
      </c>
      <c r="L143">
        <v>1.607246922877936</v>
      </c>
      <c r="M143">
        <v>-1.277190089987291</v>
      </c>
      <c r="N143">
        <v>-0.7133561316395729</v>
      </c>
      <c r="O143">
        <v>-0.62498342176834343</v>
      </c>
    </row>
    <row r="144" spans="1:15" x14ac:dyDescent="0.25">
      <c r="A144">
        <v>205.95794325</v>
      </c>
      <c r="B144">
        <v>-86.106078999999994</v>
      </c>
      <c r="C144">
        <v>-101.25622774999999</v>
      </c>
      <c r="D144">
        <v>176.55257424999999</v>
      </c>
      <c r="E144">
        <v>118.5129585</v>
      </c>
      <c r="F144">
        <v>5.4086825000000003</v>
      </c>
      <c r="G144">
        <v>243.84509274999999</v>
      </c>
      <c r="H144">
        <v>-20</v>
      </c>
      <c r="I144">
        <v>-28</v>
      </c>
      <c r="J144">
        <v>1.18</v>
      </c>
      <c r="K144">
        <v>20.102969000000002</v>
      </c>
      <c r="L144">
        <v>1.4478025939534509</v>
      </c>
      <c r="M144">
        <v>-1.237818414562321</v>
      </c>
      <c r="N144">
        <v>-0.59064856657012954</v>
      </c>
      <c r="O144">
        <v>-0.46696947414578799</v>
      </c>
    </row>
    <row r="145" spans="1:15" x14ac:dyDescent="0.25">
      <c r="A145">
        <v>196.48135024999999</v>
      </c>
      <c r="B145">
        <v>-56.224643499999999</v>
      </c>
      <c r="C145">
        <v>-54.800144250000002</v>
      </c>
      <c r="D145">
        <v>189.10625450000001</v>
      </c>
      <c r="E145">
        <v>140.86545175000001</v>
      </c>
      <c r="F145">
        <v>5.2625029999999997</v>
      </c>
      <c r="G145">
        <v>241.16371899999999</v>
      </c>
      <c r="H145">
        <v>-20</v>
      </c>
      <c r="I145">
        <v>-24</v>
      </c>
      <c r="J145">
        <v>1.18</v>
      </c>
      <c r="K145">
        <v>19.995806999999999</v>
      </c>
      <c r="L145">
        <v>1.2795904971749581</v>
      </c>
      <c r="M145">
        <v>-1.249271441749368</v>
      </c>
      <c r="N145">
        <v>-0.51075435948581316</v>
      </c>
      <c r="O145">
        <v>-0.30946657583312032</v>
      </c>
    </row>
    <row r="146" spans="1:15" x14ac:dyDescent="0.25">
      <c r="A146">
        <v>185.019184</v>
      </c>
      <c r="B146">
        <v>-38.136127500000001</v>
      </c>
      <c r="C146">
        <v>-10.64430675</v>
      </c>
      <c r="D146">
        <v>198.96459200000001</v>
      </c>
      <c r="E146">
        <v>159.99918775</v>
      </c>
      <c r="F146">
        <v>5.2137762499999996</v>
      </c>
      <c r="G146">
        <v>238.04210649999999</v>
      </c>
      <c r="H146">
        <v>-20</v>
      </c>
      <c r="I146">
        <v>-20</v>
      </c>
      <c r="J146">
        <v>1.18</v>
      </c>
      <c r="K146">
        <v>19.865151749999999</v>
      </c>
      <c r="L146">
        <v>1.0611460587567541</v>
      </c>
      <c r="M146">
        <v>-1.2858708275201891</v>
      </c>
      <c r="N146">
        <v>-0.42325620152026278</v>
      </c>
      <c r="O146">
        <v>-0.1605504183616934</v>
      </c>
    </row>
    <row r="147" spans="1:15" x14ac:dyDescent="0.25">
      <c r="A147">
        <v>172.11297225000001</v>
      </c>
      <c r="B147">
        <v>-24.4167095</v>
      </c>
      <c r="C147">
        <v>19.193911249999999</v>
      </c>
      <c r="D147">
        <v>207.67064275000001</v>
      </c>
      <c r="E147">
        <v>174.30478650000001</v>
      </c>
      <c r="F147">
        <v>5.0675964999999996</v>
      </c>
      <c r="G147">
        <v>237.16166275</v>
      </c>
      <c r="H147">
        <v>-20</v>
      </c>
      <c r="I147">
        <v>-16</v>
      </c>
      <c r="J147">
        <v>1.18</v>
      </c>
      <c r="K147">
        <v>19.83379725</v>
      </c>
      <c r="L147">
        <v>0.86436056523255211</v>
      </c>
      <c r="M147">
        <v>-1.311850883506716</v>
      </c>
      <c r="N147">
        <v>-0.35529357499110681</v>
      </c>
      <c r="O147">
        <v>-4.3405872944615127E-2</v>
      </c>
    </row>
    <row r="148" spans="1:15" x14ac:dyDescent="0.25">
      <c r="A148">
        <v>155.00997525</v>
      </c>
      <c r="B148">
        <v>-13.57456975</v>
      </c>
      <c r="C148">
        <v>43.942754749999999</v>
      </c>
      <c r="D148">
        <v>211.55646125000001</v>
      </c>
      <c r="E148">
        <v>183.60342800000001</v>
      </c>
      <c r="F148">
        <v>5.0188697500000004</v>
      </c>
      <c r="G148">
        <v>234.04006974999999</v>
      </c>
      <c r="H148">
        <v>-20</v>
      </c>
      <c r="I148">
        <v>-12</v>
      </c>
      <c r="J148">
        <v>1.18</v>
      </c>
      <c r="K148">
        <v>19.702062250000001</v>
      </c>
      <c r="L148">
        <v>0.65947532057467195</v>
      </c>
      <c r="M148">
        <v>-1.3367248055838641</v>
      </c>
      <c r="N148">
        <v>-0.29947116619279812</v>
      </c>
      <c r="O148">
        <v>6.0356691113676419E-2</v>
      </c>
    </row>
    <row r="149" spans="1:15" x14ac:dyDescent="0.25">
      <c r="A149">
        <v>135.92141325</v>
      </c>
      <c r="B149">
        <v>-12.61613125</v>
      </c>
      <c r="C149">
        <v>65.846387750000005</v>
      </c>
      <c r="D149">
        <v>214.12464524999999</v>
      </c>
      <c r="E149">
        <v>187.49275975</v>
      </c>
      <c r="F149">
        <v>5.0188697500000004</v>
      </c>
      <c r="G149">
        <v>232.51928749999999</v>
      </c>
      <c r="H149">
        <v>-20</v>
      </c>
      <c r="I149">
        <v>-8</v>
      </c>
      <c r="J149">
        <v>1.18</v>
      </c>
      <c r="K149">
        <v>19.636543499999998</v>
      </c>
      <c r="L149">
        <v>0.43557415522899479</v>
      </c>
      <c r="M149">
        <v>-1.4094093213880381</v>
      </c>
      <c r="N149">
        <v>-0.27989113457692971</v>
      </c>
      <c r="O149">
        <v>0.13424092908547719</v>
      </c>
    </row>
    <row r="150" spans="1:15" x14ac:dyDescent="0.25">
      <c r="A150">
        <v>116.96822575</v>
      </c>
      <c r="B150">
        <v>-11.801472499999999</v>
      </c>
      <c r="C150">
        <v>87.072584000000006</v>
      </c>
      <c r="D150">
        <v>215.45552425</v>
      </c>
      <c r="E150">
        <v>190.08564749999999</v>
      </c>
      <c r="F150">
        <v>4.9214172499999993</v>
      </c>
      <c r="G150">
        <v>231.83892825000001</v>
      </c>
      <c r="H150">
        <v>-20</v>
      </c>
      <c r="I150">
        <v>-4</v>
      </c>
      <c r="J150">
        <v>1.1775</v>
      </c>
      <c r="K150">
        <v>19.63227625</v>
      </c>
      <c r="L150">
        <v>0.196093053963729</v>
      </c>
      <c r="M150">
        <v>-1.4906926862582039</v>
      </c>
      <c r="N150">
        <v>-0.27387664549961521</v>
      </c>
      <c r="O150">
        <v>0.21459778806331251</v>
      </c>
    </row>
    <row r="151" spans="1:15" x14ac:dyDescent="0.25">
      <c r="A151">
        <v>95.487949499999999</v>
      </c>
      <c r="B151">
        <v>-10.79250225</v>
      </c>
      <c r="C151">
        <v>105.76970475</v>
      </c>
      <c r="D151">
        <v>211.96425625000001</v>
      </c>
      <c r="E151">
        <v>188.476269</v>
      </c>
      <c r="F151">
        <v>4.9701439999999986</v>
      </c>
      <c r="G151">
        <v>227.91692375</v>
      </c>
      <c r="H151">
        <v>-20</v>
      </c>
      <c r="I151">
        <v>0</v>
      </c>
      <c r="J151">
        <v>1.18</v>
      </c>
      <c r="K151">
        <v>19.439027249999999</v>
      </c>
      <c r="L151">
        <v>-7.036292926001661E-2</v>
      </c>
      <c r="M151">
        <v>-1.5244160912386571</v>
      </c>
      <c r="N151">
        <v>-0.26992881612481362</v>
      </c>
      <c r="O151">
        <v>0.25577489252778057</v>
      </c>
    </row>
    <row r="152" spans="1:15" x14ac:dyDescent="0.25">
      <c r="A152">
        <v>73.285650250000003</v>
      </c>
      <c r="B152">
        <v>-9.6906982500000005</v>
      </c>
      <c r="C152">
        <v>125.64103325000001</v>
      </c>
      <c r="D152">
        <v>210.4003525</v>
      </c>
      <c r="E152">
        <v>186.7327765</v>
      </c>
      <c r="F152">
        <v>4.7752374999999994</v>
      </c>
      <c r="G152">
        <v>226.9964525</v>
      </c>
      <c r="H152">
        <v>-20</v>
      </c>
      <c r="I152">
        <v>4</v>
      </c>
      <c r="J152">
        <v>1.18</v>
      </c>
      <c r="K152">
        <v>19.40737</v>
      </c>
      <c r="L152">
        <v>-0.33792025115918067</v>
      </c>
      <c r="M152">
        <v>-1.42055246792073</v>
      </c>
      <c r="N152">
        <v>-0.25988904722319889</v>
      </c>
      <c r="O152">
        <v>0.1744053691496868</v>
      </c>
    </row>
    <row r="153" spans="1:15" x14ac:dyDescent="0.25">
      <c r="A153">
        <v>52.482275000000001</v>
      </c>
      <c r="B153">
        <v>-5.8531905000000002</v>
      </c>
      <c r="C153">
        <v>143.796211</v>
      </c>
      <c r="D153">
        <v>207.683796</v>
      </c>
      <c r="E153">
        <v>183.64812850000001</v>
      </c>
      <c r="F153">
        <v>5.01887025</v>
      </c>
      <c r="G153">
        <v>226.95642075000001</v>
      </c>
      <c r="H153">
        <v>-20</v>
      </c>
      <c r="I153">
        <v>8</v>
      </c>
      <c r="J153">
        <v>1.18</v>
      </c>
      <c r="K153">
        <v>19.3949815</v>
      </c>
      <c r="L153">
        <v>-0.56952218083378359</v>
      </c>
      <c r="M153">
        <v>-1.331832070385979</v>
      </c>
      <c r="N153">
        <v>-0.2701166485458501</v>
      </c>
      <c r="O153">
        <v>0.1141091767857592</v>
      </c>
    </row>
    <row r="154" spans="1:15" x14ac:dyDescent="0.25">
      <c r="A154">
        <v>31.633771750000001</v>
      </c>
      <c r="B154">
        <v>1.2504932499999999</v>
      </c>
      <c r="C154">
        <v>157.29968650000001</v>
      </c>
      <c r="D154">
        <v>199.55261625</v>
      </c>
      <c r="E154">
        <v>174.57301724999999</v>
      </c>
      <c r="F154">
        <v>4.8239642500000004</v>
      </c>
      <c r="G154">
        <v>223.23451249999999</v>
      </c>
      <c r="H154">
        <v>-20</v>
      </c>
      <c r="I154">
        <v>12</v>
      </c>
      <c r="J154">
        <v>1.18</v>
      </c>
      <c r="K154">
        <v>19.240249250000002</v>
      </c>
      <c r="L154">
        <v>-0.79469898270542938</v>
      </c>
      <c r="M154">
        <v>-1.2540322354967059</v>
      </c>
      <c r="N154">
        <v>-0.30772819353111269</v>
      </c>
      <c r="O154">
        <v>7.3475198652955792E-2</v>
      </c>
    </row>
    <row r="155" spans="1:15" x14ac:dyDescent="0.25">
      <c r="A155">
        <v>8.52893875</v>
      </c>
      <c r="B155">
        <v>4.8680000000000008E-2</v>
      </c>
      <c r="C155">
        <v>169.67410275</v>
      </c>
      <c r="D155">
        <v>190.59587475000001</v>
      </c>
      <c r="E155">
        <v>160.66976149999999</v>
      </c>
      <c r="F155">
        <v>4.7752374999999994</v>
      </c>
      <c r="G155">
        <v>221.27350999999999</v>
      </c>
      <c r="H155">
        <v>-20</v>
      </c>
      <c r="I155">
        <v>16</v>
      </c>
      <c r="J155">
        <v>1.18</v>
      </c>
      <c r="K155">
        <v>19.155838500000002</v>
      </c>
      <c r="L155">
        <v>-1.0304639364179371</v>
      </c>
      <c r="M155">
        <v>-1.2184795613323469</v>
      </c>
      <c r="N155">
        <v>-0.38755700062548432</v>
      </c>
      <c r="O155">
        <v>-3.1097777241012722E-3</v>
      </c>
    </row>
    <row r="156" spans="1:15" x14ac:dyDescent="0.25">
      <c r="A156">
        <v>-16.57942925</v>
      </c>
      <c r="B156">
        <v>-14.96977175</v>
      </c>
      <c r="C156">
        <v>179.383972</v>
      </c>
      <c r="D156">
        <v>181.00037750000001</v>
      </c>
      <c r="E156">
        <v>141.67014699999999</v>
      </c>
      <c r="F156">
        <v>4.9214172499999993</v>
      </c>
      <c r="G156">
        <v>220.95334625000001</v>
      </c>
      <c r="H156">
        <v>-20</v>
      </c>
      <c r="I156">
        <v>20</v>
      </c>
      <c r="J156">
        <v>1.18</v>
      </c>
      <c r="K156">
        <v>19.13519625</v>
      </c>
      <c r="L156">
        <v>-1.244647460417561</v>
      </c>
      <c r="M156">
        <v>-1.244692362911241</v>
      </c>
      <c r="N156">
        <v>-0.50356142378755253</v>
      </c>
      <c r="O156">
        <v>-0.13144801960629271</v>
      </c>
    </row>
    <row r="157" spans="1:15" x14ac:dyDescent="0.25">
      <c r="A157">
        <v>-43.839295249999999</v>
      </c>
      <c r="B157">
        <v>-40.867609250000001</v>
      </c>
      <c r="C157">
        <v>185.43569174999999</v>
      </c>
      <c r="D157">
        <v>167.16544725</v>
      </c>
      <c r="E157">
        <v>115.6518325</v>
      </c>
      <c r="F157">
        <v>4.6777839999999999</v>
      </c>
      <c r="G157">
        <v>217.83174875</v>
      </c>
      <c r="H157">
        <v>-20</v>
      </c>
      <c r="I157">
        <v>24</v>
      </c>
      <c r="J157">
        <v>1.18</v>
      </c>
      <c r="K157">
        <v>19.00730575</v>
      </c>
      <c r="L157">
        <v>-1.451064355484498</v>
      </c>
      <c r="M157">
        <v>-1.3166174043415231</v>
      </c>
      <c r="N157">
        <v>-0.646691627160216</v>
      </c>
      <c r="O157">
        <v>-0.29763968330962159</v>
      </c>
    </row>
    <row r="158" spans="1:15" x14ac:dyDescent="0.25">
      <c r="A158">
        <v>-73.531072750000007</v>
      </c>
      <c r="B158">
        <v>-71.730154249999998</v>
      </c>
      <c r="C158">
        <v>187.87444300000001</v>
      </c>
      <c r="D158">
        <v>151.96062850000001</v>
      </c>
      <c r="E158">
        <v>85.163034499999995</v>
      </c>
      <c r="F158">
        <v>4.7752377499999996</v>
      </c>
      <c r="G158">
        <v>215.03031525</v>
      </c>
      <c r="H158">
        <v>-20</v>
      </c>
      <c r="I158">
        <v>28</v>
      </c>
      <c r="J158">
        <v>1.18</v>
      </c>
      <c r="K158">
        <v>18.877617000000001</v>
      </c>
      <c r="L158">
        <v>-1.656637407624552</v>
      </c>
      <c r="M158">
        <v>-1.4176253618237269</v>
      </c>
      <c r="N158">
        <v>-0.82303419776241604</v>
      </c>
      <c r="O158">
        <v>-0.49054863232261342</v>
      </c>
    </row>
    <row r="159" spans="1:15" x14ac:dyDescent="0.25">
      <c r="A159">
        <v>-104.79979725</v>
      </c>
      <c r="B159">
        <v>-104.246109</v>
      </c>
      <c r="C159">
        <v>188.64220424999999</v>
      </c>
      <c r="D159">
        <v>134.68777474999999</v>
      </c>
      <c r="E159">
        <v>50.5166635</v>
      </c>
      <c r="F159">
        <v>4.5316045000000003</v>
      </c>
      <c r="G159">
        <v>213.06930500000001</v>
      </c>
      <c r="H159">
        <v>-20</v>
      </c>
      <c r="I159">
        <v>32</v>
      </c>
      <c r="J159">
        <v>1.18</v>
      </c>
      <c r="K159">
        <v>18.80036475</v>
      </c>
      <c r="L159">
        <v>-1.892698125970242</v>
      </c>
      <c r="M159">
        <v>-1.5411168832720981</v>
      </c>
      <c r="N159">
        <v>-1.048462125577492</v>
      </c>
      <c r="O159">
        <v>-0.70339585226099222</v>
      </c>
    </row>
    <row r="160" spans="1:15" x14ac:dyDescent="0.25">
      <c r="A160">
        <v>-133.36518849999999</v>
      </c>
      <c r="B160">
        <v>-134.57458875</v>
      </c>
      <c r="C160">
        <v>189.36479199999999</v>
      </c>
      <c r="D160">
        <v>116.9500905</v>
      </c>
      <c r="E160">
        <v>14.9761945</v>
      </c>
      <c r="F160">
        <v>4.6777842500000002</v>
      </c>
      <c r="G160">
        <v>212.30891399999999</v>
      </c>
      <c r="H160">
        <v>-20</v>
      </c>
      <c r="I160">
        <v>36</v>
      </c>
      <c r="J160">
        <v>1.18</v>
      </c>
      <c r="K160">
        <v>18.759450000000001</v>
      </c>
      <c r="L160">
        <v>-2.1667657181052888</v>
      </c>
      <c r="M160">
        <v>-1.6887091950274571</v>
      </c>
      <c r="N160">
        <v>-1.3248796579990241</v>
      </c>
      <c r="O160">
        <v>-0.93086733654439979</v>
      </c>
    </row>
    <row r="161" spans="1:15" x14ac:dyDescent="0.25">
      <c r="A161">
        <v>-188.46843325</v>
      </c>
      <c r="B161">
        <v>-189.38557800000001</v>
      </c>
      <c r="C161">
        <v>215.10720825000001</v>
      </c>
      <c r="D161">
        <v>112.0791205</v>
      </c>
      <c r="E161">
        <v>-26.626685999999999</v>
      </c>
      <c r="F161">
        <v>5.1650495000000003</v>
      </c>
      <c r="G161">
        <v>241.88408275</v>
      </c>
      <c r="H161">
        <v>-20</v>
      </c>
      <c r="I161">
        <v>40</v>
      </c>
      <c r="J161">
        <v>1.18</v>
      </c>
      <c r="K161">
        <v>20.030374250000001</v>
      </c>
      <c r="L161">
        <v>-2.4866283871881811</v>
      </c>
      <c r="M161">
        <v>-1.8574614691464011</v>
      </c>
      <c r="N161">
        <v>-1.6544268943763361</v>
      </c>
      <c r="O161">
        <v>-1.1959028217958829</v>
      </c>
    </row>
    <row r="162" spans="1:15" x14ac:dyDescent="0.25">
      <c r="A162">
        <v>-251.68170524999999</v>
      </c>
      <c r="B162">
        <v>-250.80482474999999</v>
      </c>
      <c r="C162">
        <v>234.57207475000001</v>
      </c>
      <c r="D162">
        <v>97.3948745</v>
      </c>
      <c r="E162">
        <v>-84.250940499999999</v>
      </c>
      <c r="F162">
        <v>5.9446742500000003</v>
      </c>
      <c r="G162">
        <v>269.778389</v>
      </c>
      <c r="H162">
        <v>-20</v>
      </c>
      <c r="I162">
        <v>44</v>
      </c>
      <c r="J162">
        <v>1.18</v>
      </c>
      <c r="K162">
        <v>21.1464745</v>
      </c>
      <c r="L162">
        <v>-2.9118686071876319</v>
      </c>
      <c r="M162">
        <v>-2.085131671746987</v>
      </c>
      <c r="N162">
        <v>-2.1200567521001661</v>
      </c>
      <c r="O162">
        <v>-1.540123650273125</v>
      </c>
    </row>
    <row r="163" spans="1:15" x14ac:dyDescent="0.25">
      <c r="A163">
        <v>229.10789875</v>
      </c>
      <c r="B163">
        <v>-224.72270599999999</v>
      </c>
      <c r="C163">
        <v>-248.78812024999999</v>
      </c>
      <c r="D163">
        <v>76.764175499999993</v>
      </c>
      <c r="E163">
        <v>-19.133749250000001</v>
      </c>
      <c r="F163">
        <v>5.554862</v>
      </c>
      <c r="G163">
        <v>257.1719205</v>
      </c>
      <c r="H163">
        <v>-16</v>
      </c>
      <c r="I163">
        <v>-44</v>
      </c>
      <c r="J163">
        <v>1.18</v>
      </c>
      <c r="K163">
        <v>20.651129749999999</v>
      </c>
      <c r="L163">
        <v>2.19600732612107</v>
      </c>
      <c r="M163">
        <v>-1.3853631571447349</v>
      </c>
      <c r="N163">
        <v>-1.2696658631942781</v>
      </c>
      <c r="O163">
        <v>-1.1134476891926191</v>
      </c>
    </row>
    <row r="164" spans="1:15" x14ac:dyDescent="0.25">
      <c r="A164">
        <v>227.88947325000001</v>
      </c>
      <c r="B164">
        <v>-175.00689700000001</v>
      </c>
      <c r="C164">
        <v>-203.14390925000001</v>
      </c>
      <c r="D164">
        <v>100.167812</v>
      </c>
      <c r="E164">
        <v>25.973622249999998</v>
      </c>
      <c r="F164">
        <v>5.4574090000000002</v>
      </c>
      <c r="G164">
        <v>249.12780025000001</v>
      </c>
      <c r="H164">
        <v>-16</v>
      </c>
      <c r="I164">
        <v>-40</v>
      </c>
      <c r="J164">
        <v>1.18</v>
      </c>
      <c r="K164">
        <v>20.32240625</v>
      </c>
      <c r="L164">
        <v>2.0043726886076869</v>
      </c>
      <c r="M164">
        <v>-1.279586910031141</v>
      </c>
      <c r="N164">
        <v>-1.037709846827463</v>
      </c>
      <c r="O164">
        <v>-0.90460193063513661</v>
      </c>
    </row>
    <row r="165" spans="1:15" x14ac:dyDescent="0.25">
      <c r="A165">
        <v>222.65478475</v>
      </c>
      <c r="B165">
        <v>-128.874382</v>
      </c>
      <c r="C165">
        <v>-159.79992300000001</v>
      </c>
      <c r="D165">
        <v>121.718502</v>
      </c>
      <c r="E165">
        <v>65.805770999999993</v>
      </c>
      <c r="F165">
        <v>5.2625027499999986</v>
      </c>
      <c r="G165">
        <v>242.284279</v>
      </c>
      <c r="H165">
        <v>-16</v>
      </c>
      <c r="I165">
        <v>-36</v>
      </c>
      <c r="J165">
        <v>1.18</v>
      </c>
      <c r="K165">
        <v>20.043242249999999</v>
      </c>
      <c r="L165">
        <v>1.819984068621378</v>
      </c>
      <c r="M165">
        <v>-1.192485808366714</v>
      </c>
      <c r="N165">
        <v>-0.8398138342171102</v>
      </c>
      <c r="O165">
        <v>-0.71189226704184638</v>
      </c>
    </row>
    <row r="166" spans="1:15" x14ac:dyDescent="0.25">
      <c r="A166">
        <v>218.68364700000001</v>
      </c>
      <c r="B166">
        <v>-87.065532750000003</v>
      </c>
      <c r="C166">
        <v>-118.16986075</v>
      </c>
      <c r="D166">
        <v>141.89924600000001</v>
      </c>
      <c r="E166">
        <v>100.76507574999999</v>
      </c>
      <c r="F166">
        <v>5.1163227500000001</v>
      </c>
      <c r="G166">
        <v>239.28274525</v>
      </c>
      <c r="H166">
        <v>-16</v>
      </c>
      <c r="I166">
        <v>-32</v>
      </c>
      <c r="J166">
        <v>1.18</v>
      </c>
      <c r="K166">
        <v>19.92215075</v>
      </c>
      <c r="L166">
        <v>1.656265111108808</v>
      </c>
      <c r="M166">
        <v>-1.125778888513433</v>
      </c>
      <c r="N166">
        <v>-0.68107495781923244</v>
      </c>
      <c r="O166">
        <v>-0.52970982715514003</v>
      </c>
    </row>
    <row r="167" spans="1:15" x14ac:dyDescent="0.25">
      <c r="A167">
        <v>212.63667649999999</v>
      </c>
      <c r="B167">
        <v>-51.619302750000003</v>
      </c>
      <c r="C167">
        <v>-77.171228249999999</v>
      </c>
      <c r="D167">
        <v>157.25266275000001</v>
      </c>
      <c r="E167">
        <v>129.68920900000001</v>
      </c>
      <c r="F167">
        <v>5.1650495000000003</v>
      </c>
      <c r="G167">
        <v>236.04109174999999</v>
      </c>
      <c r="H167">
        <v>-16</v>
      </c>
      <c r="I167">
        <v>-28</v>
      </c>
      <c r="J167">
        <v>1.18</v>
      </c>
      <c r="K167">
        <v>19.78168325</v>
      </c>
      <c r="L167">
        <v>1.493207586265441</v>
      </c>
      <c r="M167">
        <v>-1.0761863230302551</v>
      </c>
      <c r="N167">
        <v>-0.54797248849012592</v>
      </c>
      <c r="O167">
        <v>-0.35840434229377988</v>
      </c>
    </row>
    <row r="168" spans="1:15" x14ac:dyDescent="0.25">
      <c r="A168">
        <v>204.46875750000001</v>
      </c>
      <c r="B168">
        <v>-22.880104249999999</v>
      </c>
      <c r="C168">
        <v>-38.517959500000003</v>
      </c>
      <c r="D168">
        <v>171.39404300000001</v>
      </c>
      <c r="E168">
        <v>154.0981295</v>
      </c>
      <c r="F168">
        <v>5.0188697500000004</v>
      </c>
      <c r="G168">
        <v>234.56032525000001</v>
      </c>
      <c r="H168">
        <v>-16</v>
      </c>
      <c r="I168">
        <v>-24</v>
      </c>
      <c r="J168">
        <v>1.18</v>
      </c>
      <c r="K168">
        <v>19.724431500000001</v>
      </c>
      <c r="L168">
        <v>1.314894851403579</v>
      </c>
      <c r="M168">
        <v>-1.0512830654155421</v>
      </c>
      <c r="N168">
        <v>-0.43542876366535371</v>
      </c>
      <c r="O168">
        <v>-0.1932764473259051</v>
      </c>
    </row>
    <row r="169" spans="1:15" x14ac:dyDescent="0.25">
      <c r="A169">
        <v>194.49576949999999</v>
      </c>
      <c r="B169">
        <v>-2.5422342499999999</v>
      </c>
      <c r="C169">
        <v>-1.127575</v>
      </c>
      <c r="D169">
        <v>182.90498349999999</v>
      </c>
      <c r="E169">
        <v>173.723625</v>
      </c>
      <c r="F169">
        <v>4.8726905</v>
      </c>
      <c r="G169">
        <v>233.960014</v>
      </c>
      <c r="H169">
        <v>-16</v>
      </c>
      <c r="I169">
        <v>-20</v>
      </c>
      <c r="J169">
        <v>1.18</v>
      </c>
      <c r="K169">
        <v>19.704903999999999</v>
      </c>
      <c r="L169">
        <v>1.1142833064658371</v>
      </c>
      <c r="M169">
        <v>-1.056335318818185</v>
      </c>
      <c r="N169">
        <v>-0.34311498139688862</v>
      </c>
      <c r="O169">
        <v>-3.8205093437893772E-2</v>
      </c>
    </row>
    <row r="170" spans="1:15" x14ac:dyDescent="0.25">
      <c r="A170">
        <v>179.28810125000001</v>
      </c>
      <c r="B170">
        <v>10.002117500000001</v>
      </c>
      <c r="C170">
        <v>34.052250999999998</v>
      </c>
      <c r="D170">
        <v>189.950783</v>
      </c>
      <c r="E170">
        <v>186.82218574999999</v>
      </c>
      <c r="F170">
        <v>5.0188697500000004</v>
      </c>
      <c r="G170">
        <v>230.39819324999999</v>
      </c>
      <c r="H170">
        <v>-16</v>
      </c>
      <c r="I170">
        <v>-16</v>
      </c>
      <c r="J170">
        <v>1.18</v>
      </c>
      <c r="K170">
        <v>19.544789250000001</v>
      </c>
      <c r="L170">
        <v>0.88131352685517905</v>
      </c>
      <c r="M170">
        <v>-1.0919549368539669</v>
      </c>
      <c r="N170">
        <v>-0.26442918842694929</v>
      </c>
      <c r="O170">
        <v>0.10321041315212549</v>
      </c>
    </row>
    <row r="171" spans="1:15" x14ac:dyDescent="0.25">
      <c r="A171">
        <v>165.16346725</v>
      </c>
      <c r="B171">
        <v>20.1004285</v>
      </c>
      <c r="C171">
        <v>58.349472000000013</v>
      </c>
      <c r="D171">
        <v>195.84131625000001</v>
      </c>
      <c r="E171">
        <v>197.551388</v>
      </c>
      <c r="F171">
        <v>5.0188697500000004</v>
      </c>
      <c r="G171">
        <v>229.99798974999999</v>
      </c>
      <c r="H171">
        <v>-16</v>
      </c>
      <c r="I171">
        <v>-12</v>
      </c>
      <c r="J171">
        <v>1.18</v>
      </c>
      <c r="K171">
        <v>19.527427249999999</v>
      </c>
      <c r="L171">
        <v>0.6746524004659511</v>
      </c>
      <c r="M171">
        <v>-1.110000005197417</v>
      </c>
      <c r="N171">
        <v>-0.20494576139511289</v>
      </c>
      <c r="O171">
        <v>0.21605055556381481</v>
      </c>
    </row>
    <row r="172" spans="1:15" x14ac:dyDescent="0.25">
      <c r="A172">
        <v>145.75901400000001</v>
      </c>
      <c r="B172">
        <v>22.360526749999998</v>
      </c>
      <c r="C172">
        <v>79.259536749999995</v>
      </c>
      <c r="D172">
        <v>198.67055500000001</v>
      </c>
      <c r="E172">
        <v>201.30660624999999</v>
      </c>
      <c r="F172">
        <v>4.8726909999999997</v>
      </c>
      <c r="G172">
        <v>227.39664500000001</v>
      </c>
      <c r="H172">
        <v>-16</v>
      </c>
      <c r="I172">
        <v>-8</v>
      </c>
      <c r="J172">
        <v>1.18</v>
      </c>
      <c r="K172">
        <v>19.4205845</v>
      </c>
      <c r="L172">
        <v>0.44186814010352982</v>
      </c>
      <c r="M172">
        <v>-1.171531004767957</v>
      </c>
      <c r="N172">
        <v>-0.1733720231384028</v>
      </c>
      <c r="O172">
        <v>0.30524065315771698</v>
      </c>
    </row>
    <row r="173" spans="1:15" x14ac:dyDescent="0.25">
      <c r="A173">
        <v>127.57298824999999</v>
      </c>
      <c r="B173">
        <v>22.552876999999999</v>
      </c>
      <c r="C173">
        <v>99.176033000000004</v>
      </c>
      <c r="D173">
        <v>199.30249749999999</v>
      </c>
      <c r="E173">
        <v>202.51363749999999</v>
      </c>
      <c r="F173">
        <v>4.7752374999999994</v>
      </c>
      <c r="G173">
        <v>225.63574249999999</v>
      </c>
      <c r="H173">
        <v>-16</v>
      </c>
      <c r="I173">
        <v>-4</v>
      </c>
      <c r="J173">
        <v>1.18</v>
      </c>
      <c r="K173">
        <v>19.347862750000001</v>
      </c>
      <c r="L173">
        <v>0.20048040833478509</v>
      </c>
      <c r="M173">
        <v>-1.2478076096194879</v>
      </c>
      <c r="N173">
        <v>-0.16326595866458879</v>
      </c>
      <c r="O173">
        <v>0.39598485694514263</v>
      </c>
    </row>
    <row r="174" spans="1:15" x14ac:dyDescent="0.25">
      <c r="A174">
        <v>109.11619399999999</v>
      </c>
      <c r="B174">
        <v>22.408614750000002</v>
      </c>
      <c r="C174">
        <v>117.3763675</v>
      </c>
      <c r="D174">
        <v>199.28978724999999</v>
      </c>
      <c r="E174">
        <v>203.09479899999999</v>
      </c>
      <c r="F174">
        <v>4.7752374999999994</v>
      </c>
      <c r="G174">
        <v>224.99541875</v>
      </c>
      <c r="H174">
        <v>-16</v>
      </c>
      <c r="I174">
        <v>0</v>
      </c>
      <c r="J174">
        <v>1.18</v>
      </c>
      <c r="K174">
        <v>19.319792499999998</v>
      </c>
      <c r="L174">
        <v>-6.0143570135300098E-2</v>
      </c>
      <c r="M174">
        <v>-1.288003428668034</v>
      </c>
      <c r="N174">
        <v>-0.1594966367973866</v>
      </c>
      <c r="O174">
        <v>0.44408906036156809</v>
      </c>
    </row>
    <row r="175" spans="1:15" x14ac:dyDescent="0.25">
      <c r="A175">
        <v>88.177436999999998</v>
      </c>
      <c r="B175">
        <v>24.957236250000001</v>
      </c>
      <c r="C175">
        <v>134.98960099999999</v>
      </c>
      <c r="D175">
        <v>196.55471399999999</v>
      </c>
      <c r="E175">
        <v>199.65251925000001</v>
      </c>
      <c r="F175">
        <v>4.7265107500000001</v>
      </c>
      <c r="G175">
        <v>222.87432874999999</v>
      </c>
      <c r="H175">
        <v>-16</v>
      </c>
      <c r="I175">
        <v>4</v>
      </c>
      <c r="J175">
        <v>1.18</v>
      </c>
      <c r="K175">
        <v>19.228674000000002</v>
      </c>
      <c r="L175">
        <v>-0.32720309002874381</v>
      </c>
      <c r="M175">
        <v>-1.199289258138033</v>
      </c>
      <c r="N175">
        <v>-0.162338680393706</v>
      </c>
      <c r="O175">
        <v>0.36232618338605072</v>
      </c>
    </row>
    <row r="176" spans="1:15" x14ac:dyDescent="0.25">
      <c r="A176">
        <v>67.328935749999999</v>
      </c>
      <c r="B176">
        <v>30.487263250000002</v>
      </c>
      <c r="C176">
        <v>151.65441874999999</v>
      </c>
      <c r="D176">
        <v>191.91038125</v>
      </c>
      <c r="E176">
        <v>195.80789200000001</v>
      </c>
      <c r="F176">
        <v>4.6777842500000002</v>
      </c>
      <c r="G176">
        <v>221.87382124999999</v>
      </c>
      <c r="H176">
        <v>-16</v>
      </c>
      <c r="I176">
        <v>8</v>
      </c>
      <c r="J176">
        <v>1.18</v>
      </c>
      <c r="K176">
        <v>19.1866795</v>
      </c>
      <c r="L176">
        <v>-0.57403282197544014</v>
      </c>
      <c r="M176">
        <v>-1.0988649260286849</v>
      </c>
      <c r="N176">
        <v>-0.17743882257688939</v>
      </c>
      <c r="O176">
        <v>0.30109469040522963</v>
      </c>
    </row>
    <row r="177" spans="1:15" x14ac:dyDescent="0.25">
      <c r="A177">
        <v>46.886572999999999</v>
      </c>
      <c r="B177">
        <v>35.584508</v>
      </c>
      <c r="C177">
        <v>167.0095445</v>
      </c>
      <c r="D177">
        <v>186.34584799999999</v>
      </c>
      <c r="E177">
        <v>188.74450325000001</v>
      </c>
      <c r="F177">
        <v>4.8239642500000004</v>
      </c>
      <c r="G177">
        <v>221.55366125</v>
      </c>
      <c r="H177">
        <v>-16</v>
      </c>
      <c r="I177">
        <v>12</v>
      </c>
      <c r="J177">
        <v>1.18</v>
      </c>
      <c r="K177">
        <v>19.166073749999999</v>
      </c>
      <c r="L177">
        <v>-0.81434656704791764</v>
      </c>
      <c r="M177">
        <v>-1.02204198661822</v>
      </c>
      <c r="N177">
        <v>-0.2224227643939061</v>
      </c>
      <c r="O177">
        <v>0.24685231012749201</v>
      </c>
    </row>
    <row r="178" spans="1:15" x14ac:dyDescent="0.25">
      <c r="A178">
        <v>24.81965125</v>
      </c>
      <c r="B178">
        <v>28.08290525</v>
      </c>
      <c r="C178">
        <v>178.525879</v>
      </c>
      <c r="D178">
        <v>176.73912075000001</v>
      </c>
      <c r="E178">
        <v>173.72362525</v>
      </c>
      <c r="F178">
        <v>4.7752374999999994</v>
      </c>
      <c r="G178">
        <v>219.15243125000001</v>
      </c>
      <c r="H178">
        <v>-16</v>
      </c>
      <c r="I178">
        <v>16</v>
      </c>
      <c r="J178">
        <v>1.18</v>
      </c>
      <c r="K178">
        <v>19.061771499999999</v>
      </c>
      <c r="L178">
        <v>-1.0436917392997751</v>
      </c>
      <c r="M178">
        <v>-1.009393502706015</v>
      </c>
      <c r="N178">
        <v>-0.30847010957369703</v>
      </c>
      <c r="O178">
        <v>0.14718572663557911</v>
      </c>
    </row>
    <row r="179" spans="1:15" x14ac:dyDescent="0.25">
      <c r="A179">
        <v>1.4440582500000001</v>
      </c>
      <c r="B179">
        <v>11.588994749999999</v>
      </c>
      <c r="C179">
        <v>187.51314525000001</v>
      </c>
      <c r="D179">
        <v>167.06715025</v>
      </c>
      <c r="E179">
        <v>155.84162549999999</v>
      </c>
      <c r="F179">
        <v>4.7752374999999994</v>
      </c>
      <c r="G179">
        <v>218.59213625000001</v>
      </c>
      <c r="H179">
        <v>-16</v>
      </c>
      <c r="I179">
        <v>20</v>
      </c>
      <c r="J179">
        <v>1.18</v>
      </c>
      <c r="K179">
        <v>19.036845750000001</v>
      </c>
      <c r="L179">
        <v>-1.246071199160165</v>
      </c>
      <c r="M179">
        <v>-1.0412002311257349</v>
      </c>
      <c r="N179">
        <v>-0.42022948059699389</v>
      </c>
      <c r="O179">
        <v>1.16703174408365E-2</v>
      </c>
    </row>
    <row r="180" spans="1:15" x14ac:dyDescent="0.25">
      <c r="A180">
        <v>-27.484041749999999</v>
      </c>
      <c r="B180">
        <v>-14.96762025</v>
      </c>
      <c r="C180">
        <v>195.05521425000001</v>
      </c>
      <c r="D180">
        <v>154.2829705</v>
      </c>
      <c r="E180">
        <v>130.85153550000001</v>
      </c>
      <c r="F180">
        <v>4.7752374999999994</v>
      </c>
      <c r="G180">
        <v>218.4720725</v>
      </c>
      <c r="H180">
        <v>-16</v>
      </c>
      <c r="I180">
        <v>24</v>
      </c>
      <c r="J180">
        <v>1.18</v>
      </c>
      <c r="K180">
        <v>19.031499</v>
      </c>
      <c r="L180">
        <v>-1.463333642460368</v>
      </c>
      <c r="M180">
        <v>-1.1129202929104489</v>
      </c>
      <c r="N180">
        <v>-0.57615807916458261</v>
      </c>
      <c r="O180">
        <v>-0.1709655048743168</v>
      </c>
    </row>
    <row r="181" spans="1:15" x14ac:dyDescent="0.25">
      <c r="A181">
        <v>-58.437376999999998</v>
      </c>
      <c r="B181">
        <v>-44.378235750000002</v>
      </c>
      <c r="C181">
        <v>197.94560250000001</v>
      </c>
      <c r="D181">
        <v>137.763611</v>
      </c>
      <c r="E181">
        <v>99.826271250000005</v>
      </c>
      <c r="F181">
        <v>4.7265107500000001</v>
      </c>
      <c r="G181">
        <v>215.67064250000001</v>
      </c>
      <c r="H181">
        <v>-16</v>
      </c>
      <c r="I181">
        <v>28</v>
      </c>
      <c r="J181">
        <v>1.18</v>
      </c>
      <c r="K181">
        <v>18.908525749999999</v>
      </c>
      <c r="L181">
        <v>-1.6952811484004979</v>
      </c>
      <c r="M181">
        <v>-1.2043792574662819</v>
      </c>
      <c r="N181">
        <v>-0.76599975190540603</v>
      </c>
      <c r="O181">
        <v>-0.37117753164401529</v>
      </c>
    </row>
    <row r="182" spans="1:15" x14ac:dyDescent="0.25">
      <c r="A182">
        <v>-91.012720250000001</v>
      </c>
      <c r="B182">
        <v>-76.464069499999994</v>
      </c>
      <c r="C182">
        <v>200.92630025</v>
      </c>
      <c r="D182">
        <v>121.81387700000001</v>
      </c>
      <c r="E182">
        <v>65.492835999999997</v>
      </c>
      <c r="F182">
        <v>4.6777842500000002</v>
      </c>
      <c r="G182">
        <v>215.51055875</v>
      </c>
      <c r="H182">
        <v>-16</v>
      </c>
      <c r="I182">
        <v>32</v>
      </c>
      <c r="J182">
        <v>1.18</v>
      </c>
      <c r="K182">
        <v>18.903534749999999</v>
      </c>
      <c r="L182">
        <v>-1.9563092492973699</v>
      </c>
      <c r="M182">
        <v>-1.3286734365095001</v>
      </c>
      <c r="N182">
        <v>-1.0052890881559691</v>
      </c>
      <c r="O182">
        <v>-0.59248993602779787</v>
      </c>
    </row>
    <row r="183" spans="1:15" x14ac:dyDescent="0.25">
      <c r="A183">
        <v>-123.04740725000001</v>
      </c>
      <c r="B183">
        <v>-106.46031575000001</v>
      </c>
      <c r="C183">
        <v>201.87470250000001</v>
      </c>
      <c r="D183">
        <v>102.84070749999999</v>
      </c>
      <c r="E183">
        <v>27.895936249999998</v>
      </c>
      <c r="F183">
        <v>4.5803310000000002</v>
      </c>
      <c r="G183">
        <v>214.59009175</v>
      </c>
      <c r="H183">
        <v>-16</v>
      </c>
      <c r="I183">
        <v>36</v>
      </c>
      <c r="J183">
        <v>1.18</v>
      </c>
      <c r="K183">
        <v>18.866592000000001</v>
      </c>
      <c r="L183">
        <v>-2.2777888818814129</v>
      </c>
      <c r="M183">
        <v>-1.4672484634433149</v>
      </c>
      <c r="N183">
        <v>-1.3087780703052749</v>
      </c>
      <c r="O183">
        <v>-0.83655568837678584</v>
      </c>
    </row>
    <row r="184" spans="1:15" x14ac:dyDescent="0.25">
      <c r="A184">
        <v>-155.21725050000001</v>
      </c>
      <c r="B184">
        <v>-136.86794275</v>
      </c>
      <c r="C184">
        <v>198.80368799999999</v>
      </c>
      <c r="D184">
        <v>81.403306999999998</v>
      </c>
      <c r="E184">
        <v>-15.565683999999999</v>
      </c>
      <c r="F184">
        <v>4.4828780000000004</v>
      </c>
      <c r="G184">
        <v>213.02928499999999</v>
      </c>
      <c r="H184">
        <v>-16</v>
      </c>
      <c r="I184">
        <v>40</v>
      </c>
      <c r="J184">
        <v>1.18</v>
      </c>
      <c r="K184">
        <v>18.800756499999999</v>
      </c>
      <c r="L184">
        <v>-2.7133274098299451</v>
      </c>
      <c r="M184">
        <v>-1.6728871256381359</v>
      </c>
      <c r="N184">
        <v>-1.7520292565405149</v>
      </c>
      <c r="O184">
        <v>-1.153669087096115</v>
      </c>
    </row>
    <row r="185" spans="1:15" x14ac:dyDescent="0.25">
      <c r="A185">
        <v>-185.67497650000001</v>
      </c>
      <c r="B185">
        <v>-165.83228299999999</v>
      </c>
      <c r="C185">
        <v>194.51327524999999</v>
      </c>
      <c r="D185">
        <v>59.32571325</v>
      </c>
      <c r="E185">
        <v>-60.434103</v>
      </c>
      <c r="F185">
        <v>4.6777842500000002</v>
      </c>
      <c r="G185">
        <v>212.90922549999999</v>
      </c>
      <c r="H185">
        <v>-16</v>
      </c>
      <c r="I185">
        <v>44</v>
      </c>
      <c r="J185">
        <v>1.18</v>
      </c>
      <c r="K185">
        <v>18.786552499999999</v>
      </c>
      <c r="L185">
        <v>-3.2968659689950601</v>
      </c>
      <c r="M185">
        <v>-1.9524918322331051</v>
      </c>
      <c r="N185">
        <v>-2.370346521528528</v>
      </c>
      <c r="O185">
        <v>-1.564619833502205</v>
      </c>
    </row>
    <row r="186" spans="1:15" x14ac:dyDescent="0.25">
      <c r="A186">
        <v>195.93982675000001</v>
      </c>
      <c r="B186">
        <v>-150.16699575000001</v>
      </c>
      <c r="C186">
        <v>-195.43129350000001</v>
      </c>
      <c r="D186">
        <v>44.694293999999999</v>
      </c>
      <c r="E186">
        <v>-10.659593750000001</v>
      </c>
      <c r="F186">
        <v>4.6290575</v>
      </c>
      <c r="G186">
        <v>210.70809575000001</v>
      </c>
      <c r="H186">
        <v>-12</v>
      </c>
      <c r="I186">
        <v>-44</v>
      </c>
      <c r="J186">
        <v>1.18</v>
      </c>
      <c r="K186">
        <v>18.689207</v>
      </c>
      <c r="L186">
        <v>2.4138119799939939</v>
      </c>
      <c r="M186">
        <v>-1.2018087510350941</v>
      </c>
      <c r="N186">
        <v>-1.3653100556945259</v>
      </c>
      <c r="O186">
        <v>-1.094295649206201</v>
      </c>
    </row>
    <row r="187" spans="1:15" x14ac:dyDescent="0.25">
      <c r="A187">
        <v>206.18356700000001</v>
      </c>
      <c r="B187">
        <v>-119.20558724999999</v>
      </c>
      <c r="C187">
        <v>-170.35403074999999</v>
      </c>
      <c r="D187">
        <v>69.617771500000003</v>
      </c>
      <c r="E187">
        <v>29.728841249999999</v>
      </c>
      <c r="F187">
        <v>4.6290575</v>
      </c>
      <c r="G187">
        <v>216.75120150000001</v>
      </c>
      <c r="H187">
        <v>-12</v>
      </c>
      <c r="I187">
        <v>-40</v>
      </c>
      <c r="J187">
        <v>1.18</v>
      </c>
      <c r="K187">
        <v>18.96113575</v>
      </c>
      <c r="L187">
        <v>2.157697472068679</v>
      </c>
      <c r="M187">
        <v>-1.0820401980841901</v>
      </c>
      <c r="N187">
        <v>-1.0717281238979961</v>
      </c>
      <c r="O187">
        <v>-0.85615908781366201</v>
      </c>
    </row>
    <row r="188" spans="1:15" x14ac:dyDescent="0.25">
      <c r="A188">
        <v>238.26860425000001</v>
      </c>
      <c r="B188">
        <v>-97.303514750000005</v>
      </c>
      <c r="C188">
        <v>-159.66461175000001</v>
      </c>
      <c r="D188">
        <v>103.49143574999999</v>
      </c>
      <c r="E188">
        <v>75.327936249999993</v>
      </c>
      <c r="F188">
        <v>5.6523149999999998</v>
      </c>
      <c r="G188">
        <v>248.527489</v>
      </c>
      <c r="H188">
        <v>-12</v>
      </c>
      <c r="I188">
        <v>-36</v>
      </c>
      <c r="J188">
        <v>1.18</v>
      </c>
      <c r="K188">
        <v>20.289187999999999</v>
      </c>
      <c r="L188">
        <v>1.9524702390666331</v>
      </c>
      <c r="M188">
        <v>-0.98519845857536659</v>
      </c>
      <c r="N188">
        <v>-0.84982663614342746</v>
      </c>
      <c r="O188">
        <v>-0.65814640287521586</v>
      </c>
    </row>
    <row r="189" spans="1:15" x14ac:dyDescent="0.25">
      <c r="A189">
        <v>257.763306</v>
      </c>
      <c r="B189">
        <v>-63.905011000000002</v>
      </c>
      <c r="C189">
        <v>-130.16725525000001</v>
      </c>
      <c r="D189">
        <v>136.97488799999999</v>
      </c>
      <c r="E189">
        <v>123.83284949999999</v>
      </c>
      <c r="F189">
        <v>6.0908542499999996</v>
      </c>
      <c r="G189">
        <v>269.73837275</v>
      </c>
      <c r="H189">
        <v>-12</v>
      </c>
      <c r="I189">
        <v>-32</v>
      </c>
      <c r="J189">
        <v>1.18</v>
      </c>
      <c r="K189">
        <v>21.139062500000001</v>
      </c>
      <c r="L189">
        <v>1.7563874047049091</v>
      </c>
      <c r="M189">
        <v>-0.9094944343227277</v>
      </c>
      <c r="N189">
        <v>-0.66060163803642169</v>
      </c>
      <c r="O189">
        <v>-0.46691526619054002</v>
      </c>
    </row>
    <row r="190" spans="1:15" x14ac:dyDescent="0.25">
      <c r="A190">
        <v>243.0520325</v>
      </c>
      <c r="B190">
        <v>-26.24155425</v>
      </c>
      <c r="C190">
        <v>-81.771734250000009</v>
      </c>
      <c r="D190">
        <v>152.257698</v>
      </c>
      <c r="E190">
        <v>152.93580274999999</v>
      </c>
      <c r="F190">
        <v>5.8472210000000002</v>
      </c>
      <c r="G190">
        <v>258.73272700000001</v>
      </c>
      <c r="H190">
        <v>-12</v>
      </c>
      <c r="I190">
        <v>-28</v>
      </c>
      <c r="J190">
        <v>1.18</v>
      </c>
      <c r="K190">
        <v>20.703122499999999</v>
      </c>
      <c r="L190">
        <v>1.5696349457913401</v>
      </c>
      <c r="M190">
        <v>-0.86254388758341305</v>
      </c>
      <c r="N190">
        <v>-0.51124236634072462</v>
      </c>
      <c r="O190">
        <v>-0.28922334537797711</v>
      </c>
    </row>
    <row r="191" spans="1:15" x14ac:dyDescent="0.25">
      <c r="A191">
        <v>230.77758800000001</v>
      </c>
      <c r="B191">
        <v>5.6261822500000003</v>
      </c>
      <c r="C191">
        <v>-36.93935475</v>
      </c>
      <c r="D191">
        <v>165.48981875000001</v>
      </c>
      <c r="E191">
        <v>178.149418</v>
      </c>
      <c r="F191">
        <v>5.7010414999999997</v>
      </c>
      <c r="G191">
        <v>252.80968475</v>
      </c>
      <c r="H191">
        <v>-12</v>
      </c>
      <c r="I191">
        <v>-24</v>
      </c>
      <c r="J191">
        <v>1.18</v>
      </c>
      <c r="K191">
        <v>20.465291000000001</v>
      </c>
      <c r="L191">
        <v>1.3813806498886141</v>
      </c>
      <c r="M191">
        <v>-0.82487060858215921</v>
      </c>
      <c r="N191">
        <v>-0.38524733795042748</v>
      </c>
      <c r="O191">
        <v>-0.1102004019922492</v>
      </c>
    </row>
    <row r="192" spans="1:15" x14ac:dyDescent="0.25">
      <c r="A192">
        <v>216.06630675</v>
      </c>
      <c r="B192">
        <v>27.217334999999999</v>
      </c>
      <c r="C192">
        <v>3.342006</v>
      </c>
      <c r="D192">
        <v>176.04930874999999</v>
      </c>
      <c r="E192">
        <v>196.21023174999999</v>
      </c>
      <c r="F192">
        <v>5.3599560000000004</v>
      </c>
      <c r="G192">
        <v>247.28685400000001</v>
      </c>
      <c r="H192">
        <v>-12</v>
      </c>
      <c r="I192">
        <v>-20</v>
      </c>
      <c r="J192">
        <v>1.18</v>
      </c>
      <c r="K192">
        <v>20.249574750000001</v>
      </c>
      <c r="L192">
        <v>1.1757266967487241</v>
      </c>
      <c r="M192">
        <v>-0.82259680816917113</v>
      </c>
      <c r="N192">
        <v>-0.28230348830916968</v>
      </c>
      <c r="O192">
        <v>5.4823372796582878E-2</v>
      </c>
    </row>
    <row r="193" spans="1:15" x14ac:dyDescent="0.25">
      <c r="A193">
        <v>201.21964650000001</v>
      </c>
      <c r="B193">
        <v>42.12436675</v>
      </c>
      <c r="C193">
        <v>39.968487750000001</v>
      </c>
      <c r="D193">
        <v>184.25445174999999</v>
      </c>
      <c r="E193">
        <v>211.23111700000001</v>
      </c>
      <c r="F193">
        <v>5.3112294999999996</v>
      </c>
      <c r="G193">
        <v>244.20528400000001</v>
      </c>
      <c r="H193">
        <v>-12</v>
      </c>
      <c r="I193">
        <v>-16</v>
      </c>
      <c r="J193">
        <v>1.18</v>
      </c>
      <c r="K193">
        <v>20.122253499999999</v>
      </c>
      <c r="L193">
        <v>0.94751119041222398</v>
      </c>
      <c r="M193">
        <v>-0.83516149302408094</v>
      </c>
      <c r="N193">
        <v>-0.1937621108467136</v>
      </c>
      <c r="O193">
        <v>0.2099837339432247</v>
      </c>
    </row>
    <row r="194" spans="1:15" x14ac:dyDescent="0.25">
      <c r="A194">
        <v>183.34949875000001</v>
      </c>
      <c r="B194">
        <v>52.270764499999999</v>
      </c>
      <c r="C194">
        <v>69.820650000000001</v>
      </c>
      <c r="D194">
        <v>189.09418099999999</v>
      </c>
      <c r="E194">
        <v>218.518013</v>
      </c>
      <c r="F194">
        <v>5.1650495000000003</v>
      </c>
      <c r="G194">
        <v>240.40333150000001</v>
      </c>
      <c r="H194">
        <v>-12</v>
      </c>
      <c r="I194">
        <v>-12</v>
      </c>
      <c r="J194">
        <v>1.175</v>
      </c>
      <c r="K194">
        <v>20.010261750000002</v>
      </c>
      <c r="L194">
        <v>0.72094168301766248</v>
      </c>
      <c r="M194">
        <v>-0.86887380137980708</v>
      </c>
      <c r="N194">
        <v>-0.13898438022096901</v>
      </c>
      <c r="O194">
        <v>0.35487310054578208</v>
      </c>
    </row>
    <row r="195" spans="1:15" x14ac:dyDescent="0.25">
      <c r="A195">
        <v>164.93783575</v>
      </c>
      <c r="B195">
        <v>57.175658249999998</v>
      </c>
      <c r="C195">
        <v>94.208198499999995</v>
      </c>
      <c r="D195">
        <v>193.25636299999999</v>
      </c>
      <c r="E195">
        <v>222.94382874999999</v>
      </c>
      <c r="F195">
        <v>5.0188697500000004</v>
      </c>
      <c r="G195">
        <v>237.3217545</v>
      </c>
      <c r="H195">
        <v>-12</v>
      </c>
      <c r="I195">
        <v>-8</v>
      </c>
      <c r="J195">
        <v>1.1775</v>
      </c>
      <c r="K195">
        <v>19.8638625</v>
      </c>
      <c r="L195">
        <v>0.48037040678902632</v>
      </c>
      <c r="M195">
        <v>-0.92410863531961607</v>
      </c>
      <c r="N195">
        <v>-9.7667815172739245E-2</v>
      </c>
      <c r="O195">
        <v>0.47998005211862249</v>
      </c>
    </row>
    <row r="196" spans="1:15" x14ac:dyDescent="0.25">
      <c r="A196">
        <v>145.30774700000001</v>
      </c>
      <c r="B196">
        <v>58.377839999999999</v>
      </c>
      <c r="C196">
        <v>114.26018125</v>
      </c>
      <c r="D196">
        <v>193.41240300000001</v>
      </c>
      <c r="E196">
        <v>223.83792099999999</v>
      </c>
      <c r="F196">
        <v>5.1650495000000003</v>
      </c>
      <c r="G196">
        <v>235.280697</v>
      </c>
      <c r="H196">
        <v>-12</v>
      </c>
      <c r="I196">
        <v>-4</v>
      </c>
      <c r="J196">
        <v>1.175</v>
      </c>
      <c r="K196">
        <v>19.791207750000002</v>
      </c>
      <c r="L196">
        <v>0.225772851202793</v>
      </c>
      <c r="M196">
        <v>-0.98192704934067265</v>
      </c>
      <c r="N196">
        <v>-8.3256568407415243E-2</v>
      </c>
      <c r="O196">
        <v>0.59015683715647704</v>
      </c>
    </row>
    <row r="197" spans="1:15" x14ac:dyDescent="0.25">
      <c r="A197">
        <v>123.82747474999999</v>
      </c>
      <c r="B197">
        <v>57.752704749999999</v>
      </c>
      <c r="C197">
        <v>131.73792624999999</v>
      </c>
      <c r="D197">
        <v>190.77114474999999</v>
      </c>
      <c r="E197">
        <v>221.55796774999999</v>
      </c>
      <c r="F197">
        <v>5.0188697500000004</v>
      </c>
      <c r="G197">
        <v>231.19860449999999</v>
      </c>
      <c r="H197">
        <v>-12</v>
      </c>
      <c r="I197">
        <v>0</v>
      </c>
      <c r="J197">
        <v>1.18</v>
      </c>
      <c r="K197">
        <v>19.579460999999998</v>
      </c>
      <c r="L197">
        <v>-6.0487276941647627E-2</v>
      </c>
      <c r="M197">
        <v>-1.017207302703905</v>
      </c>
      <c r="N197">
        <v>-7.3729591063330741E-2</v>
      </c>
      <c r="O197">
        <v>0.65593227417419653</v>
      </c>
    </row>
    <row r="198" spans="1:15" x14ac:dyDescent="0.25">
      <c r="A198">
        <v>102.48258025</v>
      </c>
      <c r="B198">
        <v>59.580019999999998</v>
      </c>
      <c r="C198">
        <v>149.12534350000001</v>
      </c>
      <c r="D198">
        <v>188.93091175000001</v>
      </c>
      <c r="E198">
        <v>219.05448150000001</v>
      </c>
      <c r="F198">
        <v>4.9701434999999998</v>
      </c>
      <c r="G198">
        <v>229.71784600000001</v>
      </c>
      <c r="H198">
        <v>-12</v>
      </c>
      <c r="I198">
        <v>4</v>
      </c>
      <c r="J198">
        <v>1.18</v>
      </c>
      <c r="K198">
        <v>19.517384249999999</v>
      </c>
      <c r="L198">
        <v>-0.33793248834981948</v>
      </c>
      <c r="M198">
        <v>-0.93717273750678021</v>
      </c>
      <c r="N198">
        <v>-7.7263573201510533E-2</v>
      </c>
      <c r="O198">
        <v>0.55107590466982315</v>
      </c>
    </row>
    <row r="199" spans="1:15" x14ac:dyDescent="0.25">
      <c r="A199">
        <v>80.686416499999993</v>
      </c>
      <c r="B199">
        <v>62.561425999999997</v>
      </c>
      <c r="C199">
        <v>165.33854324999999</v>
      </c>
      <c r="D199">
        <v>184.86790099999999</v>
      </c>
      <c r="E199">
        <v>214.58398424999999</v>
      </c>
      <c r="F199">
        <v>4.7265107500000001</v>
      </c>
      <c r="G199">
        <v>228.6773225</v>
      </c>
      <c r="H199">
        <v>-12</v>
      </c>
      <c r="I199">
        <v>8</v>
      </c>
      <c r="J199">
        <v>1.1775</v>
      </c>
      <c r="K199">
        <v>19.503512000000001</v>
      </c>
      <c r="L199">
        <v>-0.59214233354833368</v>
      </c>
      <c r="M199">
        <v>-0.85553436779699699</v>
      </c>
      <c r="N199">
        <v>-9.8601020467730144E-2</v>
      </c>
      <c r="O199">
        <v>0.46794756604976401</v>
      </c>
    </row>
    <row r="200" spans="1:15" x14ac:dyDescent="0.25">
      <c r="A200">
        <v>57.762088749999997</v>
      </c>
      <c r="B200">
        <v>62.080552999999988</v>
      </c>
      <c r="C200">
        <v>178.9323425</v>
      </c>
      <c r="D200">
        <v>176.14812850000001</v>
      </c>
      <c r="E200">
        <v>205.41946425</v>
      </c>
      <c r="F200">
        <v>4.6777842500000002</v>
      </c>
      <c r="G200">
        <v>225.79583</v>
      </c>
      <c r="H200">
        <v>-12</v>
      </c>
      <c r="I200">
        <v>12</v>
      </c>
      <c r="J200">
        <v>1.175</v>
      </c>
      <c r="K200">
        <v>19.40041725</v>
      </c>
      <c r="L200">
        <v>-0.8327991782831855</v>
      </c>
      <c r="M200">
        <v>-0.78396722952961151</v>
      </c>
      <c r="N200">
        <v>-0.14004538706659361</v>
      </c>
      <c r="O200">
        <v>0.37969198585230091</v>
      </c>
    </row>
    <row r="201" spans="1:15" x14ac:dyDescent="0.25">
      <c r="A201">
        <v>33.25833025</v>
      </c>
      <c r="B201">
        <v>51.789893249999999</v>
      </c>
      <c r="C201">
        <v>191.71323025000001</v>
      </c>
      <c r="D201">
        <v>166.61843124999999</v>
      </c>
      <c r="E201">
        <v>191.337391</v>
      </c>
      <c r="F201">
        <v>4.7752374999999994</v>
      </c>
      <c r="G201">
        <v>225.47567749999999</v>
      </c>
      <c r="H201">
        <v>-12</v>
      </c>
      <c r="I201">
        <v>16</v>
      </c>
      <c r="J201">
        <v>1.18</v>
      </c>
      <c r="K201">
        <v>19.34085</v>
      </c>
      <c r="L201">
        <v>-1.064796725633897</v>
      </c>
      <c r="M201">
        <v>-0.77161856508724003</v>
      </c>
      <c r="N201">
        <v>-0.22941362170321269</v>
      </c>
      <c r="O201">
        <v>0.25367251695333148</v>
      </c>
    </row>
    <row r="202" spans="1:15" x14ac:dyDescent="0.25">
      <c r="A202">
        <v>6.4982404999999996</v>
      </c>
      <c r="B202">
        <v>34.670849750000002</v>
      </c>
      <c r="C202">
        <v>199.66175849999999</v>
      </c>
      <c r="D202">
        <v>153.93242649999999</v>
      </c>
      <c r="E202">
        <v>171.26485099999999</v>
      </c>
      <c r="F202">
        <v>4.8726909999999997</v>
      </c>
      <c r="G202">
        <v>223.63473500000001</v>
      </c>
      <c r="H202">
        <v>-12</v>
      </c>
      <c r="I202">
        <v>20</v>
      </c>
      <c r="J202">
        <v>1.18</v>
      </c>
      <c r="K202">
        <v>19.25572575</v>
      </c>
      <c r="L202">
        <v>-1.281961671349074</v>
      </c>
      <c r="M202">
        <v>-0.79146957243558813</v>
      </c>
      <c r="N202">
        <v>-0.34759197296971972</v>
      </c>
      <c r="O202">
        <v>0.1042736778673924</v>
      </c>
    </row>
    <row r="203" spans="1:15" x14ac:dyDescent="0.25">
      <c r="A203">
        <v>-25.411473749999999</v>
      </c>
      <c r="B203">
        <v>10.194466</v>
      </c>
      <c r="C203">
        <v>206.39092274999999</v>
      </c>
      <c r="D203">
        <v>141.00614175000001</v>
      </c>
      <c r="E203">
        <v>146.14064024999999</v>
      </c>
      <c r="F203">
        <v>4.8239642500000004</v>
      </c>
      <c r="G203">
        <v>222.31404875000001</v>
      </c>
      <c r="H203">
        <v>-12</v>
      </c>
      <c r="I203">
        <v>24</v>
      </c>
      <c r="J203">
        <v>1.18</v>
      </c>
      <c r="K203">
        <v>19.199666749999999</v>
      </c>
      <c r="L203">
        <v>-1.507668693680553</v>
      </c>
      <c r="M203">
        <v>-0.85081064806314133</v>
      </c>
      <c r="N203">
        <v>-0.49543979893214463</v>
      </c>
      <c r="O203">
        <v>-8.0860584354698187E-2</v>
      </c>
    </row>
    <row r="204" spans="1:15" x14ac:dyDescent="0.25">
      <c r="A204">
        <v>-62.53745275</v>
      </c>
      <c r="B204">
        <v>-18.324566749999999</v>
      </c>
      <c r="C204">
        <v>210.86196525</v>
      </c>
      <c r="D204">
        <v>125.30336</v>
      </c>
      <c r="E204">
        <v>115.24949075000001</v>
      </c>
      <c r="F204">
        <v>4.7265107500000001</v>
      </c>
      <c r="G204">
        <v>221.63369</v>
      </c>
      <c r="H204">
        <v>-12</v>
      </c>
      <c r="I204">
        <v>28</v>
      </c>
      <c r="J204">
        <v>1.18</v>
      </c>
      <c r="K204">
        <v>19.173919999999999</v>
      </c>
      <c r="L204">
        <v>-1.75618358146051</v>
      </c>
      <c r="M204">
        <v>-0.92258771730311739</v>
      </c>
      <c r="N204">
        <v>-0.68336889706406756</v>
      </c>
      <c r="O204">
        <v>-0.29006907371182</v>
      </c>
    </row>
    <row r="205" spans="1:15" x14ac:dyDescent="0.25">
      <c r="A205">
        <v>-100.068941</v>
      </c>
      <c r="B205">
        <v>-49.323479749999997</v>
      </c>
      <c r="C205">
        <v>212.03617875</v>
      </c>
      <c r="D205">
        <v>105.33832925</v>
      </c>
      <c r="E205">
        <v>76.087919499999998</v>
      </c>
      <c r="F205">
        <v>4.7752374999999994</v>
      </c>
      <c r="G205">
        <v>219.47259500000001</v>
      </c>
      <c r="H205">
        <v>-12</v>
      </c>
      <c r="I205">
        <v>32</v>
      </c>
      <c r="J205">
        <v>1.18</v>
      </c>
      <c r="K205">
        <v>19.0759975</v>
      </c>
      <c r="L205">
        <v>-2.069892303691415</v>
      </c>
      <c r="M205">
        <v>-1.0257204636567081</v>
      </c>
      <c r="N205">
        <v>-0.95094471229982269</v>
      </c>
      <c r="O205">
        <v>-0.52706072050469588</v>
      </c>
    </row>
    <row r="206" spans="1:15" x14ac:dyDescent="0.25">
      <c r="A206">
        <v>-133.45529925</v>
      </c>
      <c r="B206">
        <v>-78.191110750000007</v>
      </c>
      <c r="C206">
        <v>212.126507</v>
      </c>
      <c r="D206">
        <v>84.607040249999997</v>
      </c>
      <c r="E206">
        <v>35.093440000000001</v>
      </c>
      <c r="F206">
        <v>4.4828780000000004</v>
      </c>
      <c r="G206">
        <v>218.67218374999999</v>
      </c>
      <c r="H206">
        <v>-12</v>
      </c>
      <c r="I206">
        <v>36</v>
      </c>
      <c r="J206">
        <v>1.18</v>
      </c>
      <c r="K206">
        <v>19.053414249999999</v>
      </c>
      <c r="L206">
        <v>-2.452395950318313</v>
      </c>
      <c r="M206">
        <v>-1.155280799908083</v>
      </c>
      <c r="N206">
        <v>-1.302761253538079</v>
      </c>
      <c r="O206">
        <v>-0.78278215571844367</v>
      </c>
    </row>
    <row r="207" spans="1:15" x14ac:dyDescent="0.25">
      <c r="A207">
        <v>-163.6877365</v>
      </c>
      <c r="B207">
        <v>-107.268467</v>
      </c>
      <c r="C207">
        <v>211.62971874999999</v>
      </c>
      <c r="D207">
        <v>61.739476500000002</v>
      </c>
      <c r="E207">
        <v>-10.525791999999999</v>
      </c>
      <c r="F207">
        <v>4.6290575</v>
      </c>
      <c r="G207">
        <v>218.59213625000001</v>
      </c>
      <c r="H207">
        <v>-12</v>
      </c>
      <c r="I207">
        <v>40</v>
      </c>
      <c r="J207">
        <v>1.18</v>
      </c>
      <c r="K207">
        <v>19.043348250000001</v>
      </c>
      <c r="L207">
        <v>-3.0038196848554839</v>
      </c>
      <c r="M207">
        <v>-1.352612520705434</v>
      </c>
      <c r="N207">
        <v>-1.833717459900593</v>
      </c>
      <c r="O207">
        <v>-1.121282427454906</v>
      </c>
    </row>
    <row r="208" spans="1:15" x14ac:dyDescent="0.25">
      <c r="A208">
        <v>-187.97280900000001</v>
      </c>
      <c r="B208">
        <v>-135.08348849999999</v>
      </c>
      <c r="C208">
        <v>205.03605275000001</v>
      </c>
      <c r="D208">
        <v>38.735056</v>
      </c>
      <c r="E208">
        <v>-57.490447750000001</v>
      </c>
      <c r="F208">
        <v>4.6777839999999999</v>
      </c>
      <c r="G208">
        <v>215.71066625</v>
      </c>
      <c r="H208">
        <v>-12</v>
      </c>
      <c r="I208">
        <v>44</v>
      </c>
      <c r="J208">
        <v>1.18</v>
      </c>
      <c r="K208">
        <v>18.912504500000001</v>
      </c>
      <c r="L208">
        <v>-3.7776863853067009</v>
      </c>
      <c r="M208">
        <v>-1.6708231266541651</v>
      </c>
      <c r="N208">
        <v>-2.6261185941991472</v>
      </c>
      <c r="O208">
        <v>-1.597632093134018</v>
      </c>
    </row>
    <row r="209" spans="1:15" x14ac:dyDescent="0.25">
      <c r="A209">
        <v>206.77021775</v>
      </c>
      <c r="B209">
        <v>-120.80532075000001</v>
      </c>
      <c r="C209">
        <v>-201.38488375</v>
      </c>
      <c r="D209">
        <v>24.22975675</v>
      </c>
      <c r="E209">
        <v>-8.4741545000000009</v>
      </c>
      <c r="F209">
        <v>4.4828780000000004</v>
      </c>
      <c r="G209">
        <v>215.31045499999999</v>
      </c>
      <c r="H209">
        <v>-8</v>
      </c>
      <c r="I209">
        <v>-44</v>
      </c>
      <c r="J209">
        <v>1.18</v>
      </c>
      <c r="K209">
        <v>18.9033005</v>
      </c>
      <c r="L209">
        <v>2.6743314539837542</v>
      </c>
      <c r="M209">
        <v>-0.95029924867014337</v>
      </c>
      <c r="N209">
        <v>-1.466309369434049</v>
      </c>
      <c r="O209">
        <v>-1.084907951822748</v>
      </c>
    </row>
    <row r="210" spans="1:15" x14ac:dyDescent="0.25">
      <c r="A210">
        <v>209.16192975000001</v>
      </c>
      <c r="B210">
        <v>-85.068605500000004</v>
      </c>
      <c r="C210">
        <v>-169.40686024999999</v>
      </c>
      <c r="D210">
        <v>47.364162499999999</v>
      </c>
      <c r="E210">
        <v>33.081715750000001</v>
      </c>
      <c r="F210">
        <v>4.4828780000000004</v>
      </c>
      <c r="G210">
        <v>213.66960875000001</v>
      </c>
      <c r="H210">
        <v>-8</v>
      </c>
      <c r="I210">
        <v>-40</v>
      </c>
      <c r="J210">
        <v>1.18</v>
      </c>
      <c r="K210">
        <v>18.8295955</v>
      </c>
      <c r="L210">
        <v>2.361392865123781</v>
      </c>
      <c r="M210">
        <v>-0.82607358480133875</v>
      </c>
      <c r="N210">
        <v>-1.1265131571762741</v>
      </c>
      <c r="O210">
        <v>-0.82163091615127648</v>
      </c>
    </row>
    <row r="211" spans="1:15" x14ac:dyDescent="0.25">
      <c r="A211">
        <v>208.62040725</v>
      </c>
      <c r="B211">
        <v>-52.623036999999997</v>
      </c>
      <c r="C211">
        <v>-133.59508124999999</v>
      </c>
      <c r="D211">
        <v>71.725433499999994</v>
      </c>
      <c r="E211">
        <v>71.483305000000001</v>
      </c>
      <c r="F211">
        <v>4.6777839999999999</v>
      </c>
      <c r="G211">
        <v>212.509018</v>
      </c>
      <c r="H211">
        <v>-8</v>
      </c>
      <c r="I211">
        <v>-36</v>
      </c>
      <c r="J211">
        <v>1.18</v>
      </c>
      <c r="K211">
        <v>18.76849125</v>
      </c>
      <c r="L211">
        <v>2.0791757827424751</v>
      </c>
      <c r="M211">
        <v>-0.75549374001726133</v>
      </c>
      <c r="N211">
        <v>-0.85682172548079705</v>
      </c>
      <c r="O211">
        <v>-0.59411352874850021</v>
      </c>
    </row>
    <row r="212" spans="1:15" x14ac:dyDescent="0.25">
      <c r="A212">
        <v>207.356865</v>
      </c>
      <c r="B212">
        <v>-22.929700749999999</v>
      </c>
      <c r="C212">
        <v>-98.234327250000007</v>
      </c>
      <c r="D212">
        <v>91.661374749999993</v>
      </c>
      <c r="E212">
        <v>104.11794825</v>
      </c>
      <c r="F212">
        <v>4.6777842500000002</v>
      </c>
      <c r="G212">
        <v>212.66909774999999</v>
      </c>
      <c r="H212">
        <v>-8</v>
      </c>
      <c r="I212">
        <v>-32</v>
      </c>
      <c r="J212">
        <v>1.18</v>
      </c>
      <c r="K212">
        <v>18.775713499999998</v>
      </c>
      <c r="L212">
        <v>1.855439668578031</v>
      </c>
      <c r="M212">
        <v>-0.6957534784591406</v>
      </c>
      <c r="N212">
        <v>-0.6590831404100107</v>
      </c>
      <c r="O212">
        <v>-0.39623125077462162</v>
      </c>
    </row>
    <row r="213" spans="1:15" x14ac:dyDescent="0.25">
      <c r="A213">
        <v>201.98679375</v>
      </c>
      <c r="B213">
        <v>4.0873922500000006</v>
      </c>
      <c r="C213">
        <v>-62.828475249999997</v>
      </c>
      <c r="D213">
        <v>107.82225625</v>
      </c>
      <c r="E213">
        <v>131.1644665</v>
      </c>
      <c r="F213">
        <v>4.7265107500000001</v>
      </c>
      <c r="G213">
        <v>210.187836</v>
      </c>
      <c r="H213">
        <v>-8</v>
      </c>
      <c r="I213">
        <v>-28</v>
      </c>
      <c r="J213">
        <v>1.18</v>
      </c>
      <c r="K213">
        <v>18.661176000000001</v>
      </c>
      <c r="L213">
        <v>1.6496026728502891</v>
      </c>
      <c r="M213">
        <v>-0.64618273832539308</v>
      </c>
      <c r="N213">
        <v>-0.49228216938216007</v>
      </c>
      <c r="O213">
        <v>-0.21238582173112289</v>
      </c>
    </row>
    <row r="214" spans="1:15" x14ac:dyDescent="0.25">
      <c r="A214">
        <v>199.91096525</v>
      </c>
      <c r="B214">
        <v>27.505858499999999</v>
      </c>
      <c r="C214">
        <v>-28.911020000000001</v>
      </c>
      <c r="D214">
        <v>125.3113365</v>
      </c>
      <c r="E214">
        <v>159.01567850000001</v>
      </c>
      <c r="F214">
        <v>4.4828780000000004</v>
      </c>
      <c r="G214">
        <v>214.22989999999999</v>
      </c>
      <c r="H214">
        <v>-8</v>
      </c>
      <c r="I214">
        <v>-24</v>
      </c>
      <c r="J214">
        <v>1.18</v>
      </c>
      <c r="K214">
        <v>18.854720749999998</v>
      </c>
      <c r="L214">
        <v>1.4326560325141959</v>
      </c>
      <c r="M214">
        <v>-0.61237226070958561</v>
      </c>
      <c r="N214">
        <v>-0.34569217006160619</v>
      </c>
      <c r="O214">
        <v>-3.2467459109629379E-2</v>
      </c>
    </row>
    <row r="215" spans="1:15" x14ac:dyDescent="0.25">
      <c r="A215">
        <v>221.79737825000001</v>
      </c>
      <c r="B215">
        <v>52.655461250000002</v>
      </c>
      <c r="C215">
        <v>-0.22527425000000001</v>
      </c>
      <c r="D215">
        <v>155.21737300000001</v>
      </c>
      <c r="E215">
        <v>202.8265725</v>
      </c>
      <c r="F215">
        <v>5.2625027499999986</v>
      </c>
      <c r="G215">
        <v>245.68603150000001</v>
      </c>
      <c r="H215">
        <v>-8</v>
      </c>
      <c r="I215">
        <v>-20</v>
      </c>
      <c r="J215">
        <v>1.18</v>
      </c>
      <c r="K215">
        <v>20.186518750000001</v>
      </c>
      <c r="L215">
        <v>1.257163519155595</v>
      </c>
      <c r="M215">
        <v>-0.58072723742386501</v>
      </c>
      <c r="N215">
        <v>-0.24272167474673609</v>
      </c>
      <c r="O215">
        <v>0.11863376372680901</v>
      </c>
    </row>
    <row r="216" spans="1:15" x14ac:dyDescent="0.25">
      <c r="A216">
        <v>232.44726199999999</v>
      </c>
      <c r="B216">
        <v>76.410538000000003</v>
      </c>
      <c r="C216">
        <v>37.710383499999999</v>
      </c>
      <c r="D216">
        <v>182.63318649999999</v>
      </c>
      <c r="E216">
        <v>242.74811550000001</v>
      </c>
      <c r="F216">
        <v>6.1883067500000006</v>
      </c>
      <c r="G216">
        <v>271.57931524999998</v>
      </c>
      <c r="H216">
        <v>-8</v>
      </c>
      <c r="I216">
        <v>-16</v>
      </c>
      <c r="J216">
        <v>1.18</v>
      </c>
      <c r="K216">
        <v>21.208848499999998</v>
      </c>
      <c r="L216">
        <v>1.04873630465474</v>
      </c>
      <c r="M216">
        <v>-0.57204857333606107</v>
      </c>
      <c r="N216">
        <v>-0.15526805091413259</v>
      </c>
      <c r="O216">
        <v>0.27396676526150338</v>
      </c>
    </row>
    <row r="217" spans="1:15" x14ac:dyDescent="0.25">
      <c r="A217">
        <v>206.995846</v>
      </c>
      <c r="B217">
        <v>85.54710575</v>
      </c>
      <c r="C217">
        <v>73.930406500000004</v>
      </c>
      <c r="D217">
        <v>186.17886350000001</v>
      </c>
      <c r="E217">
        <v>245.16220075000001</v>
      </c>
      <c r="F217">
        <v>5.8472212499999996</v>
      </c>
      <c r="G217">
        <v>260.25349425000002</v>
      </c>
      <c r="H217">
        <v>-8</v>
      </c>
      <c r="I217">
        <v>-12</v>
      </c>
      <c r="J217">
        <v>1.18</v>
      </c>
      <c r="K217">
        <v>20.765280000000001</v>
      </c>
      <c r="L217">
        <v>0.80437395492376373</v>
      </c>
      <c r="M217">
        <v>-0.60835383089288142</v>
      </c>
      <c r="N217">
        <v>-9.123274411458418E-2</v>
      </c>
      <c r="O217">
        <v>0.44668571889654118</v>
      </c>
    </row>
    <row r="218" spans="1:15" x14ac:dyDescent="0.25">
      <c r="A218">
        <v>184.432537</v>
      </c>
      <c r="B218">
        <v>91.221399500000004</v>
      </c>
      <c r="C218">
        <v>103.24062325</v>
      </c>
      <c r="D218">
        <v>186.92734525</v>
      </c>
      <c r="E218">
        <v>244.80456175</v>
      </c>
      <c r="F218">
        <v>5.4574090000000002</v>
      </c>
      <c r="G218">
        <v>252.60958875</v>
      </c>
      <c r="H218">
        <v>-8</v>
      </c>
      <c r="I218">
        <v>-8</v>
      </c>
      <c r="J218">
        <v>1.18</v>
      </c>
      <c r="K218">
        <v>20.467089000000001</v>
      </c>
      <c r="L218">
        <v>0.55019415972911623</v>
      </c>
      <c r="M218">
        <v>-0.64854386481959359</v>
      </c>
      <c r="N218">
        <v>-5.2957035731603277E-2</v>
      </c>
      <c r="O218">
        <v>0.6219057069435554</v>
      </c>
    </row>
    <row r="219" spans="1:15" x14ac:dyDescent="0.25">
      <c r="A219">
        <v>161.41795725</v>
      </c>
      <c r="B219">
        <v>91.317571749999999</v>
      </c>
      <c r="C219">
        <v>124.60230824999999</v>
      </c>
      <c r="D219">
        <v>186.14688475</v>
      </c>
      <c r="E219">
        <v>243.1951675</v>
      </c>
      <c r="F219">
        <v>5.4086825000000003</v>
      </c>
      <c r="G219">
        <v>246.96668274999999</v>
      </c>
      <c r="H219">
        <v>-8</v>
      </c>
      <c r="I219">
        <v>-4</v>
      </c>
      <c r="J219">
        <v>1.18</v>
      </c>
      <c r="K219">
        <v>20.234135999999999</v>
      </c>
      <c r="L219">
        <v>0.27223598604313087</v>
      </c>
      <c r="M219">
        <v>-0.70120887890575956</v>
      </c>
      <c r="N219">
        <v>-2.7900451458836639E-2</v>
      </c>
      <c r="O219">
        <v>0.75834621614834263</v>
      </c>
    </row>
    <row r="220" spans="1:15" x14ac:dyDescent="0.25">
      <c r="A220">
        <v>137.99723424999999</v>
      </c>
      <c r="B220">
        <v>90.980959249999998</v>
      </c>
      <c r="C220">
        <v>143.97685974999999</v>
      </c>
      <c r="D220">
        <v>183.737358</v>
      </c>
      <c r="E220">
        <v>240.959934</v>
      </c>
      <c r="F220">
        <v>5.1163227500000001</v>
      </c>
      <c r="G220">
        <v>243.91096874999999</v>
      </c>
      <c r="H220">
        <v>-8</v>
      </c>
      <c r="I220">
        <v>0</v>
      </c>
      <c r="J220">
        <v>1.18</v>
      </c>
      <c r="K220">
        <v>20.118065999999999</v>
      </c>
      <c r="L220">
        <v>-4.7285394988790669E-2</v>
      </c>
      <c r="M220">
        <v>-0.73343743068459177</v>
      </c>
      <c r="N220">
        <v>-2.3351647626297309E-2</v>
      </c>
      <c r="O220">
        <v>0.86480908319171412</v>
      </c>
    </row>
    <row r="221" spans="1:15" x14ac:dyDescent="0.25">
      <c r="A221">
        <v>114.39601125</v>
      </c>
      <c r="B221">
        <v>90.596258250000005</v>
      </c>
      <c r="C221">
        <v>161.63524649999999</v>
      </c>
      <c r="D221">
        <v>181.09955600000001</v>
      </c>
      <c r="E221">
        <v>236.75765999999999</v>
      </c>
      <c r="F221">
        <v>5.1163227500000001</v>
      </c>
      <c r="G221">
        <v>240.48336775000001</v>
      </c>
      <c r="H221">
        <v>-8</v>
      </c>
      <c r="I221">
        <v>4</v>
      </c>
      <c r="J221">
        <v>1.18</v>
      </c>
      <c r="K221">
        <v>19.973157749999999</v>
      </c>
      <c r="L221">
        <v>-0.3518552084679053</v>
      </c>
      <c r="M221">
        <v>-0.67407465115558785</v>
      </c>
      <c r="N221">
        <v>-2.7754769079570321E-2</v>
      </c>
      <c r="O221">
        <v>0.72530213782744046</v>
      </c>
    </row>
    <row r="222" spans="1:15" x14ac:dyDescent="0.25">
      <c r="A222">
        <v>90.072755749999999</v>
      </c>
      <c r="B222">
        <v>91.942702999999995</v>
      </c>
      <c r="C222">
        <v>177.35166924999999</v>
      </c>
      <c r="D222">
        <v>174.87740725</v>
      </c>
      <c r="E222">
        <v>230.58838650000001</v>
      </c>
      <c r="F222">
        <v>5.2137762499999996</v>
      </c>
      <c r="G222">
        <v>237.50804500000001</v>
      </c>
      <c r="H222">
        <v>-8</v>
      </c>
      <c r="I222">
        <v>8</v>
      </c>
      <c r="J222">
        <v>1.18</v>
      </c>
      <c r="K222">
        <v>19.842355999999999</v>
      </c>
      <c r="L222">
        <v>-0.62526863727467208</v>
      </c>
      <c r="M222">
        <v>-0.59415776123786301</v>
      </c>
      <c r="N222">
        <v>-4.9574245709351157E-2</v>
      </c>
      <c r="O222">
        <v>0.61468346182672517</v>
      </c>
    </row>
    <row r="223" spans="1:15" x14ac:dyDescent="0.25">
      <c r="A223">
        <v>64.350578249999998</v>
      </c>
      <c r="B223">
        <v>86.749284750000001</v>
      </c>
      <c r="C223">
        <v>192.52614224999999</v>
      </c>
      <c r="D223">
        <v>167.37389375000001</v>
      </c>
      <c r="E223">
        <v>222.45207600000001</v>
      </c>
      <c r="F223">
        <v>5.0188697500000004</v>
      </c>
      <c r="G223">
        <v>236.38752725000001</v>
      </c>
      <c r="H223">
        <v>-8</v>
      </c>
      <c r="I223">
        <v>12</v>
      </c>
      <c r="J223">
        <v>1.18</v>
      </c>
      <c r="K223">
        <v>19.80278225</v>
      </c>
      <c r="L223">
        <v>-0.87252031883788383</v>
      </c>
      <c r="M223">
        <v>-0.548830629036685</v>
      </c>
      <c r="N223">
        <v>-9.4861569636564891E-2</v>
      </c>
      <c r="O223">
        <v>0.48012492830720738</v>
      </c>
    </row>
    <row r="224" spans="1:15" x14ac:dyDescent="0.25">
      <c r="A224">
        <v>34.973143499999999</v>
      </c>
      <c r="B224">
        <v>73.765743499999999</v>
      </c>
      <c r="C224">
        <v>202.86827074999999</v>
      </c>
      <c r="D224">
        <v>154.8427275</v>
      </c>
      <c r="E224">
        <v>205.19593800000001</v>
      </c>
      <c r="F224">
        <v>4.9214172499999993</v>
      </c>
      <c r="G224">
        <v>232.79942700000001</v>
      </c>
      <c r="H224">
        <v>-8</v>
      </c>
      <c r="I224">
        <v>16</v>
      </c>
      <c r="J224">
        <v>1.18</v>
      </c>
      <c r="K224">
        <v>19.652832249999999</v>
      </c>
      <c r="L224">
        <v>-1.1131704136392959</v>
      </c>
      <c r="M224">
        <v>-0.53755073191191727</v>
      </c>
      <c r="N224">
        <v>-0.18301881011078691</v>
      </c>
      <c r="O224">
        <v>0.32784790280878012</v>
      </c>
    </row>
    <row r="225" spans="1:15" x14ac:dyDescent="0.25">
      <c r="A225">
        <v>4.2419089999999997</v>
      </c>
      <c r="B225">
        <v>57.70461675</v>
      </c>
      <c r="C225">
        <v>211.94585425</v>
      </c>
      <c r="D225">
        <v>140.96232225</v>
      </c>
      <c r="E225">
        <v>186.01749774999999</v>
      </c>
      <c r="F225">
        <v>5.067596</v>
      </c>
      <c r="G225">
        <v>231.62536975</v>
      </c>
      <c r="H225">
        <v>-8</v>
      </c>
      <c r="I225">
        <v>20</v>
      </c>
      <c r="J225">
        <v>1.18</v>
      </c>
      <c r="K225">
        <v>19.595821000000001</v>
      </c>
      <c r="L225">
        <v>-1.3396517450394569</v>
      </c>
      <c r="M225">
        <v>-0.53698987544360166</v>
      </c>
      <c r="N225">
        <v>-0.29416460518033682</v>
      </c>
      <c r="O225">
        <v>0.16708826569091029</v>
      </c>
    </row>
    <row r="226" spans="1:15" x14ac:dyDescent="0.25">
      <c r="A226">
        <v>-29.376384000000002</v>
      </c>
      <c r="B226">
        <v>35.05554875</v>
      </c>
      <c r="C226">
        <v>218.90082924999999</v>
      </c>
      <c r="D226">
        <v>126.93247775</v>
      </c>
      <c r="E226">
        <v>160.13330074999999</v>
      </c>
      <c r="F226">
        <v>5.0188697500000004</v>
      </c>
      <c r="G226">
        <v>230.95847724999999</v>
      </c>
      <c r="H226">
        <v>-8</v>
      </c>
      <c r="I226">
        <v>24</v>
      </c>
      <c r="J226">
        <v>1.18</v>
      </c>
      <c r="K226">
        <v>19.569065250000001</v>
      </c>
      <c r="L226">
        <v>-1.5784316146277899</v>
      </c>
      <c r="M226">
        <v>-0.5841111671337551</v>
      </c>
      <c r="N226">
        <v>-0.4502752757536731</v>
      </c>
      <c r="O226">
        <v>-1.385211865264932E-2</v>
      </c>
    </row>
    <row r="227" spans="1:15" x14ac:dyDescent="0.25">
      <c r="A227">
        <v>-63.348457250000003</v>
      </c>
      <c r="B227">
        <v>9.9540299999999995</v>
      </c>
      <c r="C227">
        <v>221.11376175000001</v>
      </c>
      <c r="D227">
        <v>109.53093149999999</v>
      </c>
      <c r="E227">
        <v>126.87279150000001</v>
      </c>
      <c r="F227">
        <v>4.9701434999999998</v>
      </c>
      <c r="G227">
        <v>227.55673250000001</v>
      </c>
      <c r="H227">
        <v>-8</v>
      </c>
      <c r="I227">
        <v>28</v>
      </c>
      <c r="J227">
        <v>1.18</v>
      </c>
      <c r="K227">
        <v>19.42331875</v>
      </c>
      <c r="L227">
        <v>-1.852336422010733</v>
      </c>
      <c r="M227">
        <v>-0.64840839233989622</v>
      </c>
      <c r="N227">
        <v>-0.6556255820957767</v>
      </c>
      <c r="O227">
        <v>-0.20620295966947169</v>
      </c>
    </row>
    <row r="228" spans="1:15" x14ac:dyDescent="0.25">
      <c r="A228">
        <v>-100.74477575</v>
      </c>
      <c r="B228">
        <v>-17.703218499999998</v>
      </c>
      <c r="C228">
        <v>223.91381475</v>
      </c>
      <c r="D228">
        <v>87.811153250000004</v>
      </c>
      <c r="E228">
        <v>86.727705</v>
      </c>
      <c r="F228">
        <v>4.9214172499999993</v>
      </c>
      <c r="G228">
        <v>226.7831765</v>
      </c>
      <c r="H228">
        <v>-8</v>
      </c>
      <c r="I228">
        <v>32</v>
      </c>
      <c r="J228">
        <v>1.18</v>
      </c>
      <c r="K228">
        <v>19.391668750000001</v>
      </c>
      <c r="L228">
        <v>-2.224487884638116</v>
      </c>
      <c r="M228">
        <v>-0.72295988720060711</v>
      </c>
      <c r="N228">
        <v>-0.95964487959377287</v>
      </c>
      <c r="O228">
        <v>-0.43952265524401513</v>
      </c>
    </row>
    <row r="229" spans="1:15" x14ac:dyDescent="0.25">
      <c r="A229">
        <v>-135.48280324999999</v>
      </c>
      <c r="B229">
        <v>-46.489409500000001</v>
      </c>
      <c r="C229">
        <v>222.96541199999999</v>
      </c>
      <c r="D229">
        <v>64.456187499999999</v>
      </c>
      <c r="E229">
        <v>41.888599499999998</v>
      </c>
      <c r="F229">
        <v>4.7752374999999994</v>
      </c>
      <c r="G229">
        <v>225.262474</v>
      </c>
      <c r="H229">
        <v>-8</v>
      </c>
      <c r="I229">
        <v>36</v>
      </c>
      <c r="J229">
        <v>1.1775</v>
      </c>
      <c r="K229">
        <v>19.3521085</v>
      </c>
      <c r="L229">
        <v>-2.697730789541668</v>
      </c>
      <c r="M229">
        <v>-0.83494467062867672</v>
      </c>
      <c r="N229">
        <v>-1.380092025545113</v>
      </c>
      <c r="O229">
        <v>-0.7206933393946986</v>
      </c>
    </row>
    <row r="230" spans="1:15" x14ac:dyDescent="0.25">
      <c r="A230">
        <v>-166.481201</v>
      </c>
      <c r="B230">
        <v>-74.651712250000003</v>
      </c>
      <c r="C230">
        <v>219.98471075</v>
      </c>
      <c r="D230">
        <v>38.954144499999998</v>
      </c>
      <c r="E230">
        <v>-7.0915297500000003</v>
      </c>
      <c r="F230">
        <v>4.9214167499999997</v>
      </c>
      <c r="G230">
        <v>223.62173075000001</v>
      </c>
      <c r="H230">
        <v>-8</v>
      </c>
      <c r="I230">
        <v>40</v>
      </c>
      <c r="J230">
        <v>1.18</v>
      </c>
      <c r="K230">
        <v>19.25301125</v>
      </c>
      <c r="L230">
        <v>-3.4059098678052928</v>
      </c>
      <c r="M230">
        <v>-1.001226749281485</v>
      </c>
      <c r="N230">
        <v>-2.033305030717643</v>
      </c>
      <c r="O230">
        <v>-1.105899167263892</v>
      </c>
    </row>
    <row r="231" spans="1:15" x14ac:dyDescent="0.25">
      <c r="A231">
        <v>-194.41579425</v>
      </c>
      <c r="B231">
        <v>-102.71812850000001</v>
      </c>
      <c r="C231">
        <v>216.86853425000001</v>
      </c>
      <c r="D231">
        <v>13.232108999999999</v>
      </c>
      <c r="E231">
        <v>-57.267444500000003</v>
      </c>
      <c r="F231">
        <v>4.7265107500000001</v>
      </c>
      <c r="G231">
        <v>223.27453625000001</v>
      </c>
      <c r="H231">
        <v>-8</v>
      </c>
      <c r="I231">
        <v>44</v>
      </c>
      <c r="J231">
        <v>1.18</v>
      </c>
      <c r="K231">
        <v>19.246307250000001</v>
      </c>
      <c r="L231">
        <v>-4.5051107931660406</v>
      </c>
      <c r="M231">
        <v>-1.2700905591727321</v>
      </c>
      <c r="N231">
        <v>-3.0730221928527479</v>
      </c>
      <c r="O231">
        <v>-1.6790952498418581</v>
      </c>
    </row>
    <row r="232" spans="1:15" x14ac:dyDescent="0.25">
      <c r="A232">
        <v>215.43453600000001</v>
      </c>
      <c r="B232">
        <v>-86.975663999999995</v>
      </c>
      <c r="C232">
        <v>-206.75214399999999</v>
      </c>
      <c r="D232">
        <v>-3.4965407499999999</v>
      </c>
      <c r="E232">
        <v>-9.4999742500000011</v>
      </c>
      <c r="F232">
        <v>4.6777839999999999</v>
      </c>
      <c r="G232">
        <v>220.28742975</v>
      </c>
      <c r="H232">
        <v>-4</v>
      </c>
      <c r="I232">
        <v>-44</v>
      </c>
      <c r="J232">
        <v>1.18</v>
      </c>
      <c r="K232">
        <v>19.116484249999999</v>
      </c>
      <c r="L232">
        <v>3.0735786310186</v>
      </c>
      <c r="M232">
        <v>-0.6076895169091413</v>
      </c>
      <c r="N232">
        <v>-1.672919178161463</v>
      </c>
      <c r="O232">
        <v>-1.103231144454313</v>
      </c>
    </row>
    <row r="233" spans="1:15" x14ac:dyDescent="0.25">
      <c r="A233">
        <v>217.7811165</v>
      </c>
      <c r="B233">
        <v>-54.837389999999999</v>
      </c>
      <c r="C233">
        <v>-174.95452875000001</v>
      </c>
      <c r="D233">
        <v>23.179683499999999</v>
      </c>
      <c r="E233">
        <v>33.439354999999999</v>
      </c>
      <c r="F233">
        <v>4.5316045000000003</v>
      </c>
      <c r="G233">
        <v>219.41981874999999</v>
      </c>
      <c r="H233">
        <v>-4</v>
      </c>
      <c r="I233">
        <v>-40</v>
      </c>
      <c r="J233">
        <v>1.18</v>
      </c>
      <c r="K233">
        <v>19.084475000000001</v>
      </c>
      <c r="L233">
        <v>2.6476697337399679</v>
      </c>
      <c r="M233">
        <v>-0.52592606170088207</v>
      </c>
      <c r="N233">
        <v>-1.2538297573797079</v>
      </c>
      <c r="O233">
        <v>-0.80512507278788403</v>
      </c>
    </row>
    <row r="234" spans="1:15" x14ac:dyDescent="0.25">
      <c r="A234">
        <v>216.83345025</v>
      </c>
      <c r="B234">
        <v>-23.940475750000001</v>
      </c>
      <c r="C234">
        <v>-138.6015165</v>
      </c>
      <c r="D234">
        <v>48.900818999999998</v>
      </c>
      <c r="E234">
        <v>73.897375000000011</v>
      </c>
      <c r="F234">
        <v>4.6290575</v>
      </c>
      <c r="G234">
        <v>218.11189250000001</v>
      </c>
      <c r="H234">
        <v>-4</v>
      </c>
      <c r="I234">
        <v>-36</v>
      </c>
      <c r="J234">
        <v>1.18</v>
      </c>
      <c r="K234">
        <v>19.021966500000001</v>
      </c>
      <c r="L234">
        <v>2.2907170879743979</v>
      </c>
      <c r="M234">
        <v>-0.46939726971153573</v>
      </c>
      <c r="N234">
        <v>-0.9294708305888828</v>
      </c>
      <c r="O234">
        <v>-0.55359275379707029</v>
      </c>
    </row>
    <row r="235" spans="1:15" x14ac:dyDescent="0.25">
      <c r="A235">
        <v>212.59154874999999</v>
      </c>
      <c r="B235">
        <v>4.8087</v>
      </c>
      <c r="C235">
        <v>-99.812933000000001</v>
      </c>
      <c r="D235">
        <v>71.287220000000005</v>
      </c>
      <c r="E235">
        <v>108.320221</v>
      </c>
      <c r="F235">
        <v>4.6290575</v>
      </c>
      <c r="G235">
        <v>215.01781424999999</v>
      </c>
      <c r="H235">
        <v>-4</v>
      </c>
      <c r="I235">
        <v>-32</v>
      </c>
      <c r="J235">
        <v>1.18</v>
      </c>
      <c r="K235">
        <v>18.883612750000001</v>
      </c>
      <c r="L235">
        <v>2.004872651939241</v>
      </c>
      <c r="M235">
        <v>-0.4266251087169593</v>
      </c>
      <c r="N235">
        <v>-0.68473966072150327</v>
      </c>
      <c r="O235">
        <v>-0.33454382065756721</v>
      </c>
    </row>
    <row r="236" spans="1:15" x14ac:dyDescent="0.25">
      <c r="A236">
        <v>209.34244150000001</v>
      </c>
      <c r="B236">
        <v>29.429344499999999</v>
      </c>
      <c r="C236">
        <v>-65.444444500000003</v>
      </c>
      <c r="D236">
        <v>89.251432249999993</v>
      </c>
      <c r="E236">
        <v>137.55727775</v>
      </c>
      <c r="F236">
        <v>4.6777842500000002</v>
      </c>
      <c r="G236">
        <v>214.41755275</v>
      </c>
      <c r="H236">
        <v>-4</v>
      </c>
      <c r="I236">
        <v>-28</v>
      </c>
      <c r="J236">
        <v>1.18</v>
      </c>
      <c r="K236">
        <v>18.854471499999999</v>
      </c>
      <c r="L236">
        <v>1.766400356339032</v>
      </c>
      <c r="M236">
        <v>-0.38453790058774701</v>
      </c>
      <c r="N236">
        <v>-0.49407804890097667</v>
      </c>
      <c r="O236">
        <v>-0.14582337579633739</v>
      </c>
    </row>
    <row r="237" spans="1:15" x14ac:dyDescent="0.25">
      <c r="A237">
        <v>202.21242525</v>
      </c>
      <c r="B237">
        <v>49.674055000000003</v>
      </c>
      <c r="C237">
        <v>-33.601732249999998</v>
      </c>
      <c r="D237">
        <v>104.1485175</v>
      </c>
      <c r="E237">
        <v>160.93799974999999</v>
      </c>
      <c r="F237">
        <v>4.3854249999999997</v>
      </c>
      <c r="G237">
        <v>212.509018</v>
      </c>
      <c r="H237">
        <v>-4</v>
      </c>
      <c r="I237">
        <v>-24</v>
      </c>
      <c r="J237">
        <v>1.18</v>
      </c>
      <c r="K237">
        <v>18.781685499999998</v>
      </c>
      <c r="L237">
        <v>1.5422727231066879</v>
      </c>
      <c r="M237">
        <v>-0.35626298386406741</v>
      </c>
      <c r="N237">
        <v>-0.33728944958433982</v>
      </c>
      <c r="O237">
        <v>2.3875305631843511E-2</v>
      </c>
    </row>
    <row r="238" spans="1:15" x14ac:dyDescent="0.25">
      <c r="A238">
        <v>193.77375050000001</v>
      </c>
      <c r="B238">
        <v>65.975618249999997</v>
      </c>
      <c r="C238">
        <v>-3.6082399999999999</v>
      </c>
      <c r="D238">
        <v>116.06634124999999</v>
      </c>
      <c r="E238">
        <v>179.2223395</v>
      </c>
      <c r="F238">
        <v>4.4828780000000004</v>
      </c>
      <c r="G238">
        <v>211.468491</v>
      </c>
      <c r="H238">
        <v>-4</v>
      </c>
      <c r="I238">
        <v>-20</v>
      </c>
      <c r="J238">
        <v>1.18</v>
      </c>
      <c r="K238">
        <v>18.7302705</v>
      </c>
      <c r="L238">
        <v>1.3333327295150701</v>
      </c>
      <c r="M238">
        <v>-0.3383567764619152</v>
      </c>
      <c r="N238">
        <v>-0.21783444000704691</v>
      </c>
      <c r="O238">
        <v>0.18037162212789651</v>
      </c>
    </row>
    <row r="239" spans="1:15" x14ac:dyDescent="0.25">
      <c r="A239">
        <v>183.71050650000001</v>
      </c>
      <c r="B239">
        <v>79.584293500000001</v>
      </c>
      <c r="C239">
        <v>26.961796249999999</v>
      </c>
      <c r="D239">
        <v>126.67766949999999</v>
      </c>
      <c r="E239">
        <v>193.080883</v>
      </c>
      <c r="F239">
        <v>4.4341514999999996</v>
      </c>
      <c r="G239">
        <v>211.37617900000001</v>
      </c>
      <c r="H239">
        <v>-4</v>
      </c>
      <c r="I239">
        <v>-16</v>
      </c>
      <c r="J239">
        <v>1.18</v>
      </c>
      <c r="K239">
        <v>18.728296749999998</v>
      </c>
      <c r="L239">
        <v>1.121139318203205</v>
      </c>
      <c r="M239">
        <v>-0.33688701502454171</v>
      </c>
      <c r="N239">
        <v>-0.13087824817954311</v>
      </c>
      <c r="O239">
        <v>0.3493502533491073</v>
      </c>
    </row>
    <row r="240" spans="1:15" x14ac:dyDescent="0.25">
      <c r="A240">
        <v>169.40536474999999</v>
      </c>
      <c r="B240">
        <v>88.913213999999996</v>
      </c>
      <c r="C240">
        <v>57.039771000000002</v>
      </c>
      <c r="D240">
        <v>134.2058145</v>
      </c>
      <c r="E240">
        <v>200.85955425</v>
      </c>
      <c r="F240">
        <v>4.4341514999999996</v>
      </c>
      <c r="G240">
        <v>209.26734925</v>
      </c>
      <c r="H240">
        <v>-4</v>
      </c>
      <c r="I240">
        <v>-12</v>
      </c>
      <c r="J240">
        <v>1.18</v>
      </c>
      <c r="K240">
        <v>18.632625999999998</v>
      </c>
      <c r="L240">
        <v>0.87868900043063503</v>
      </c>
      <c r="M240">
        <v>-0.35412346174000719</v>
      </c>
      <c r="N240">
        <v>-6.5758867420939573E-2</v>
      </c>
      <c r="O240">
        <v>0.53600287288041493</v>
      </c>
    </row>
    <row r="241" spans="1:15" x14ac:dyDescent="0.25">
      <c r="A241">
        <v>157.040672</v>
      </c>
      <c r="B241">
        <v>97.088035500000004</v>
      </c>
      <c r="C241">
        <v>84.227369249999995</v>
      </c>
      <c r="D241">
        <v>140.30504999999999</v>
      </c>
      <c r="E241">
        <v>208.19117374999999</v>
      </c>
      <c r="F241">
        <v>4.4341514999999996</v>
      </c>
      <c r="G241">
        <v>211.46848675000001</v>
      </c>
      <c r="H241">
        <v>-4</v>
      </c>
      <c r="I241">
        <v>-8</v>
      </c>
      <c r="J241">
        <v>1.18</v>
      </c>
      <c r="K241">
        <v>18.73240625</v>
      </c>
      <c r="L241">
        <v>0.61951782086304885</v>
      </c>
      <c r="M241">
        <v>-0.36770080597378002</v>
      </c>
      <c r="N241">
        <v>-2.791628947115312E-2</v>
      </c>
      <c r="O241">
        <v>0.73361585687461994</v>
      </c>
    </row>
    <row r="242" spans="1:15" x14ac:dyDescent="0.25">
      <c r="A242">
        <v>162.86200700000001</v>
      </c>
      <c r="B242">
        <v>114.88029874999999</v>
      </c>
      <c r="C242">
        <v>120.67320425</v>
      </c>
      <c r="D242">
        <v>163.22183625</v>
      </c>
      <c r="E242">
        <v>241.675209</v>
      </c>
      <c r="F242">
        <v>5.1650495000000003</v>
      </c>
      <c r="G242">
        <v>242.71041875</v>
      </c>
      <c r="H242">
        <v>-4</v>
      </c>
      <c r="I242">
        <v>-4</v>
      </c>
      <c r="J242">
        <v>1.18</v>
      </c>
      <c r="K242">
        <v>20.065253999999999</v>
      </c>
      <c r="L242">
        <v>0.34061667008794572</v>
      </c>
      <c r="M242">
        <v>-0.39012348088547949</v>
      </c>
      <c r="N242">
        <v>-8.4093629479587897E-3</v>
      </c>
      <c r="O242">
        <v>0.9089540454786279</v>
      </c>
    </row>
    <row r="243" spans="1:15" x14ac:dyDescent="0.25">
      <c r="A243">
        <v>158.43959425</v>
      </c>
      <c r="B243">
        <v>131.32611850000001</v>
      </c>
      <c r="C243">
        <v>161.04813375000001</v>
      </c>
      <c r="D243">
        <v>181.9320985</v>
      </c>
      <c r="E243">
        <v>270.37581625000001</v>
      </c>
      <c r="F243">
        <v>5.9446744999999996</v>
      </c>
      <c r="G243">
        <v>270.28289799999999</v>
      </c>
      <c r="H243">
        <v>-4</v>
      </c>
      <c r="I243">
        <v>0</v>
      </c>
      <c r="J243">
        <v>1.18</v>
      </c>
      <c r="K243">
        <v>21.16670525</v>
      </c>
      <c r="L243">
        <v>-2.0761736167736751E-2</v>
      </c>
      <c r="M243">
        <v>-0.40324825865651381</v>
      </c>
      <c r="N243">
        <v>7.2653728597096975E-4</v>
      </c>
      <c r="O243">
        <v>1.107177897459739</v>
      </c>
    </row>
    <row r="244" spans="1:15" x14ac:dyDescent="0.25">
      <c r="A244">
        <v>127.888874</v>
      </c>
      <c r="B244">
        <v>125.9403535</v>
      </c>
      <c r="C244">
        <v>176.53874949999999</v>
      </c>
      <c r="D244">
        <v>174.55960475000001</v>
      </c>
      <c r="E244">
        <v>258.75250975</v>
      </c>
      <c r="F244">
        <v>5.7497680000000004</v>
      </c>
      <c r="G244">
        <v>260.06319400000001</v>
      </c>
      <c r="H244">
        <v>-4</v>
      </c>
      <c r="I244">
        <v>4</v>
      </c>
      <c r="J244">
        <v>1.18</v>
      </c>
      <c r="K244">
        <v>20.76149075</v>
      </c>
      <c r="L244">
        <v>-0.36901115526826173</v>
      </c>
      <c r="M244">
        <v>-0.36877656326483332</v>
      </c>
      <c r="N244">
        <v>-9.9567750902074068E-3</v>
      </c>
      <c r="O244">
        <v>0.91906531130682911</v>
      </c>
    </row>
    <row r="245" spans="1:15" x14ac:dyDescent="0.25">
      <c r="A245">
        <v>97.924789500000003</v>
      </c>
      <c r="B245">
        <v>122.47807675</v>
      </c>
      <c r="C245">
        <v>191.44225700000001</v>
      </c>
      <c r="D245">
        <v>166.55200199999999</v>
      </c>
      <c r="E245">
        <v>250.25856375000001</v>
      </c>
      <c r="F245">
        <v>5.6035884999999999</v>
      </c>
      <c r="G245">
        <v>253.8902435</v>
      </c>
      <c r="H245">
        <v>-4</v>
      </c>
      <c r="I245">
        <v>8</v>
      </c>
      <c r="J245">
        <v>1.18</v>
      </c>
      <c r="K245">
        <v>20.514007249999999</v>
      </c>
      <c r="L245">
        <v>-0.66770967123383829</v>
      </c>
      <c r="M245">
        <v>-0.31468348167659183</v>
      </c>
      <c r="N245">
        <v>-2.5930891985160791E-2</v>
      </c>
      <c r="O245">
        <v>0.74682674649369174</v>
      </c>
    </row>
    <row r="246" spans="1:15" x14ac:dyDescent="0.25">
      <c r="A246">
        <v>66.561783000000005</v>
      </c>
      <c r="B246">
        <v>113.2453325</v>
      </c>
      <c r="C246">
        <v>203.500542</v>
      </c>
      <c r="D246">
        <v>154.58970274999999</v>
      </c>
      <c r="E246">
        <v>236.5341415</v>
      </c>
      <c r="F246">
        <v>5.2137762499999996</v>
      </c>
      <c r="G246">
        <v>247.41819025000001</v>
      </c>
      <c r="H246">
        <v>-4</v>
      </c>
      <c r="I246">
        <v>12</v>
      </c>
      <c r="J246">
        <v>1.18</v>
      </c>
      <c r="K246">
        <v>20.261190249999999</v>
      </c>
      <c r="L246">
        <v>-0.93389240545973473</v>
      </c>
      <c r="M246">
        <v>-0.28196246858763457</v>
      </c>
      <c r="N246">
        <v>-7.4237722958551675E-2</v>
      </c>
      <c r="O246">
        <v>0.57757927541568699</v>
      </c>
    </row>
    <row r="247" spans="1:15" x14ac:dyDescent="0.25">
      <c r="A247">
        <v>35.063396249999997</v>
      </c>
      <c r="B247">
        <v>99.444307249999994</v>
      </c>
      <c r="C247">
        <v>214.74591075000001</v>
      </c>
      <c r="D247">
        <v>142.71504200000001</v>
      </c>
      <c r="E247">
        <v>221.15562025</v>
      </c>
      <c r="F247">
        <v>5.1163227500000001</v>
      </c>
      <c r="G247">
        <v>244.20528024999999</v>
      </c>
      <c r="H247">
        <v>-4</v>
      </c>
      <c r="I247">
        <v>16</v>
      </c>
      <c r="J247">
        <v>1.18</v>
      </c>
      <c r="K247">
        <v>20.130459250000001</v>
      </c>
      <c r="L247">
        <v>-1.167517595160217</v>
      </c>
      <c r="M247">
        <v>-0.28116256978784609</v>
      </c>
      <c r="N247">
        <v>-0.1497750018534626</v>
      </c>
      <c r="O247">
        <v>0.40374899204291931</v>
      </c>
    </row>
    <row r="248" spans="1:15" x14ac:dyDescent="0.25">
      <c r="A248">
        <v>-4.4628500000000022E-2</v>
      </c>
      <c r="B248">
        <v>81.555869999999999</v>
      </c>
      <c r="C248">
        <v>222.33314899999999</v>
      </c>
      <c r="D248">
        <v>125.79329125</v>
      </c>
      <c r="E248">
        <v>197.01492325000001</v>
      </c>
      <c r="F248">
        <v>5.3112292500000002</v>
      </c>
      <c r="G248">
        <v>240.60342775000001</v>
      </c>
      <c r="H248">
        <v>-4</v>
      </c>
      <c r="I248">
        <v>20</v>
      </c>
      <c r="J248">
        <v>1.18</v>
      </c>
      <c r="K248">
        <v>19.969977499999999</v>
      </c>
      <c r="L248">
        <v>-1.423146711190505</v>
      </c>
      <c r="M248">
        <v>-0.28309861477599418</v>
      </c>
      <c r="N248">
        <v>-0.27895721362671522</v>
      </c>
      <c r="O248">
        <v>0.22683105223030681</v>
      </c>
    </row>
    <row r="249" spans="1:15" x14ac:dyDescent="0.25">
      <c r="A249">
        <v>-33.791853000000003</v>
      </c>
      <c r="B249">
        <v>61.647767999999999</v>
      </c>
      <c r="C249">
        <v>227.61711525000001</v>
      </c>
      <c r="D249">
        <v>108.36176875</v>
      </c>
      <c r="E249">
        <v>168.80607624999999</v>
      </c>
      <c r="F249">
        <v>5.1163227500000001</v>
      </c>
      <c r="G249">
        <v>237.70814100000001</v>
      </c>
      <c r="H249">
        <v>-4</v>
      </c>
      <c r="I249">
        <v>24</v>
      </c>
      <c r="J249">
        <v>1.18</v>
      </c>
      <c r="K249">
        <v>19.855058750000001</v>
      </c>
      <c r="L249">
        <v>-1.687907543799533</v>
      </c>
      <c r="M249">
        <v>-0.30161262930316912</v>
      </c>
      <c r="N249">
        <v>-0.44491119549958502</v>
      </c>
      <c r="O249">
        <v>5.6898523125932153E-2</v>
      </c>
    </row>
    <row r="250" spans="1:15" x14ac:dyDescent="0.25">
      <c r="A250">
        <v>-68.890319750000003</v>
      </c>
      <c r="B250">
        <v>39.768093</v>
      </c>
      <c r="C250">
        <v>231.36557024999999</v>
      </c>
      <c r="D250">
        <v>87.548244499999996</v>
      </c>
      <c r="E250">
        <v>134.29382325</v>
      </c>
      <c r="F250">
        <v>5.1163227500000001</v>
      </c>
      <c r="G250">
        <v>236.48130775000001</v>
      </c>
      <c r="H250">
        <v>-4</v>
      </c>
      <c r="I250">
        <v>28</v>
      </c>
      <c r="J250">
        <v>1.18</v>
      </c>
      <c r="K250">
        <v>19.802625249999998</v>
      </c>
      <c r="L250">
        <v>-2.0171119153118879</v>
      </c>
      <c r="M250">
        <v>-0.32098621585893078</v>
      </c>
      <c r="N250">
        <v>-0.68649744392380463</v>
      </c>
      <c r="O250">
        <v>-0.13219094384637481</v>
      </c>
    </row>
    <row r="251" spans="1:15" x14ac:dyDescent="0.25">
      <c r="A251">
        <v>-102.817345</v>
      </c>
      <c r="B251">
        <v>14.28187825</v>
      </c>
      <c r="C251">
        <v>231.5462225</v>
      </c>
      <c r="D251">
        <v>64.587643</v>
      </c>
      <c r="E251">
        <v>92.718176</v>
      </c>
      <c r="F251">
        <v>5.1163227500000001</v>
      </c>
      <c r="G251">
        <v>233.27967050000001</v>
      </c>
      <c r="H251">
        <v>-4</v>
      </c>
      <c r="I251">
        <v>32</v>
      </c>
      <c r="J251">
        <v>1.18</v>
      </c>
      <c r="K251">
        <v>19.665132750000001</v>
      </c>
      <c r="L251">
        <v>-2.4409045212063911</v>
      </c>
      <c r="M251">
        <v>-0.36721595065656409</v>
      </c>
      <c r="N251">
        <v>-1.0261264532119141</v>
      </c>
      <c r="O251">
        <v>-0.36050878350682769</v>
      </c>
    </row>
    <row r="252" spans="1:15" x14ac:dyDescent="0.25">
      <c r="A252">
        <v>-138.9521025</v>
      </c>
      <c r="B252">
        <v>-12.9066305</v>
      </c>
      <c r="C252">
        <v>231.00427625</v>
      </c>
      <c r="D252">
        <v>38.253057499999997</v>
      </c>
      <c r="E252">
        <v>44.660309750000003</v>
      </c>
      <c r="F252">
        <v>5.067596</v>
      </c>
      <c r="G252">
        <v>232.13211849999999</v>
      </c>
      <c r="H252">
        <v>-4</v>
      </c>
      <c r="I252">
        <v>36</v>
      </c>
      <c r="J252">
        <v>1.1775</v>
      </c>
      <c r="K252">
        <v>19.638627750000001</v>
      </c>
      <c r="L252">
        <v>-3.0679178046873901</v>
      </c>
      <c r="M252">
        <v>-0.42422547349833939</v>
      </c>
      <c r="N252">
        <v>-1.5546351876012701</v>
      </c>
      <c r="O252">
        <v>-0.67167188825190416</v>
      </c>
    </row>
    <row r="253" spans="1:15" x14ac:dyDescent="0.25">
      <c r="A253">
        <v>-169.31971375000001</v>
      </c>
      <c r="B253">
        <v>-39.769987999999998</v>
      </c>
      <c r="C253">
        <v>228.20422350000001</v>
      </c>
      <c r="D253">
        <v>12.40046925</v>
      </c>
      <c r="E253">
        <v>-4.0586742500000001</v>
      </c>
      <c r="F253">
        <v>4.8726905</v>
      </c>
      <c r="G253">
        <v>229.46439375</v>
      </c>
      <c r="H253">
        <v>-4</v>
      </c>
      <c r="I253">
        <v>40</v>
      </c>
      <c r="J253">
        <v>1.1725000000000001</v>
      </c>
      <c r="K253">
        <v>19.57299325</v>
      </c>
      <c r="L253">
        <v>-3.9561655320841971</v>
      </c>
      <c r="M253">
        <v>-0.51917396735547883</v>
      </c>
      <c r="N253">
        <v>-2.3240351240701229</v>
      </c>
      <c r="O253">
        <v>-1.0889118618182561</v>
      </c>
    </row>
    <row r="254" spans="1:15" x14ac:dyDescent="0.25">
      <c r="A254">
        <v>-196.44330199999999</v>
      </c>
      <c r="B254">
        <v>-67.263391499999997</v>
      </c>
      <c r="C254">
        <v>223.14606499999999</v>
      </c>
      <c r="D254">
        <v>-16.25891425</v>
      </c>
      <c r="E254">
        <v>-56.821440500000001</v>
      </c>
      <c r="F254">
        <v>4.8239642500000004</v>
      </c>
      <c r="G254">
        <v>226.72997275</v>
      </c>
      <c r="H254">
        <v>-4</v>
      </c>
      <c r="I254">
        <v>44</v>
      </c>
      <c r="J254">
        <v>1.18</v>
      </c>
      <c r="K254">
        <v>19.393603250000002</v>
      </c>
      <c r="L254">
        <v>-5.5925271630422824</v>
      </c>
      <c r="M254">
        <v>-0.67975457274216122</v>
      </c>
      <c r="N254">
        <v>-3.7794558586367408</v>
      </c>
      <c r="O254">
        <v>-1.821731330927636</v>
      </c>
    </row>
    <row r="255" spans="1:15" x14ac:dyDescent="0.25">
      <c r="A255">
        <v>222.92554075000001</v>
      </c>
      <c r="B255">
        <v>-54.069786000000001</v>
      </c>
      <c r="C255">
        <v>-212.61553175</v>
      </c>
      <c r="D255">
        <v>-34.440926500000003</v>
      </c>
      <c r="E255">
        <v>-10.704196250000001</v>
      </c>
      <c r="F255">
        <v>4.8239642500000004</v>
      </c>
      <c r="G255">
        <v>226.39614875000001</v>
      </c>
      <c r="H255">
        <v>0</v>
      </c>
      <c r="I255">
        <v>-44</v>
      </c>
      <c r="J255">
        <v>1.18</v>
      </c>
      <c r="K255">
        <v>19.3790105</v>
      </c>
      <c r="L255">
        <v>3.5514388996567141</v>
      </c>
      <c r="M255">
        <v>-0.16004880987339651</v>
      </c>
      <c r="N255">
        <v>-1.9333465168444759</v>
      </c>
      <c r="O255">
        <v>-1.1266095395281439</v>
      </c>
    </row>
    <row r="256" spans="1:15" x14ac:dyDescent="0.25">
      <c r="A256">
        <v>223.2414205</v>
      </c>
      <c r="B256">
        <v>-21.397546999999999</v>
      </c>
      <c r="C256">
        <v>-179.10401175000001</v>
      </c>
      <c r="D256">
        <v>-6.3374802499999996</v>
      </c>
      <c r="E256">
        <v>33.349944999999998</v>
      </c>
      <c r="F256">
        <v>4.7752374999999994</v>
      </c>
      <c r="G256">
        <v>224.0489235</v>
      </c>
      <c r="H256">
        <v>0</v>
      </c>
      <c r="I256">
        <v>-40</v>
      </c>
      <c r="J256">
        <v>1.18</v>
      </c>
      <c r="K256">
        <v>19.278232249999999</v>
      </c>
      <c r="L256">
        <v>3.0115982018369292</v>
      </c>
      <c r="M256">
        <v>-0.1127020970669675</v>
      </c>
      <c r="N256">
        <v>-1.427417826124936</v>
      </c>
      <c r="O256">
        <v>-0.7861203370932206</v>
      </c>
    </row>
    <row r="257" spans="1:15" x14ac:dyDescent="0.25">
      <c r="A257">
        <v>223.01581200000001</v>
      </c>
      <c r="B257">
        <v>6.9726237500000003</v>
      </c>
      <c r="C257">
        <v>-142.39016749999999</v>
      </c>
      <c r="D257">
        <v>23.442591499999999</v>
      </c>
      <c r="E257">
        <v>76.311445499999991</v>
      </c>
      <c r="F257">
        <v>4.8726909999999997</v>
      </c>
      <c r="G257">
        <v>223.18151474999999</v>
      </c>
      <c r="H257">
        <v>0</v>
      </c>
      <c r="I257">
        <v>-36</v>
      </c>
      <c r="J257">
        <v>1.18</v>
      </c>
      <c r="K257">
        <v>19.235771</v>
      </c>
      <c r="L257">
        <v>2.5372688061505291</v>
      </c>
      <c r="M257">
        <v>-0.1143383551871073</v>
      </c>
      <c r="N257">
        <v>-1.019859215086405</v>
      </c>
      <c r="O257">
        <v>-0.50396401505499366</v>
      </c>
    </row>
    <row r="258" spans="1:15" x14ac:dyDescent="0.25">
      <c r="A258">
        <v>221.16562275000001</v>
      </c>
      <c r="B258">
        <v>32.699273750000003</v>
      </c>
      <c r="C258">
        <v>-104.81936450000001</v>
      </c>
      <c r="D258">
        <v>46.972828</v>
      </c>
      <c r="E258">
        <v>111.717798</v>
      </c>
      <c r="F258">
        <v>4.8726905</v>
      </c>
      <c r="G258">
        <v>222.64833824999999</v>
      </c>
      <c r="H258">
        <v>0</v>
      </c>
      <c r="I258">
        <v>-32</v>
      </c>
      <c r="J258">
        <v>1.18</v>
      </c>
      <c r="K258">
        <v>19.212266499999998</v>
      </c>
      <c r="L258">
        <v>2.2059171278802681</v>
      </c>
      <c r="M258">
        <v>-9.6584469676693402E-2</v>
      </c>
      <c r="N258">
        <v>-0.75067423496009567</v>
      </c>
      <c r="O258">
        <v>-0.27698924839843458</v>
      </c>
    </row>
    <row r="259" spans="1:15" x14ac:dyDescent="0.25">
      <c r="A259">
        <v>216.20168649999999</v>
      </c>
      <c r="B259">
        <v>54.963647000000002</v>
      </c>
      <c r="C259">
        <v>-66.932845999999998</v>
      </c>
      <c r="D259">
        <v>68.794168249999998</v>
      </c>
      <c r="E259">
        <v>142.16190324999999</v>
      </c>
      <c r="F259">
        <v>4.7265107500000001</v>
      </c>
      <c r="G259">
        <v>219.88724925</v>
      </c>
      <c r="H259">
        <v>0</v>
      </c>
      <c r="I259">
        <v>-28</v>
      </c>
      <c r="J259">
        <v>1.18</v>
      </c>
      <c r="K259">
        <v>19.096573249999999</v>
      </c>
      <c r="L259">
        <v>1.911179146681633</v>
      </c>
      <c r="M259">
        <v>-9.335999861326838E-2</v>
      </c>
      <c r="N259">
        <v>-0.52465296090341118</v>
      </c>
      <c r="O259">
        <v>-7.2299804987696087E-2</v>
      </c>
    </row>
    <row r="260" spans="1:15" x14ac:dyDescent="0.25">
      <c r="A260">
        <v>210.33522425000001</v>
      </c>
      <c r="B260">
        <v>74.438963000000001</v>
      </c>
      <c r="C260">
        <v>-34.097864999999999</v>
      </c>
      <c r="D260">
        <v>84.962987749999996</v>
      </c>
      <c r="E260">
        <v>166.43670675000001</v>
      </c>
      <c r="F260">
        <v>4.8239642500000004</v>
      </c>
      <c r="G260">
        <v>219.36704649999999</v>
      </c>
      <c r="H260">
        <v>0</v>
      </c>
      <c r="I260">
        <v>-24</v>
      </c>
      <c r="J260">
        <v>1.18</v>
      </c>
      <c r="K260">
        <v>19.06914475</v>
      </c>
      <c r="L260">
        <v>1.671244767869978</v>
      </c>
      <c r="M260">
        <v>-7.1889853238350857E-2</v>
      </c>
      <c r="N260">
        <v>-0.36192675663663521</v>
      </c>
      <c r="O260">
        <v>0.10494953625277589</v>
      </c>
    </row>
    <row r="261" spans="1:15" x14ac:dyDescent="0.25">
      <c r="A261">
        <v>202.889332</v>
      </c>
      <c r="B261">
        <v>90.019214500000004</v>
      </c>
      <c r="C261">
        <v>-4.5554027499999998</v>
      </c>
      <c r="D261">
        <v>99.635648500000002</v>
      </c>
      <c r="E261">
        <v>186.59866349999999</v>
      </c>
      <c r="F261">
        <v>4.8239642500000004</v>
      </c>
      <c r="G261">
        <v>219.24696750000001</v>
      </c>
      <c r="H261">
        <v>0</v>
      </c>
      <c r="I261">
        <v>-20</v>
      </c>
      <c r="J261">
        <v>1.18</v>
      </c>
      <c r="K261">
        <v>19.0638015</v>
      </c>
      <c r="L261">
        <v>1.4419320565409599</v>
      </c>
      <c r="M261">
        <v>-6.6838515844432428E-2</v>
      </c>
      <c r="N261">
        <v>-0.22693768161323319</v>
      </c>
      <c r="O261">
        <v>0.2634951698174115</v>
      </c>
    </row>
    <row r="262" spans="1:15" x14ac:dyDescent="0.25">
      <c r="A262">
        <v>191.11127875</v>
      </c>
      <c r="B262">
        <v>102.954672</v>
      </c>
      <c r="C262">
        <v>25.335960750000002</v>
      </c>
      <c r="D262">
        <v>110.4650305</v>
      </c>
      <c r="E262">
        <v>199.69721974999999</v>
      </c>
      <c r="F262">
        <v>4.7265107500000001</v>
      </c>
      <c r="G262">
        <v>216.90087124999999</v>
      </c>
      <c r="H262">
        <v>0</v>
      </c>
      <c r="I262">
        <v>-16</v>
      </c>
      <c r="J262">
        <v>1.18</v>
      </c>
      <c r="K262">
        <v>18.963580749999998</v>
      </c>
      <c r="L262">
        <v>1.2229619584444471</v>
      </c>
      <c r="M262">
        <v>-5.5402873203233907E-2</v>
      </c>
      <c r="N262">
        <v>-0.12693162279103551</v>
      </c>
      <c r="O262">
        <v>0.43836695762079703</v>
      </c>
    </row>
    <row r="263" spans="1:15" x14ac:dyDescent="0.25">
      <c r="A263">
        <v>177.88917175</v>
      </c>
      <c r="B263">
        <v>112.90872425000001</v>
      </c>
      <c r="C263">
        <v>56.181690250000003</v>
      </c>
      <c r="D263">
        <v>119.535341</v>
      </c>
      <c r="E263">
        <v>208.86174775000001</v>
      </c>
      <c r="F263">
        <v>4.5316045000000003</v>
      </c>
      <c r="G263">
        <v>216.5133285</v>
      </c>
      <c r="H263">
        <v>0</v>
      </c>
      <c r="I263">
        <v>-12</v>
      </c>
      <c r="J263">
        <v>1.18</v>
      </c>
      <c r="K263">
        <v>18.954971499999999</v>
      </c>
      <c r="L263">
        <v>0.9790404003014388</v>
      </c>
      <c r="M263">
        <v>-5.3302906087083282E-2</v>
      </c>
      <c r="N263">
        <v>-6.1589807133811902E-2</v>
      </c>
      <c r="O263">
        <v>0.64366698202195272</v>
      </c>
    </row>
    <row r="264" spans="1:15" x14ac:dyDescent="0.25">
      <c r="A264">
        <v>161.95947649999999</v>
      </c>
      <c r="B264">
        <v>118.6311015</v>
      </c>
      <c r="C264">
        <v>84.362853999999999</v>
      </c>
      <c r="D264">
        <v>124.092411</v>
      </c>
      <c r="E264">
        <v>212.661663</v>
      </c>
      <c r="F264">
        <v>4.5316045000000003</v>
      </c>
      <c r="G264">
        <v>215.16538199999999</v>
      </c>
      <c r="H264">
        <v>0</v>
      </c>
      <c r="I264">
        <v>-8</v>
      </c>
      <c r="J264">
        <v>1.18</v>
      </c>
      <c r="K264">
        <v>18.894612500000001</v>
      </c>
      <c r="L264">
        <v>0.69804193885415988</v>
      </c>
      <c r="M264">
        <v>-4.9117065317585737E-2</v>
      </c>
      <c r="N264">
        <v>-2.252471176049602E-2</v>
      </c>
      <c r="O264">
        <v>0.87227953259567581</v>
      </c>
    </row>
    <row r="265" spans="1:15" x14ac:dyDescent="0.25">
      <c r="A265">
        <v>144.40521974999999</v>
      </c>
      <c r="B265">
        <v>121.5163325</v>
      </c>
      <c r="C265">
        <v>108.02780925</v>
      </c>
      <c r="D265">
        <v>125.71367050000001</v>
      </c>
      <c r="E265">
        <v>213.19813124999999</v>
      </c>
      <c r="F265">
        <v>4.7265107500000001</v>
      </c>
      <c r="G265">
        <v>213.71238675000001</v>
      </c>
      <c r="H265">
        <v>0</v>
      </c>
      <c r="I265">
        <v>-4</v>
      </c>
      <c r="J265">
        <v>1.18</v>
      </c>
      <c r="K265">
        <v>18.82055575</v>
      </c>
      <c r="L265">
        <v>0.36960610570131852</v>
      </c>
      <c r="M265">
        <v>-4.2572896335339713E-2</v>
      </c>
      <c r="N265">
        <v>-5.2425748072606531E-3</v>
      </c>
      <c r="O265">
        <v>1.118125132034322</v>
      </c>
    </row>
    <row r="266" spans="1:15" x14ac:dyDescent="0.25">
      <c r="A266">
        <v>125.45203574999999</v>
      </c>
      <c r="B266">
        <v>122.526163</v>
      </c>
      <c r="C266">
        <v>128.034628</v>
      </c>
      <c r="D266">
        <v>126.28331</v>
      </c>
      <c r="E266">
        <v>213.46636950000001</v>
      </c>
      <c r="F266">
        <v>4.3854249999999997</v>
      </c>
      <c r="G266">
        <v>213.4571225</v>
      </c>
      <c r="H266">
        <v>0</v>
      </c>
      <c r="I266">
        <v>0</v>
      </c>
      <c r="J266">
        <v>1.18</v>
      </c>
      <c r="K266">
        <v>18.82441425</v>
      </c>
      <c r="L266">
        <v>-2.8811587179101698E-2</v>
      </c>
      <c r="M266">
        <v>-4.1934391624285701E-2</v>
      </c>
      <c r="N266">
        <v>6.9863112088855645E-5</v>
      </c>
      <c r="O266">
        <v>1.336838051553368</v>
      </c>
    </row>
    <row r="267" spans="1:15" x14ac:dyDescent="0.25">
      <c r="A267">
        <v>102.93384374999999</v>
      </c>
      <c r="B267">
        <v>121.1797215</v>
      </c>
      <c r="C267">
        <v>145.963989</v>
      </c>
      <c r="D267">
        <v>125.0125905</v>
      </c>
      <c r="E267">
        <v>211.45463925000001</v>
      </c>
      <c r="F267">
        <v>4.4828780000000004</v>
      </c>
      <c r="G267">
        <v>211.63169875</v>
      </c>
      <c r="H267">
        <v>0</v>
      </c>
      <c r="I267">
        <v>4</v>
      </c>
      <c r="J267">
        <v>1.18</v>
      </c>
      <c r="K267">
        <v>18.737648499999999</v>
      </c>
      <c r="L267">
        <v>-0.43290214500975083</v>
      </c>
      <c r="M267">
        <v>-3.8525403308396607E-2</v>
      </c>
      <c r="N267">
        <v>-1.7999872205812909E-3</v>
      </c>
      <c r="O267">
        <v>1.0822790725254501</v>
      </c>
    </row>
    <row r="268" spans="1:15" x14ac:dyDescent="0.25">
      <c r="A268">
        <v>80.054643749999997</v>
      </c>
      <c r="B268">
        <v>119.160061</v>
      </c>
      <c r="C268">
        <v>160.32555024999999</v>
      </c>
      <c r="D268">
        <v>120.7184275</v>
      </c>
      <c r="E268">
        <v>208.81704325000001</v>
      </c>
      <c r="F268">
        <v>4.6777839999999999</v>
      </c>
      <c r="G268">
        <v>211.95180500000001</v>
      </c>
      <c r="H268">
        <v>0</v>
      </c>
      <c r="I268">
        <v>8</v>
      </c>
      <c r="J268">
        <v>1.18</v>
      </c>
      <c r="K268">
        <v>18.743294250000002</v>
      </c>
      <c r="L268">
        <v>-0.73506099624926113</v>
      </c>
      <c r="M268">
        <v>-1.419411024230126E-2</v>
      </c>
      <c r="N268">
        <v>-2.8736245746650409E-2</v>
      </c>
      <c r="O268">
        <v>0.86929408009157205</v>
      </c>
    </row>
    <row r="269" spans="1:15" x14ac:dyDescent="0.25">
      <c r="A269">
        <v>62.680894000000002</v>
      </c>
      <c r="B269">
        <v>131.22994199999999</v>
      </c>
      <c r="C269">
        <v>199.48110975</v>
      </c>
      <c r="D269">
        <v>131.62909675</v>
      </c>
      <c r="E269">
        <v>232.82362000000001</v>
      </c>
      <c r="F269">
        <v>5.3599557500000001</v>
      </c>
      <c r="G269">
        <v>242.57619099999999</v>
      </c>
      <c r="H269">
        <v>0</v>
      </c>
      <c r="I269">
        <v>12</v>
      </c>
      <c r="J269">
        <v>1.18</v>
      </c>
      <c r="K269">
        <v>20.05139475</v>
      </c>
      <c r="L269">
        <v>-1.005992223311138</v>
      </c>
      <c r="M269">
        <v>-2.9602145366423478E-3</v>
      </c>
      <c r="N269">
        <v>-7.1711021259123722E-2</v>
      </c>
      <c r="O269">
        <v>0.67275862193598412</v>
      </c>
    </row>
    <row r="270" spans="1:15" x14ac:dyDescent="0.25">
      <c r="A270">
        <v>33.619344750000003</v>
      </c>
      <c r="B270">
        <v>134.16326524999999</v>
      </c>
      <c r="C270">
        <v>238.36569625000001</v>
      </c>
      <c r="D270">
        <v>134.65253849999999</v>
      </c>
      <c r="E270">
        <v>245.83277475</v>
      </c>
      <c r="F270">
        <v>5.7984947499999997</v>
      </c>
      <c r="G270">
        <v>270.33866875000001</v>
      </c>
      <c r="H270">
        <v>0</v>
      </c>
      <c r="I270">
        <v>16</v>
      </c>
      <c r="J270">
        <v>1.18</v>
      </c>
      <c r="K270">
        <v>21.174797250000001</v>
      </c>
      <c r="L270">
        <v>-1.26346918913086</v>
      </c>
      <c r="M270">
        <v>-3.0154675543133851E-3</v>
      </c>
      <c r="N270">
        <v>-0.15123501889612989</v>
      </c>
      <c r="O270">
        <v>0.481224964602329</v>
      </c>
    </row>
    <row r="271" spans="1:15" x14ac:dyDescent="0.25">
      <c r="A271">
        <v>-2.658293</v>
      </c>
      <c r="B271">
        <v>113.24533099999999</v>
      </c>
      <c r="C271">
        <v>240.80445075</v>
      </c>
      <c r="D271">
        <v>114.408642</v>
      </c>
      <c r="E271">
        <v>215.70161049999999</v>
      </c>
      <c r="F271">
        <v>5.7497680000000004</v>
      </c>
      <c r="G271">
        <v>260.33354174999999</v>
      </c>
      <c r="H271">
        <v>0</v>
      </c>
      <c r="I271">
        <v>20</v>
      </c>
      <c r="J271">
        <v>1.18</v>
      </c>
      <c r="K271">
        <v>20.772524499999999</v>
      </c>
      <c r="L271">
        <v>-1.517755718736296</v>
      </c>
      <c r="M271">
        <v>-7.25950222061667E-3</v>
      </c>
      <c r="N271">
        <v>-0.27824309332840153</v>
      </c>
      <c r="O271">
        <v>0.30886519951138441</v>
      </c>
    </row>
    <row r="272" spans="1:15" x14ac:dyDescent="0.25">
      <c r="A272">
        <v>-37.125980499999997</v>
      </c>
      <c r="B272">
        <v>91.894616999999997</v>
      </c>
      <c r="C272">
        <v>241.84318924999999</v>
      </c>
      <c r="D272">
        <v>90.790774999999996</v>
      </c>
      <c r="E272">
        <v>180.652897</v>
      </c>
      <c r="F272">
        <v>5.3112292500000002</v>
      </c>
      <c r="G272">
        <v>252.28545750000001</v>
      </c>
      <c r="H272">
        <v>0</v>
      </c>
      <c r="I272">
        <v>24</v>
      </c>
      <c r="J272">
        <v>1.18</v>
      </c>
      <c r="K272">
        <v>20.4597145</v>
      </c>
      <c r="L272">
        <v>-1.813410326231506</v>
      </c>
      <c r="M272">
        <v>7.1677791615023401E-3</v>
      </c>
      <c r="N272">
        <v>-0.4656414604090271</v>
      </c>
      <c r="O272">
        <v>0.13979982294521709</v>
      </c>
    </row>
    <row r="273" spans="1:15" x14ac:dyDescent="0.25">
      <c r="A273">
        <v>-68.619987250000008</v>
      </c>
      <c r="B273">
        <v>71.746080499999991</v>
      </c>
      <c r="C273">
        <v>241.39157125</v>
      </c>
      <c r="D273">
        <v>66.51562899999999</v>
      </c>
      <c r="E273">
        <v>142.96659099999999</v>
      </c>
      <c r="F273">
        <v>5.2625029999999997</v>
      </c>
      <c r="G273">
        <v>245.697487</v>
      </c>
      <c r="H273">
        <v>0</v>
      </c>
      <c r="I273">
        <v>28</v>
      </c>
      <c r="J273">
        <v>1.18</v>
      </c>
      <c r="K273">
        <v>20.187045000000001</v>
      </c>
      <c r="L273">
        <v>-2.1526014712842181</v>
      </c>
      <c r="M273">
        <v>3.6319220847115717E-2</v>
      </c>
      <c r="N273">
        <v>-0.71332610467414703</v>
      </c>
      <c r="O273">
        <v>-4.3838149329543441E-2</v>
      </c>
    </row>
    <row r="274" spans="1:15" x14ac:dyDescent="0.25">
      <c r="A274">
        <v>-106.06135949999999</v>
      </c>
      <c r="B274">
        <v>47.317783249999998</v>
      </c>
      <c r="C274">
        <v>240.57865150000001</v>
      </c>
      <c r="D274">
        <v>37.990146500000002</v>
      </c>
      <c r="E274">
        <v>98.440414500000003</v>
      </c>
      <c r="F274">
        <v>5.2625027499999986</v>
      </c>
      <c r="G274">
        <v>242.310238</v>
      </c>
      <c r="H274">
        <v>0</v>
      </c>
      <c r="I274">
        <v>32</v>
      </c>
      <c r="J274">
        <v>1.18</v>
      </c>
      <c r="K274">
        <v>20.044344500000001</v>
      </c>
      <c r="L274">
        <v>-2.6167174364734378</v>
      </c>
      <c r="M274">
        <v>7.0405958357519477E-2</v>
      </c>
      <c r="N274">
        <v>-1.086063457131941</v>
      </c>
      <c r="O274">
        <v>-0.2966488109522763</v>
      </c>
    </row>
    <row r="275" spans="1:15" x14ac:dyDescent="0.25">
      <c r="A275">
        <v>-140.75433724999999</v>
      </c>
      <c r="B275">
        <v>21.591131749999999</v>
      </c>
      <c r="C275">
        <v>238.18505475000001</v>
      </c>
      <c r="D275">
        <v>9.1141229999999993</v>
      </c>
      <c r="E275">
        <v>48.862579500000002</v>
      </c>
      <c r="F275">
        <v>5.1650495000000003</v>
      </c>
      <c r="G275">
        <v>238.682434</v>
      </c>
      <c r="H275">
        <v>0</v>
      </c>
      <c r="I275">
        <v>36</v>
      </c>
      <c r="J275">
        <v>1.18</v>
      </c>
      <c r="K275">
        <v>19.894517499999999</v>
      </c>
      <c r="L275">
        <v>-3.3043741737589212</v>
      </c>
      <c r="M275">
        <v>0.1087907348767633</v>
      </c>
      <c r="N275">
        <v>-1.6552722675547631</v>
      </c>
      <c r="O275">
        <v>-0.61901467128917276</v>
      </c>
    </row>
    <row r="276" spans="1:15" x14ac:dyDescent="0.25">
      <c r="A276">
        <v>-172.698902</v>
      </c>
      <c r="B276">
        <v>-5.6605487500000002</v>
      </c>
      <c r="C276">
        <v>233.80432124999999</v>
      </c>
      <c r="D276">
        <v>-20.8918325</v>
      </c>
      <c r="E276">
        <v>-3.52346475</v>
      </c>
      <c r="F276">
        <v>4.8726909999999997</v>
      </c>
      <c r="G276">
        <v>235.78723525000001</v>
      </c>
      <c r="H276">
        <v>0</v>
      </c>
      <c r="I276">
        <v>40</v>
      </c>
      <c r="J276">
        <v>1.18</v>
      </c>
      <c r="K276">
        <v>19.783337499999998</v>
      </c>
      <c r="L276">
        <v>-4.3583017840075158</v>
      </c>
      <c r="M276">
        <v>0.16328914408058939</v>
      </c>
      <c r="N276">
        <v>-2.5657600686747082</v>
      </c>
      <c r="O276">
        <v>-1.090024312024289</v>
      </c>
    </row>
    <row r="277" spans="1:15" x14ac:dyDescent="0.25">
      <c r="A277">
        <v>-201.4445035</v>
      </c>
      <c r="B277">
        <v>-32.962285000000001</v>
      </c>
      <c r="C277">
        <v>230.37199774999999</v>
      </c>
      <c r="D277">
        <v>-53.060004249999999</v>
      </c>
      <c r="E277">
        <v>-59.319082000000002</v>
      </c>
      <c r="F277">
        <v>4.9214172499999993</v>
      </c>
      <c r="G277">
        <v>234.53305025</v>
      </c>
      <c r="H277">
        <v>0</v>
      </c>
      <c r="I277">
        <v>44</v>
      </c>
      <c r="J277">
        <v>1.18</v>
      </c>
      <c r="K277">
        <v>19.727448249999998</v>
      </c>
      <c r="L277">
        <v>-6.3567314737320526</v>
      </c>
      <c r="M277">
        <v>0.29585483224863302</v>
      </c>
      <c r="N277">
        <v>-4.3258413105695714</v>
      </c>
      <c r="O277">
        <v>-1.9457233345338509</v>
      </c>
    </row>
    <row r="278" spans="1:15" x14ac:dyDescent="0.25">
      <c r="A278">
        <v>227.03206650000001</v>
      </c>
      <c r="B278">
        <v>-20.388670749999999</v>
      </c>
      <c r="C278">
        <v>-217.80237199999999</v>
      </c>
      <c r="D278">
        <v>-72.902875750000007</v>
      </c>
      <c r="E278">
        <v>-15.833289499999999</v>
      </c>
      <c r="F278">
        <v>5.0188697500000004</v>
      </c>
      <c r="G278">
        <v>230.63832099999999</v>
      </c>
      <c r="H278">
        <v>4</v>
      </c>
      <c r="I278">
        <v>-44</v>
      </c>
      <c r="J278">
        <v>1.18</v>
      </c>
      <c r="K278">
        <v>19.555195250000001</v>
      </c>
      <c r="L278">
        <v>3.4345626055003602</v>
      </c>
      <c r="M278">
        <v>0.40541840556265119</v>
      </c>
      <c r="N278">
        <v>-1.9030172391932689</v>
      </c>
      <c r="O278">
        <v>-1.160993447854141</v>
      </c>
    </row>
    <row r="279" spans="1:15" x14ac:dyDescent="0.25">
      <c r="A279">
        <v>229.33353049999999</v>
      </c>
      <c r="B279">
        <v>8.9922865000000005</v>
      </c>
      <c r="C279">
        <v>-185.01250049999999</v>
      </c>
      <c r="D279">
        <v>-38.593069</v>
      </c>
      <c r="E279">
        <v>32.008796750000002</v>
      </c>
      <c r="F279">
        <v>4.7752374999999994</v>
      </c>
      <c r="G279">
        <v>229.89123925000001</v>
      </c>
      <c r="H279">
        <v>4</v>
      </c>
      <c r="I279">
        <v>-40</v>
      </c>
      <c r="J279">
        <v>1.18</v>
      </c>
      <c r="K279">
        <v>19.53336775</v>
      </c>
      <c r="L279">
        <v>2.8812354179772539</v>
      </c>
      <c r="M279">
        <v>0.33087538818239709</v>
      </c>
      <c r="N279">
        <v>-1.3760444361003681</v>
      </c>
      <c r="O279">
        <v>-0.81062171472783928</v>
      </c>
    </row>
    <row r="280" spans="1:15" x14ac:dyDescent="0.25">
      <c r="A280">
        <v>227.57359299999999</v>
      </c>
      <c r="B280">
        <v>37.027124749999999</v>
      </c>
      <c r="C280">
        <v>-146.08861175000001</v>
      </c>
      <c r="D280">
        <v>-8.5228184999999996</v>
      </c>
      <c r="E280">
        <v>74.3444255</v>
      </c>
      <c r="F280">
        <v>4.9214172499999993</v>
      </c>
      <c r="G280">
        <v>228.14376849999999</v>
      </c>
      <c r="H280">
        <v>4</v>
      </c>
      <c r="I280">
        <v>-36</v>
      </c>
      <c r="J280">
        <v>1.18</v>
      </c>
      <c r="K280">
        <v>19.451037249999999</v>
      </c>
      <c r="L280">
        <v>2.463978625628815</v>
      </c>
      <c r="M280">
        <v>0.3003592763332259</v>
      </c>
      <c r="N280">
        <v>-1.0141746027810441</v>
      </c>
      <c r="O280">
        <v>-0.54221162209831586</v>
      </c>
    </row>
    <row r="281" spans="1:15" x14ac:dyDescent="0.25">
      <c r="A281">
        <v>224.86600150000001</v>
      </c>
      <c r="B281">
        <v>61.5035065</v>
      </c>
      <c r="C281">
        <v>-106.17245475</v>
      </c>
      <c r="D281">
        <v>18.622617999999999</v>
      </c>
      <c r="E281">
        <v>111.80720150000001</v>
      </c>
      <c r="F281">
        <v>4.9701434999999998</v>
      </c>
      <c r="G281">
        <v>226.08973324999999</v>
      </c>
      <c r="H281">
        <v>4</v>
      </c>
      <c r="I281">
        <v>-32</v>
      </c>
      <c r="J281">
        <v>1.18</v>
      </c>
      <c r="K281">
        <v>19.359207749999999</v>
      </c>
      <c r="L281">
        <v>2.1277516540209018</v>
      </c>
      <c r="M281">
        <v>0.27560146082377668</v>
      </c>
      <c r="N281">
        <v>-0.73455483676782607</v>
      </c>
      <c r="O281">
        <v>-0.31330445208746349</v>
      </c>
    </row>
    <row r="282" spans="1:15" x14ac:dyDescent="0.25">
      <c r="A282">
        <v>221.34611150000001</v>
      </c>
      <c r="B282">
        <v>81.988652999999999</v>
      </c>
      <c r="C282">
        <v>-68.376144249999996</v>
      </c>
      <c r="D282">
        <v>43.248302500000001</v>
      </c>
      <c r="E282">
        <v>143.45833999999999</v>
      </c>
      <c r="F282">
        <v>4.8239637499999999</v>
      </c>
      <c r="G282">
        <v>225.36943450000001</v>
      </c>
      <c r="H282">
        <v>4</v>
      </c>
      <c r="I282">
        <v>-28</v>
      </c>
      <c r="J282">
        <v>1.18</v>
      </c>
      <c r="K282">
        <v>19.334056749999998</v>
      </c>
      <c r="L282">
        <v>1.856922276682065</v>
      </c>
      <c r="M282">
        <v>0.24829923620154629</v>
      </c>
      <c r="N282">
        <v>-0.52499160294204739</v>
      </c>
      <c r="O282">
        <v>-0.11143718234305321</v>
      </c>
    </row>
    <row r="283" spans="1:15" x14ac:dyDescent="0.25">
      <c r="A283">
        <v>214.53200175000001</v>
      </c>
      <c r="B283">
        <v>99.300047000000006</v>
      </c>
      <c r="C283">
        <v>-33.737041499999997</v>
      </c>
      <c r="D283">
        <v>63.229287249999999</v>
      </c>
      <c r="E283">
        <v>168.62725075</v>
      </c>
      <c r="F283">
        <v>4.8239642500000004</v>
      </c>
      <c r="G283">
        <v>223.00848775</v>
      </c>
      <c r="H283">
        <v>4</v>
      </c>
      <c r="I283">
        <v>-24</v>
      </c>
      <c r="J283">
        <v>1.18</v>
      </c>
      <c r="K283">
        <v>19.230291999999999</v>
      </c>
      <c r="L283">
        <v>1.6133832273394451</v>
      </c>
      <c r="M283">
        <v>0.23441068871907539</v>
      </c>
      <c r="N283">
        <v>-0.35340003715702328</v>
      </c>
      <c r="O283">
        <v>6.4479011506856615E-2</v>
      </c>
    </row>
    <row r="284" spans="1:15" x14ac:dyDescent="0.25">
      <c r="A284">
        <v>205.68717975000001</v>
      </c>
      <c r="B284">
        <v>112.62019574999999</v>
      </c>
      <c r="C284">
        <v>-3.4278279999999999</v>
      </c>
      <c r="D284">
        <v>79.748649499999999</v>
      </c>
      <c r="E284">
        <v>187.7609865</v>
      </c>
      <c r="F284">
        <v>4.8726905</v>
      </c>
      <c r="G284">
        <v>221.92810449999999</v>
      </c>
      <c r="H284">
        <v>4</v>
      </c>
      <c r="I284">
        <v>-20</v>
      </c>
      <c r="J284">
        <v>1.18</v>
      </c>
      <c r="K284">
        <v>19.180460499999999</v>
      </c>
      <c r="L284">
        <v>1.3978183213496049</v>
      </c>
      <c r="M284">
        <v>0.21972678585722921</v>
      </c>
      <c r="N284">
        <v>-0.2283973880950341</v>
      </c>
      <c r="O284">
        <v>0.22252242500183189</v>
      </c>
    </row>
    <row r="285" spans="1:15" x14ac:dyDescent="0.25">
      <c r="A285">
        <v>194.9019165</v>
      </c>
      <c r="B285">
        <v>124.83434875</v>
      </c>
      <c r="C285">
        <v>28.5424705</v>
      </c>
      <c r="D285">
        <v>93.244579000000002</v>
      </c>
      <c r="E285">
        <v>202.55833824999999</v>
      </c>
      <c r="F285">
        <v>4.8726909999999997</v>
      </c>
      <c r="G285">
        <v>221.66083125</v>
      </c>
      <c r="H285">
        <v>4</v>
      </c>
      <c r="I285">
        <v>-16</v>
      </c>
      <c r="J285">
        <v>1.18</v>
      </c>
      <c r="K285">
        <v>19.168659000000002</v>
      </c>
      <c r="L285">
        <v>1.174319199010742</v>
      </c>
      <c r="M285">
        <v>0.22299233773508731</v>
      </c>
      <c r="N285">
        <v>-0.13484324437036671</v>
      </c>
      <c r="O285">
        <v>0.39545595427952601</v>
      </c>
    </row>
    <row r="286" spans="1:15" x14ac:dyDescent="0.25">
      <c r="A286">
        <v>180.28088374999999</v>
      </c>
      <c r="B286">
        <v>133.29769525</v>
      </c>
      <c r="C286">
        <v>59.388202749999998</v>
      </c>
      <c r="D286">
        <v>101.5261725</v>
      </c>
      <c r="E286">
        <v>210.4711265</v>
      </c>
      <c r="F286">
        <v>4.7265107500000001</v>
      </c>
      <c r="G286">
        <v>219.192455</v>
      </c>
      <c r="H286">
        <v>4</v>
      </c>
      <c r="I286">
        <v>-12</v>
      </c>
      <c r="J286">
        <v>1.18</v>
      </c>
      <c r="K286">
        <v>19.065715749999999</v>
      </c>
      <c r="L286">
        <v>0.92983861817493563</v>
      </c>
      <c r="M286">
        <v>0.244361301115091</v>
      </c>
      <c r="N286">
        <v>-6.7087445108641119E-2</v>
      </c>
      <c r="O286">
        <v>0.58250256856991389</v>
      </c>
    </row>
    <row r="287" spans="1:15" x14ac:dyDescent="0.25">
      <c r="A287">
        <v>164.12556475</v>
      </c>
      <c r="B287">
        <v>139.5490265</v>
      </c>
      <c r="C287">
        <v>87.162906499999991</v>
      </c>
      <c r="D287">
        <v>105.55741875</v>
      </c>
      <c r="E287">
        <v>214.62868900000001</v>
      </c>
      <c r="F287">
        <v>4.8726909999999997</v>
      </c>
      <c r="G287">
        <v>218.27395225000001</v>
      </c>
      <c r="H287">
        <v>4</v>
      </c>
      <c r="I287">
        <v>-8</v>
      </c>
      <c r="J287">
        <v>1.18</v>
      </c>
      <c r="K287">
        <v>19.018329250000001</v>
      </c>
      <c r="L287">
        <v>0.65074237082638453</v>
      </c>
      <c r="M287">
        <v>0.28739221806613041</v>
      </c>
      <c r="N287">
        <v>-3.0824134028648389E-2</v>
      </c>
      <c r="O287">
        <v>0.77358974970237315</v>
      </c>
    </row>
    <row r="288" spans="1:15" x14ac:dyDescent="0.25">
      <c r="A288">
        <v>147.29331974999999</v>
      </c>
      <c r="B288">
        <v>142.77087399999999</v>
      </c>
      <c r="C288">
        <v>109.8342895</v>
      </c>
      <c r="D288">
        <v>107.879778</v>
      </c>
      <c r="E288">
        <v>217.4003945</v>
      </c>
      <c r="F288">
        <v>4.7265107500000001</v>
      </c>
      <c r="G288">
        <v>218.27396775</v>
      </c>
      <c r="H288">
        <v>4</v>
      </c>
      <c r="I288">
        <v>-4</v>
      </c>
      <c r="J288">
        <v>1.18</v>
      </c>
      <c r="K288">
        <v>19.024840000000001</v>
      </c>
      <c r="L288">
        <v>0.34510743560076718</v>
      </c>
      <c r="M288">
        <v>0.32144034254080772</v>
      </c>
      <c r="N288">
        <v>-8.0809341580598514E-3</v>
      </c>
      <c r="O288">
        <v>0.95936250109907872</v>
      </c>
    </row>
    <row r="289" spans="1:15" x14ac:dyDescent="0.25">
      <c r="A289">
        <v>125.903305</v>
      </c>
      <c r="B289">
        <v>141.80913175000001</v>
      </c>
      <c r="C289">
        <v>128.75722500000001</v>
      </c>
      <c r="D289">
        <v>107.0472315</v>
      </c>
      <c r="E289">
        <v>215.20985400000001</v>
      </c>
      <c r="F289">
        <v>4.5316045000000003</v>
      </c>
      <c r="G289">
        <v>215.49802750000001</v>
      </c>
      <c r="H289">
        <v>4</v>
      </c>
      <c r="I289">
        <v>0</v>
      </c>
      <c r="J289">
        <v>1.18</v>
      </c>
      <c r="K289">
        <v>18.909526</v>
      </c>
      <c r="L289">
        <v>-2.8909346556096512E-2</v>
      </c>
      <c r="M289">
        <v>0.35206389775392932</v>
      </c>
      <c r="N289">
        <v>-2.92976380369332E-3</v>
      </c>
      <c r="O289">
        <v>1.133807573159372</v>
      </c>
    </row>
    <row r="290" spans="1:15" x14ac:dyDescent="0.25">
      <c r="A290">
        <v>104.10713749999999</v>
      </c>
      <c r="B290">
        <v>141.376339</v>
      </c>
      <c r="C290">
        <v>146.41561100000001</v>
      </c>
      <c r="D290">
        <v>107.00341400000001</v>
      </c>
      <c r="E290">
        <v>214.40516675000001</v>
      </c>
      <c r="F290">
        <v>4.6777842500000002</v>
      </c>
      <c r="G290">
        <v>215.14038049999999</v>
      </c>
      <c r="H290">
        <v>4</v>
      </c>
      <c r="I290">
        <v>4</v>
      </c>
      <c r="J290">
        <v>1.18</v>
      </c>
      <c r="K290">
        <v>18.886933500000001</v>
      </c>
      <c r="L290">
        <v>-0.38869092741935041</v>
      </c>
      <c r="M290">
        <v>0.31579599963697069</v>
      </c>
      <c r="N290">
        <v>-6.7656924799887174E-3</v>
      </c>
      <c r="O290">
        <v>0.92676706187095859</v>
      </c>
    </row>
    <row r="291" spans="1:15" x14ac:dyDescent="0.25">
      <c r="A291">
        <v>79.783880249999996</v>
      </c>
      <c r="B291">
        <v>136.90423200000001</v>
      </c>
      <c r="C291">
        <v>160.95781700000001</v>
      </c>
      <c r="D291">
        <v>104.46197100000001</v>
      </c>
      <c r="E291">
        <v>211.05229174999999</v>
      </c>
      <c r="F291">
        <v>4.4828780000000004</v>
      </c>
      <c r="G291">
        <v>213.95248774999999</v>
      </c>
      <c r="H291">
        <v>4</v>
      </c>
      <c r="I291">
        <v>8</v>
      </c>
      <c r="J291">
        <v>1.18</v>
      </c>
      <c r="K291">
        <v>18.842325500000001</v>
      </c>
      <c r="L291">
        <v>-0.68253634592081025</v>
      </c>
      <c r="M291">
        <v>0.27279045797473012</v>
      </c>
      <c r="N291">
        <v>-2.4388995736719779E-2</v>
      </c>
      <c r="O291">
        <v>0.73691150813763695</v>
      </c>
    </row>
    <row r="292" spans="1:15" x14ac:dyDescent="0.25">
      <c r="A292">
        <v>53.475062250000001</v>
      </c>
      <c r="B292">
        <v>130.41246799999999</v>
      </c>
      <c r="C292">
        <v>174.55162425</v>
      </c>
      <c r="D292">
        <v>98.371278500000003</v>
      </c>
      <c r="E292">
        <v>203.4077375</v>
      </c>
      <c r="F292">
        <v>4.4341514999999996</v>
      </c>
      <c r="G292">
        <v>212.45667275</v>
      </c>
      <c r="H292">
        <v>4</v>
      </c>
      <c r="I292">
        <v>12</v>
      </c>
      <c r="J292">
        <v>1.18</v>
      </c>
      <c r="K292">
        <v>18.777123249999999</v>
      </c>
      <c r="L292">
        <v>-0.94974775252438393</v>
      </c>
      <c r="M292">
        <v>0.25132493217787322</v>
      </c>
      <c r="N292">
        <v>-7.0983943483526754E-2</v>
      </c>
      <c r="O292">
        <v>0.56076917170093266</v>
      </c>
    </row>
    <row r="293" spans="1:15" x14ac:dyDescent="0.25">
      <c r="A293">
        <v>25.992943749999998</v>
      </c>
      <c r="B293">
        <v>121.61250674999999</v>
      </c>
      <c r="C293">
        <v>185.97763800000001</v>
      </c>
      <c r="D293">
        <v>88.862783500000006</v>
      </c>
      <c r="E293">
        <v>190.97975174999999</v>
      </c>
      <c r="F293">
        <v>4.4828780000000004</v>
      </c>
      <c r="G293">
        <v>212.53669775</v>
      </c>
      <c r="H293">
        <v>4</v>
      </c>
      <c r="I293">
        <v>16</v>
      </c>
      <c r="J293">
        <v>1.18</v>
      </c>
      <c r="K293">
        <v>18.778540249999999</v>
      </c>
      <c r="L293">
        <v>-1.19794404923191</v>
      </c>
      <c r="M293">
        <v>0.24521995426502119</v>
      </c>
      <c r="N293">
        <v>-0.1614266025043149</v>
      </c>
      <c r="O293">
        <v>0.39643596356137922</v>
      </c>
    </row>
    <row r="294" spans="1:15" x14ac:dyDescent="0.25">
      <c r="A294">
        <v>-3.108851</v>
      </c>
      <c r="B294">
        <v>109.49452775</v>
      </c>
      <c r="C294">
        <v>194.24230600000001</v>
      </c>
      <c r="D294">
        <v>73.964685500000002</v>
      </c>
      <c r="E294">
        <v>172.38246925000001</v>
      </c>
      <c r="F294">
        <v>4.5803310000000002</v>
      </c>
      <c r="G294">
        <v>210.69586949999999</v>
      </c>
      <c r="H294">
        <v>4</v>
      </c>
      <c r="I294">
        <v>20</v>
      </c>
      <c r="J294">
        <v>1.18</v>
      </c>
      <c r="K294">
        <v>18.690857999999999</v>
      </c>
      <c r="L294">
        <v>-1.4409985606231031</v>
      </c>
      <c r="M294">
        <v>0.25942446977096251</v>
      </c>
      <c r="N294">
        <v>-0.27975043310219111</v>
      </c>
      <c r="O294">
        <v>0.2252444714900714</v>
      </c>
    </row>
    <row r="295" spans="1:15" x14ac:dyDescent="0.25">
      <c r="A295">
        <v>-30.908280999999999</v>
      </c>
      <c r="B295">
        <v>96.462897999999996</v>
      </c>
      <c r="C295">
        <v>199.706917</v>
      </c>
      <c r="D295">
        <v>55.911687999999998</v>
      </c>
      <c r="E295">
        <v>147.92884475</v>
      </c>
      <c r="F295">
        <v>4.6777839999999999</v>
      </c>
      <c r="G295">
        <v>209.84329625000001</v>
      </c>
      <c r="H295">
        <v>4</v>
      </c>
      <c r="I295">
        <v>24</v>
      </c>
      <c r="J295">
        <v>1.18</v>
      </c>
      <c r="K295">
        <v>18.6477355</v>
      </c>
      <c r="L295">
        <v>-1.7029095137505701</v>
      </c>
      <c r="M295">
        <v>0.29944376223656038</v>
      </c>
      <c r="N295">
        <v>-0.45720953900741668</v>
      </c>
      <c r="O295">
        <v>5.7762655782861563E-2</v>
      </c>
    </row>
    <row r="296" spans="1:15" x14ac:dyDescent="0.25">
      <c r="A296">
        <v>-68.124374250000002</v>
      </c>
      <c r="B296">
        <v>95.741592249999997</v>
      </c>
      <c r="C296">
        <v>233.4881895</v>
      </c>
      <c r="D296">
        <v>36.018341999999997</v>
      </c>
      <c r="E296">
        <v>137.0655285</v>
      </c>
      <c r="F296">
        <v>5.2625029999999997</v>
      </c>
      <c r="G296">
        <v>238.8825415</v>
      </c>
      <c r="H296">
        <v>4</v>
      </c>
      <c r="I296">
        <v>28</v>
      </c>
      <c r="J296">
        <v>1.18</v>
      </c>
      <c r="K296">
        <v>19.898823499999999</v>
      </c>
      <c r="L296">
        <v>-1.9698242691513801</v>
      </c>
      <c r="M296">
        <v>0.39003332045458722</v>
      </c>
      <c r="N296">
        <v>-0.66498821640392169</v>
      </c>
      <c r="O296">
        <v>-0.1392225868097576</v>
      </c>
    </row>
    <row r="297" spans="1:15" x14ac:dyDescent="0.25">
      <c r="A297">
        <v>-115.43297200000001</v>
      </c>
      <c r="B297">
        <v>86.124153000000007</v>
      </c>
      <c r="C297">
        <v>264.51457225000001</v>
      </c>
      <c r="D297">
        <v>7.3614055</v>
      </c>
      <c r="E297">
        <v>108.85667975</v>
      </c>
      <c r="F297">
        <v>6.0421270000000007</v>
      </c>
      <c r="G297">
        <v>267.09043150000002</v>
      </c>
      <c r="H297">
        <v>4</v>
      </c>
      <c r="I297">
        <v>32</v>
      </c>
      <c r="J297">
        <v>1.18</v>
      </c>
      <c r="K297">
        <v>21.034569749999999</v>
      </c>
      <c r="L297">
        <v>-2.3324977319002822</v>
      </c>
      <c r="M297">
        <v>0.48352776234267009</v>
      </c>
      <c r="N297">
        <v>-0.97139803033454297</v>
      </c>
      <c r="O297">
        <v>-0.36882188570102592</v>
      </c>
    </row>
    <row r="298" spans="1:15" x14ac:dyDescent="0.25">
      <c r="A298">
        <v>-152.51390075</v>
      </c>
      <c r="B298">
        <v>58.666362749999998</v>
      </c>
      <c r="C298">
        <v>260.04350275000002</v>
      </c>
      <c r="D298">
        <v>-28.715341500000001</v>
      </c>
      <c r="E298">
        <v>54.361292749999997</v>
      </c>
      <c r="F298">
        <v>5.6523149999999998</v>
      </c>
      <c r="G298">
        <v>261.60863475000002</v>
      </c>
      <c r="H298">
        <v>4</v>
      </c>
      <c r="I298">
        <v>36</v>
      </c>
      <c r="J298">
        <v>1.18</v>
      </c>
      <c r="K298">
        <v>20.828433749999999</v>
      </c>
      <c r="L298">
        <v>-2.8457068093475248</v>
      </c>
      <c r="M298">
        <v>0.60274118005400346</v>
      </c>
      <c r="N298">
        <v>-1.4295331005190259</v>
      </c>
      <c r="O298">
        <v>-0.66402442095876879</v>
      </c>
    </row>
    <row r="299" spans="1:15" x14ac:dyDescent="0.25">
      <c r="A299">
        <v>-187.11676025</v>
      </c>
      <c r="B299">
        <v>28.756125000000001</v>
      </c>
      <c r="C299">
        <v>252.59177399999999</v>
      </c>
      <c r="D299">
        <v>-65.123068750000002</v>
      </c>
      <c r="E299">
        <v>-5.9319082500000002</v>
      </c>
      <c r="F299">
        <v>5.3112294999999996</v>
      </c>
      <c r="G299">
        <v>255.31611599999999</v>
      </c>
      <c r="H299">
        <v>4</v>
      </c>
      <c r="I299">
        <v>40</v>
      </c>
      <c r="J299">
        <v>1.18</v>
      </c>
      <c r="K299">
        <v>20.584868749999998</v>
      </c>
      <c r="L299">
        <v>-3.6585422889850521</v>
      </c>
      <c r="M299">
        <v>0.78109609405656089</v>
      </c>
      <c r="N299">
        <v>-2.173692190351455</v>
      </c>
      <c r="O299">
        <v>-1.0935360969355541</v>
      </c>
    </row>
    <row r="300" spans="1:15" x14ac:dyDescent="0.25">
      <c r="A300">
        <v>-212.34799975000001</v>
      </c>
      <c r="B300">
        <v>0.480852</v>
      </c>
      <c r="C300">
        <v>242.4302825</v>
      </c>
      <c r="D300">
        <v>-98.165382499999993</v>
      </c>
      <c r="E300">
        <v>-63.199354</v>
      </c>
      <c r="F300">
        <v>5.4574090000000002</v>
      </c>
      <c r="G300">
        <v>248.33852024999999</v>
      </c>
      <c r="H300">
        <v>4</v>
      </c>
      <c r="I300">
        <v>44</v>
      </c>
      <c r="J300">
        <v>1.18</v>
      </c>
      <c r="K300">
        <v>20.289471500000001</v>
      </c>
      <c r="L300">
        <v>-4.9402983630788464</v>
      </c>
      <c r="M300">
        <v>1.071597051624356</v>
      </c>
      <c r="N300">
        <v>-3.384289974106764</v>
      </c>
      <c r="O300">
        <v>-1.7458447495777409</v>
      </c>
    </row>
    <row r="301" spans="1:15" x14ac:dyDescent="0.25">
      <c r="A301">
        <v>238.35885999999999</v>
      </c>
      <c r="B301">
        <v>11.444733250000001</v>
      </c>
      <c r="C301">
        <v>-231.69409949999999</v>
      </c>
      <c r="D301">
        <v>-117.48377600000001</v>
      </c>
      <c r="E301">
        <v>-19.089148250000001</v>
      </c>
      <c r="F301">
        <v>5.1163227500000001</v>
      </c>
      <c r="G301">
        <v>243.73674</v>
      </c>
      <c r="H301">
        <v>8</v>
      </c>
      <c r="I301">
        <v>-44</v>
      </c>
      <c r="J301">
        <v>1.18</v>
      </c>
      <c r="K301">
        <v>20.110726499999998</v>
      </c>
      <c r="L301">
        <v>3.0228684579651208</v>
      </c>
      <c r="M301">
        <v>0.82912071955089583</v>
      </c>
      <c r="N301">
        <v>-1.690217288925304</v>
      </c>
      <c r="O301">
        <v>-1.155666698606628</v>
      </c>
    </row>
    <row r="302" spans="1:15" x14ac:dyDescent="0.25">
      <c r="A302">
        <v>237.7270925</v>
      </c>
      <c r="B302">
        <v>39.720005</v>
      </c>
      <c r="C302">
        <v>-194.57433700000001</v>
      </c>
      <c r="D302">
        <v>-81.119743249999999</v>
      </c>
      <c r="E302">
        <v>27.851232499999998</v>
      </c>
      <c r="F302">
        <v>5.1650495000000003</v>
      </c>
      <c r="G302">
        <v>239.80121600000001</v>
      </c>
      <c r="H302">
        <v>8</v>
      </c>
      <c r="I302">
        <v>-40</v>
      </c>
      <c r="J302">
        <v>1.18</v>
      </c>
      <c r="K302">
        <v>19.942121499999999</v>
      </c>
      <c r="L302">
        <v>2.6089700853188642</v>
      </c>
      <c r="M302">
        <v>0.72927646518072908</v>
      </c>
      <c r="N302">
        <v>-1.2791353752549171</v>
      </c>
      <c r="O302">
        <v>-0.86308395597034693</v>
      </c>
    </row>
    <row r="303" spans="1:15" x14ac:dyDescent="0.25">
      <c r="A303">
        <v>235.92202</v>
      </c>
      <c r="B303">
        <v>66.071790500000006</v>
      </c>
      <c r="C303">
        <v>-152.31282825</v>
      </c>
      <c r="D303">
        <v>-45.542443249999998</v>
      </c>
      <c r="E303">
        <v>71.617420249999995</v>
      </c>
      <c r="F303">
        <v>5.1650495000000003</v>
      </c>
      <c r="G303">
        <v>237.36040125</v>
      </c>
      <c r="H303">
        <v>8</v>
      </c>
      <c r="I303">
        <v>-36</v>
      </c>
      <c r="J303">
        <v>1.18</v>
      </c>
      <c r="K303">
        <v>19.838130750000001</v>
      </c>
      <c r="L303">
        <v>2.2764484274880949</v>
      </c>
      <c r="M303">
        <v>0.65447245859657055</v>
      </c>
      <c r="N303">
        <v>-0.97185835469353377</v>
      </c>
      <c r="O303">
        <v>-0.61036192550783941</v>
      </c>
    </row>
    <row r="304" spans="1:15" x14ac:dyDescent="0.25">
      <c r="A304">
        <v>234.02669900000001</v>
      </c>
      <c r="B304">
        <v>89.249824500000003</v>
      </c>
      <c r="C304">
        <v>-112.21626125</v>
      </c>
      <c r="D304">
        <v>-13.89874975</v>
      </c>
      <c r="E304">
        <v>110.60017375</v>
      </c>
      <c r="F304">
        <v>5.1163232499999998</v>
      </c>
      <c r="G304">
        <v>236.66765975000001</v>
      </c>
      <c r="H304">
        <v>8</v>
      </c>
      <c r="I304">
        <v>-32</v>
      </c>
      <c r="J304">
        <v>1.18</v>
      </c>
      <c r="K304">
        <v>19.810597999999999</v>
      </c>
      <c r="L304">
        <v>1.9938366569784669</v>
      </c>
      <c r="M304">
        <v>0.59396063118183962</v>
      </c>
      <c r="N304">
        <v>-0.72597116967620967</v>
      </c>
      <c r="O304">
        <v>-0.39257119217060082</v>
      </c>
    </row>
    <row r="305" spans="1:15" x14ac:dyDescent="0.25">
      <c r="A305">
        <v>226.76131824999999</v>
      </c>
      <c r="B305">
        <v>109.01365875</v>
      </c>
      <c r="C305">
        <v>-70.811702499999996</v>
      </c>
      <c r="D305">
        <v>13.452099</v>
      </c>
      <c r="E305">
        <v>142.20660799999999</v>
      </c>
      <c r="F305">
        <v>5.1163227500000001</v>
      </c>
      <c r="G305">
        <v>232.85242425000001</v>
      </c>
      <c r="H305">
        <v>8</v>
      </c>
      <c r="I305">
        <v>-28</v>
      </c>
      <c r="J305">
        <v>1.18</v>
      </c>
      <c r="K305">
        <v>19.646708749999998</v>
      </c>
      <c r="L305">
        <v>1.741369401785303</v>
      </c>
      <c r="M305">
        <v>0.55921863012923223</v>
      </c>
      <c r="N305">
        <v>-0.5304592975570589</v>
      </c>
      <c r="O305">
        <v>-0.19776801858907481</v>
      </c>
    </row>
    <row r="306" spans="1:15" x14ac:dyDescent="0.25">
      <c r="A306">
        <v>220.71434775</v>
      </c>
      <c r="B306">
        <v>125.45948199999999</v>
      </c>
      <c r="C306">
        <v>-32.834980000000002</v>
      </c>
      <c r="D306">
        <v>39.567595500000003</v>
      </c>
      <c r="E306">
        <v>169.56606300000001</v>
      </c>
      <c r="F306">
        <v>5.01887025</v>
      </c>
      <c r="G306">
        <v>231.825447</v>
      </c>
      <c r="H306">
        <v>8</v>
      </c>
      <c r="I306">
        <v>-24</v>
      </c>
      <c r="J306">
        <v>1.1775</v>
      </c>
      <c r="K306">
        <v>19.627466999999999</v>
      </c>
      <c r="L306">
        <v>1.5255796379263491</v>
      </c>
      <c r="M306">
        <v>0.51681327586654657</v>
      </c>
      <c r="N306">
        <v>-0.37461471595451418</v>
      </c>
      <c r="O306">
        <v>-9.9368113307548751E-3</v>
      </c>
    </row>
    <row r="307" spans="1:15" x14ac:dyDescent="0.25">
      <c r="A307">
        <v>211.73413825</v>
      </c>
      <c r="B307">
        <v>138.63537224999999</v>
      </c>
      <c r="C307">
        <v>2.3484392500000002</v>
      </c>
      <c r="D307">
        <v>60.950753499999998</v>
      </c>
      <c r="E307">
        <v>190.2644655</v>
      </c>
      <c r="F307">
        <v>4.8726905</v>
      </c>
      <c r="G307">
        <v>230.51809725000001</v>
      </c>
      <c r="H307">
        <v>8</v>
      </c>
      <c r="I307">
        <v>-20</v>
      </c>
      <c r="J307">
        <v>1.17</v>
      </c>
      <c r="K307">
        <v>19.639720000000001</v>
      </c>
      <c r="L307">
        <v>1.320093949732805</v>
      </c>
      <c r="M307">
        <v>0.48975274424862347</v>
      </c>
      <c r="N307">
        <v>-0.25378308288778723</v>
      </c>
      <c r="O307">
        <v>0.16882734607965841</v>
      </c>
    </row>
    <row r="308" spans="1:15" x14ac:dyDescent="0.25">
      <c r="A308">
        <v>198.33153924999999</v>
      </c>
      <c r="B308">
        <v>147.43533725</v>
      </c>
      <c r="C308">
        <v>34.955492</v>
      </c>
      <c r="D308">
        <v>74.139957499999994</v>
      </c>
      <c r="E308">
        <v>203.94419875</v>
      </c>
      <c r="F308">
        <v>4.7752374999999994</v>
      </c>
      <c r="G308">
        <v>227.90368275</v>
      </c>
      <c r="H308">
        <v>8</v>
      </c>
      <c r="I308">
        <v>-16</v>
      </c>
      <c r="J308">
        <v>1.1725000000000001</v>
      </c>
      <c r="K308">
        <v>19.5091565</v>
      </c>
      <c r="L308">
        <v>1.0935914064109511</v>
      </c>
      <c r="M308">
        <v>0.49060450449621351</v>
      </c>
      <c r="N308">
        <v>-0.16038296887300921</v>
      </c>
      <c r="O308">
        <v>0.33316843341147612</v>
      </c>
    </row>
    <row r="309" spans="1:15" x14ac:dyDescent="0.25">
      <c r="A309">
        <v>184.34228125000001</v>
      </c>
      <c r="B309">
        <v>156.57190324999999</v>
      </c>
      <c r="C309">
        <v>64.581847499999995</v>
      </c>
      <c r="D309">
        <v>83.254087499999997</v>
      </c>
      <c r="E309">
        <v>214.36046225000001</v>
      </c>
      <c r="F309">
        <v>5.0188697500000004</v>
      </c>
      <c r="G309">
        <v>227.15695975</v>
      </c>
      <c r="H309">
        <v>8</v>
      </c>
      <c r="I309">
        <v>-12</v>
      </c>
      <c r="J309">
        <v>1.18</v>
      </c>
      <c r="K309">
        <v>19.403741</v>
      </c>
      <c r="L309">
        <v>0.85273514765703096</v>
      </c>
      <c r="M309">
        <v>0.52205671244362095</v>
      </c>
      <c r="N309">
        <v>-9.1120507512508359E-2</v>
      </c>
      <c r="O309">
        <v>0.49059890820045199</v>
      </c>
    </row>
    <row r="310" spans="1:15" x14ac:dyDescent="0.25">
      <c r="A310">
        <v>168.36745450000001</v>
      </c>
      <c r="B310">
        <v>162.72706224999999</v>
      </c>
      <c r="C310">
        <v>89.556501249999997</v>
      </c>
      <c r="D310">
        <v>86.584250999999995</v>
      </c>
      <c r="E310">
        <v>219.59094625</v>
      </c>
      <c r="F310">
        <v>4.8239642500000004</v>
      </c>
      <c r="G310">
        <v>225.72954949999999</v>
      </c>
      <c r="H310">
        <v>8</v>
      </c>
      <c r="I310">
        <v>-8</v>
      </c>
      <c r="J310">
        <v>1.18</v>
      </c>
      <c r="K310">
        <v>19.3498375</v>
      </c>
      <c r="L310">
        <v>0.59924126294343727</v>
      </c>
      <c r="M310">
        <v>0.57894977448688967</v>
      </c>
      <c r="N310">
        <v>-4.6689747900364412E-2</v>
      </c>
      <c r="O310">
        <v>0.63294993904392727</v>
      </c>
    </row>
    <row r="311" spans="1:15" x14ac:dyDescent="0.25">
      <c r="A311">
        <v>148.24097424999999</v>
      </c>
      <c r="B311">
        <v>163.44837200000001</v>
      </c>
      <c r="C311">
        <v>111.05366925</v>
      </c>
      <c r="D311">
        <v>87.592063999999993</v>
      </c>
      <c r="E311">
        <v>220.75327300000001</v>
      </c>
      <c r="F311">
        <v>4.6290577500000003</v>
      </c>
      <c r="G311">
        <v>223.4356995</v>
      </c>
      <c r="H311">
        <v>8</v>
      </c>
      <c r="I311">
        <v>-4</v>
      </c>
      <c r="J311">
        <v>1.18</v>
      </c>
      <c r="K311">
        <v>19.257692250000002</v>
      </c>
      <c r="L311">
        <v>0.30625439251822412</v>
      </c>
      <c r="M311">
        <v>0.62470405205920654</v>
      </c>
      <c r="N311">
        <v>-2.2121206209041091E-2</v>
      </c>
      <c r="O311">
        <v>0.77983541939291379</v>
      </c>
    </row>
    <row r="312" spans="1:15" x14ac:dyDescent="0.25">
      <c r="A312">
        <v>127.25710100000001</v>
      </c>
      <c r="B312">
        <v>163.88115300000001</v>
      </c>
      <c r="C312">
        <v>128.80238349999999</v>
      </c>
      <c r="D312">
        <v>85.620255</v>
      </c>
      <c r="E312">
        <v>219.32270825000001</v>
      </c>
      <c r="F312">
        <v>4.6777842500000002</v>
      </c>
      <c r="G312">
        <v>221.60794824999999</v>
      </c>
      <c r="H312">
        <v>8</v>
      </c>
      <c r="I312">
        <v>0</v>
      </c>
      <c r="J312">
        <v>1.18</v>
      </c>
      <c r="K312">
        <v>19.17493425</v>
      </c>
      <c r="L312">
        <v>-1.3684589416026989E-2</v>
      </c>
      <c r="M312">
        <v>0.69329201637261229</v>
      </c>
      <c r="N312">
        <v>-2.0247453707011372E-2</v>
      </c>
      <c r="O312">
        <v>0.90146835378014689</v>
      </c>
    </row>
    <row r="313" spans="1:15" x14ac:dyDescent="0.25">
      <c r="A313">
        <v>104.8291645</v>
      </c>
      <c r="B313">
        <v>160.56313675000001</v>
      </c>
      <c r="C313">
        <v>144.69945525</v>
      </c>
      <c r="D313">
        <v>86.014617749999999</v>
      </c>
      <c r="E313">
        <v>215.96984474999999</v>
      </c>
      <c r="F313">
        <v>4.7265107500000001</v>
      </c>
      <c r="G313">
        <v>219.20696649999999</v>
      </c>
      <c r="H313">
        <v>8</v>
      </c>
      <c r="I313">
        <v>4</v>
      </c>
      <c r="J313">
        <v>1.18</v>
      </c>
      <c r="K313">
        <v>19.066361000000001</v>
      </c>
      <c r="L313">
        <v>-0.33074137008245252</v>
      </c>
      <c r="M313">
        <v>0.61841218300689704</v>
      </c>
      <c r="N313">
        <v>-2.685638570203925E-2</v>
      </c>
      <c r="O313">
        <v>0.75236353553979951</v>
      </c>
    </row>
    <row r="314" spans="1:15" x14ac:dyDescent="0.25">
      <c r="A314">
        <v>80.325400999999999</v>
      </c>
      <c r="B314">
        <v>156.95659649999999</v>
      </c>
      <c r="C314">
        <v>160.55136100000001</v>
      </c>
      <c r="D314">
        <v>83.867538249999996</v>
      </c>
      <c r="E314">
        <v>211.1417045</v>
      </c>
      <c r="F314">
        <v>4.3854249999999997</v>
      </c>
      <c r="G314">
        <v>217.8064535</v>
      </c>
      <c r="H314">
        <v>8</v>
      </c>
      <c r="I314">
        <v>8</v>
      </c>
      <c r="J314">
        <v>1.18</v>
      </c>
      <c r="K314">
        <v>19.019212</v>
      </c>
      <c r="L314">
        <v>-0.62168880776541613</v>
      </c>
      <c r="M314">
        <v>0.56637039737500394</v>
      </c>
      <c r="N314">
        <v>-5.1651714543851653E-2</v>
      </c>
      <c r="O314">
        <v>0.60222590508332197</v>
      </c>
    </row>
    <row r="315" spans="1:15" x14ac:dyDescent="0.25">
      <c r="A315">
        <v>55.821646999999999</v>
      </c>
      <c r="B315">
        <v>152.53257375000001</v>
      </c>
      <c r="C315">
        <v>175.09356299999999</v>
      </c>
      <c r="D315">
        <v>79.748649499999999</v>
      </c>
      <c r="E315">
        <v>204.301838</v>
      </c>
      <c r="F315">
        <v>4.7752374999999994</v>
      </c>
      <c r="G315">
        <v>217.84646599999999</v>
      </c>
      <c r="H315">
        <v>8</v>
      </c>
      <c r="I315">
        <v>12</v>
      </c>
      <c r="J315">
        <v>1.18</v>
      </c>
      <c r="K315">
        <v>19.003610250000001</v>
      </c>
      <c r="L315">
        <v>-0.8736823685333911</v>
      </c>
      <c r="M315">
        <v>0.5331498636120382</v>
      </c>
      <c r="N315">
        <v>-9.9217515427602918E-2</v>
      </c>
      <c r="O315">
        <v>0.46155363583319708</v>
      </c>
    </row>
    <row r="316" spans="1:15" x14ac:dyDescent="0.25">
      <c r="A316">
        <v>27.752882249999999</v>
      </c>
      <c r="B316">
        <v>141.85720825000001</v>
      </c>
      <c r="C316">
        <v>184.48728600000001</v>
      </c>
      <c r="D316">
        <v>71.467058499999993</v>
      </c>
      <c r="E316">
        <v>190.17506025</v>
      </c>
      <c r="F316">
        <v>4.6290577500000003</v>
      </c>
      <c r="G316">
        <v>215.09783525</v>
      </c>
      <c r="H316">
        <v>8</v>
      </c>
      <c r="I316">
        <v>16</v>
      </c>
      <c r="J316">
        <v>1.18</v>
      </c>
      <c r="K316">
        <v>18.887209500000001</v>
      </c>
      <c r="L316">
        <v>-1.115041862540707</v>
      </c>
      <c r="M316">
        <v>0.50077336243464465</v>
      </c>
      <c r="N316">
        <v>-0.17731915015499569</v>
      </c>
      <c r="O316">
        <v>0.32000059480025478</v>
      </c>
    </row>
    <row r="317" spans="1:15" x14ac:dyDescent="0.25">
      <c r="A317">
        <v>-0.72089349999999996</v>
      </c>
      <c r="B317">
        <v>132.48021299999999</v>
      </c>
      <c r="C317">
        <v>194.19714375000001</v>
      </c>
      <c r="D317">
        <v>56.612774000000002</v>
      </c>
      <c r="E317">
        <v>172.15894700000001</v>
      </c>
      <c r="F317">
        <v>4.6777842500000002</v>
      </c>
      <c r="G317">
        <v>214.55270375000001</v>
      </c>
      <c r="H317">
        <v>8</v>
      </c>
      <c r="I317">
        <v>20</v>
      </c>
      <c r="J317">
        <v>1.18</v>
      </c>
      <c r="K317">
        <v>18.86054425</v>
      </c>
      <c r="L317">
        <v>-1.351608131382211</v>
      </c>
      <c r="M317">
        <v>0.52608773062668512</v>
      </c>
      <c r="N317">
        <v>-0.29397257388545461</v>
      </c>
      <c r="O317">
        <v>0.16134490856561839</v>
      </c>
    </row>
    <row r="318" spans="1:15" x14ac:dyDescent="0.25">
      <c r="A318">
        <v>-29.060993499999999</v>
      </c>
      <c r="B318">
        <v>120.12180499999999</v>
      </c>
      <c r="C318">
        <v>200.74564724999999</v>
      </c>
      <c r="D318">
        <v>36.105980000000002</v>
      </c>
      <c r="E318">
        <v>148.24177549999999</v>
      </c>
      <c r="F318">
        <v>4.6777839999999999</v>
      </c>
      <c r="G318">
        <v>213.57993675</v>
      </c>
      <c r="H318">
        <v>8</v>
      </c>
      <c r="I318">
        <v>24</v>
      </c>
      <c r="J318">
        <v>1.18</v>
      </c>
      <c r="K318">
        <v>18.81678475</v>
      </c>
      <c r="L318">
        <v>-1.587941508890937</v>
      </c>
      <c r="M318">
        <v>0.58054492133742852</v>
      </c>
      <c r="N318">
        <v>-0.45147794602321167</v>
      </c>
      <c r="O318">
        <v>-7.9777455252033423E-3</v>
      </c>
    </row>
    <row r="319" spans="1:15" x14ac:dyDescent="0.25">
      <c r="A319">
        <v>-60.464889249999999</v>
      </c>
      <c r="B319">
        <v>105.31094349999999</v>
      </c>
      <c r="C319">
        <v>204.04248774999999</v>
      </c>
      <c r="D319">
        <v>6.9232262499999999</v>
      </c>
      <c r="E319">
        <v>116.41182125</v>
      </c>
      <c r="F319">
        <v>4.5316045000000003</v>
      </c>
      <c r="G319">
        <v>212.20420425</v>
      </c>
      <c r="H319">
        <v>8</v>
      </c>
      <c r="I319">
        <v>28</v>
      </c>
      <c r="J319">
        <v>1.18</v>
      </c>
      <c r="K319">
        <v>18.761320749999999</v>
      </c>
      <c r="L319">
        <v>-1.8473720725969109</v>
      </c>
      <c r="M319">
        <v>0.68713206756378897</v>
      </c>
      <c r="N319">
        <v>-0.66904991101457423</v>
      </c>
      <c r="O319">
        <v>-0.21861963929025979</v>
      </c>
    </row>
    <row r="320" spans="1:15" x14ac:dyDescent="0.25">
      <c r="A320">
        <v>-91.147891999999999</v>
      </c>
      <c r="B320">
        <v>89.057474249999999</v>
      </c>
      <c r="C320">
        <v>206.797371</v>
      </c>
      <c r="D320">
        <v>-22.596395000000001</v>
      </c>
      <c r="E320">
        <v>81.452518499999996</v>
      </c>
      <c r="F320">
        <v>4.5316045000000003</v>
      </c>
      <c r="G320">
        <v>211.96411125</v>
      </c>
      <c r="H320">
        <v>8</v>
      </c>
      <c r="I320">
        <v>32</v>
      </c>
      <c r="J320">
        <v>1.18</v>
      </c>
      <c r="K320">
        <v>18.750475250000001</v>
      </c>
      <c r="L320">
        <v>-2.1539686699442471</v>
      </c>
      <c r="M320">
        <v>0.80718836100288749</v>
      </c>
      <c r="N320">
        <v>-0.94353053639108597</v>
      </c>
      <c r="O320">
        <v>-0.4439153666122681</v>
      </c>
    </row>
    <row r="321" spans="1:15" x14ac:dyDescent="0.25">
      <c r="A321">
        <v>-121.51550675</v>
      </c>
      <c r="B321">
        <v>68.572327000000001</v>
      </c>
      <c r="C321">
        <v>206.48123949999999</v>
      </c>
      <c r="D321">
        <v>-53.191125</v>
      </c>
      <c r="E321">
        <v>38.893365750000001</v>
      </c>
      <c r="F321">
        <v>4.4341514999999996</v>
      </c>
      <c r="G321">
        <v>210.43128225000001</v>
      </c>
      <c r="H321">
        <v>8</v>
      </c>
      <c r="I321">
        <v>36</v>
      </c>
      <c r="J321">
        <v>1.18</v>
      </c>
      <c r="K321">
        <v>18.685491249999998</v>
      </c>
      <c r="L321">
        <v>-2.5980701213247812</v>
      </c>
      <c r="M321">
        <v>0.96448563140227339</v>
      </c>
      <c r="N321">
        <v>-1.3587540033336041</v>
      </c>
      <c r="O321">
        <v>-0.7270484573056849</v>
      </c>
    </row>
    <row r="322" spans="1:15" x14ac:dyDescent="0.25">
      <c r="A322">
        <v>-148.81932449999999</v>
      </c>
      <c r="B322">
        <v>48.183352499999998</v>
      </c>
      <c r="C322">
        <v>204.58443449999999</v>
      </c>
      <c r="D322">
        <v>-84.485164749999996</v>
      </c>
      <c r="E322">
        <v>-6.5117192500000014</v>
      </c>
      <c r="F322">
        <v>4.3854249999999997</v>
      </c>
      <c r="G322">
        <v>209.45878250000001</v>
      </c>
      <c r="H322">
        <v>8</v>
      </c>
      <c r="I322">
        <v>40</v>
      </c>
      <c r="J322">
        <v>1.18</v>
      </c>
      <c r="K322">
        <v>18.643548500000001</v>
      </c>
      <c r="L322">
        <v>-3.208708834114312</v>
      </c>
      <c r="M322">
        <v>1.2045322957740641</v>
      </c>
      <c r="N322">
        <v>-1.960904086048896</v>
      </c>
      <c r="O322">
        <v>-1.098947823935732</v>
      </c>
    </row>
    <row r="323" spans="1:15" x14ac:dyDescent="0.25">
      <c r="A323">
        <v>-199.50711050000001</v>
      </c>
      <c r="B323">
        <v>29.621693499999999</v>
      </c>
      <c r="C323">
        <v>227.12033099999999</v>
      </c>
      <c r="D323">
        <v>-131.03286750000001</v>
      </c>
      <c r="E323">
        <v>-60.701706000000001</v>
      </c>
      <c r="F323">
        <v>5.1163232499999998</v>
      </c>
      <c r="G323">
        <v>235.86721424999999</v>
      </c>
      <c r="H323">
        <v>8</v>
      </c>
      <c r="I323">
        <v>44</v>
      </c>
      <c r="J323">
        <v>1.18</v>
      </c>
      <c r="K323">
        <v>19.776254250000001</v>
      </c>
      <c r="L323">
        <v>-4.0799562830947131</v>
      </c>
      <c r="M323">
        <v>1.5363370810994379</v>
      </c>
      <c r="N323">
        <v>-2.836176809166759</v>
      </c>
      <c r="O323">
        <v>-1.629428138459877</v>
      </c>
    </row>
    <row r="324" spans="1:15" x14ac:dyDescent="0.25">
      <c r="A324">
        <v>257.85356925000002</v>
      </c>
      <c r="B324">
        <v>43.951679249999998</v>
      </c>
      <c r="C324">
        <v>-257.76361100000003</v>
      </c>
      <c r="D324">
        <v>-176.26935950000001</v>
      </c>
      <c r="E324">
        <v>-27.429500749999999</v>
      </c>
      <c r="F324">
        <v>6.0908542499999996</v>
      </c>
      <c r="G324">
        <v>269.87574024999998</v>
      </c>
      <c r="H324">
        <v>12</v>
      </c>
      <c r="I324">
        <v>-44</v>
      </c>
      <c r="J324">
        <v>1.18</v>
      </c>
      <c r="K324">
        <v>21.144565</v>
      </c>
      <c r="L324">
        <v>2.7197335223222971</v>
      </c>
      <c r="M324">
        <v>1.161590176149855</v>
      </c>
      <c r="N324">
        <v>-1.5682196810938289</v>
      </c>
      <c r="O324">
        <v>-1.1768309360060449</v>
      </c>
    </row>
    <row r="325" spans="1:15" x14ac:dyDescent="0.25">
      <c r="A325">
        <v>251.76146324999999</v>
      </c>
      <c r="B325">
        <v>71.265207500000002</v>
      </c>
      <c r="C325">
        <v>-210.25264000000001</v>
      </c>
      <c r="D325">
        <v>-129.2845935</v>
      </c>
      <c r="E325">
        <v>23.559552750000002</v>
      </c>
      <c r="F325">
        <v>5.7497680000000004</v>
      </c>
      <c r="G325">
        <v>258.70263649999998</v>
      </c>
      <c r="H325">
        <v>12</v>
      </c>
      <c r="I325">
        <v>-40</v>
      </c>
      <c r="J325">
        <v>1.18</v>
      </c>
      <c r="K325">
        <v>20.70587475</v>
      </c>
      <c r="L325">
        <v>2.3897946749734742</v>
      </c>
      <c r="M325">
        <v>1.0373530191321441</v>
      </c>
      <c r="N325">
        <v>-1.216291075905686</v>
      </c>
      <c r="O325">
        <v>-0.90787647047117748</v>
      </c>
    </row>
    <row r="326" spans="1:15" x14ac:dyDescent="0.25">
      <c r="A326">
        <v>247.20367425000001</v>
      </c>
      <c r="B326">
        <v>96.222463250000004</v>
      </c>
      <c r="C326">
        <v>-164.4455375</v>
      </c>
      <c r="D326">
        <v>-88.637309999999999</v>
      </c>
      <c r="E326">
        <v>68.488069749999994</v>
      </c>
      <c r="F326">
        <v>5.6523149999999998</v>
      </c>
      <c r="G326">
        <v>252.22007400000001</v>
      </c>
      <c r="H326">
        <v>12</v>
      </c>
      <c r="I326">
        <v>-36</v>
      </c>
      <c r="J326">
        <v>1.18</v>
      </c>
      <c r="K326">
        <v>20.4428795</v>
      </c>
      <c r="L326">
        <v>2.1107438172157882</v>
      </c>
      <c r="M326">
        <v>0.94789550262378142</v>
      </c>
      <c r="N326">
        <v>-0.9421284933505587</v>
      </c>
      <c r="O326">
        <v>-0.67783559103131319</v>
      </c>
    </row>
    <row r="327" spans="1:15" x14ac:dyDescent="0.25">
      <c r="A327">
        <v>239.848038</v>
      </c>
      <c r="B327">
        <v>116.70760725</v>
      </c>
      <c r="C327">
        <v>-116.86186975</v>
      </c>
      <c r="D327">
        <v>-50.350188500000002</v>
      </c>
      <c r="E327">
        <v>107.42612250000001</v>
      </c>
      <c r="F327">
        <v>5.3112292500000002</v>
      </c>
      <c r="G327">
        <v>246.79227075</v>
      </c>
      <c r="H327">
        <v>12</v>
      </c>
      <c r="I327">
        <v>-32</v>
      </c>
      <c r="J327">
        <v>1.18</v>
      </c>
      <c r="K327">
        <v>20.230912750000002</v>
      </c>
      <c r="L327">
        <v>1.8672715916693261</v>
      </c>
      <c r="M327">
        <v>0.8744953648631002</v>
      </c>
      <c r="N327">
        <v>-0.72954837757298774</v>
      </c>
      <c r="O327">
        <v>-0.46544784924767912</v>
      </c>
    </row>
    <row r="328" spans="1:15" x14ac:dyDescent="0.25">
      <c r="A328">
        <v>233.03390874999999</v>
      </c>
      <c r="B328">
        <v>136.03866199999999</v>
      </c>
      <c r="C328">
        <v>-72.390312249999994</v>
      </c>
      <c r="D328">
        <v>-17.876064</v>
      </c>
      <c r="E328">
        <v>140.10546475000001</v>
      </c>
      <c r="F328">
        <v>5.3599560000000004</v>
      </c>
      <c r="G328">
        <v>243.79090875</v>
      </c>
      <c r="H328">
        <v>12</v>
      </c>
      <c r="I328">
        <v>-28</v>
      </c>
      <c r="J328">
        <v>1.18</v>
      </c>
      <c r="K328">
        <v>20.102736749999998</v>
      </c>
      <c r="L328">
        <v>1.648821606539973</v>
      </c>
      <c r="M328">
        <v>0.83087819807745433</v>
      </c>
      <c r="N328">
        <v>-0.55974293917844986</v>
      </c>
      <c r="O328">
        <v>-0.27257083182591502</v>
      </c>
    </row>
    <row r="329" spans="1:15" x14ac:dyDescent="0.25">
      <c r="A329">
        <v>223.55732750000001</v>
      </c>
      <c r="B329">
        <v>150.27247249999999</v>
      </c>
      <c r="C329">
        <v>-30.489625499999999</v>
      </c>
      <c r="D329">
        <v>14.065550999999999</v>
      </c>
      <c r="E329">
        <v>166.3919985</v>
      </c>
      <c r="F329">
        <v>5.3599560000000004</v>
      </c>
      <c r="G329">
        <v>239.93521100000001</v>
      </c>
      <c r="H329">
        <v>12</v>
      </c>
      <c r="I329">
        <v>-24</v>
      </c>
      <c r="J329">
        <v>1.18</v>
      </c>
      <c r="K329">
        <v>19.93953775</v>
      </c>
      <c r="L329">
        <v>1.454994196764543</v>
      </c>
      <c r="M329">
        <v>0.78008977558721826</v>
      </c>
      <c r="N329">
        <v>-0.42121398812254268</v>
      </c>
      <c r="O329">
        <v>-7.7698771617029067E-2</v>
      </c>
    </row>
    <row r="330" spans="1:15" x14ac:dyDescent="0.25">
      <c r="A330">
        <v>213.17819600000001</v>
      </c>
      <c r="B330">
        <v>162.34236125000001</v>
      </c>
      <c r="C330">
        <v>5.23881525</v>
      </c>
      <c r="D330">
        <v>38.603601500000003</v>
      </c>
      <c r="E330">
        <v>187.26923375000001</v>
      </c>
      <c r="F330">
        <v>5.0188697500000004</v>
      </c>
      <c r="G330">
        <v>237.56049350000001</v>
      </c>
      <c r="H330">
        <v>12</v>
      </c>
      <c r="I330">
        <v>-20</v>
      </c>
      <c r="J330">
        <v>1.18</v>
      </c>
      <c r="K330">
        <v>19.852916749999999</v>
      </c>
      <c r="L330">
        <v>1.257587684141197</v>
      </c>
      <c r="M330">
        <v>0.74835916590777674</v>
      </c>
      <c r="N330">
        <v>-0.30415823269138098</v>
      </c>
      <c r="O330">
        <v>0.1022243331711454</v>
      </c>
    </row>
    <row r="331" spans="1:15" x14ac:dyDescent="0.25">
      <c r="A331">
        <v>201.084259</v>
      </c>
      <c r="B331">
        <v>172.53685375000001</v>
      </c>
      <c r="C331">
        <v>36.761977999999999</v>
      </c>
      <c r="D331">
        <v>51.705165999999998</v>
      </c>
      <c r="E331">
        <v>203.09479899999999</v>
      </c>
      <c r="F331">
        <v>5.1650495000000003</v>
      </c>
      <c r="G331">
        <v>236.65394975000001</v>
      </c>
      <c r="H331">
        <v>12</v>
      </c>
      <c r="I331">
        <v>-16</v>
      </c>
      <c r="J331">
        <v>1.18</v>
      </c>
      <c r="K331">
        <v>19.807926250000001</v>
      </c>
      <c r="L331">
        <v>1.034369249078263</v>
      </c>
      <c r="M331">
        <v>0.76063153029638353</v>
      </c>
      <c r="N331">
        <v>-0.2112569032285074</v>
      </c>
      <c r="O331">
        <v>0.24593067443300079</v>
      </c>
    </row>
    <row r="332" spans="1:15" x14ac:dyDescent="0.25">
      <c r="A332">
        <v>184.97405624999999</v>
      </c>
      <c r="B332">
        <v>177.441742</v>
      </c>
      <c r="C332">
        <v>64.536686000000003</v>
      </c>
      <c r="D332">
        <v>62.396746999999998</v>
      </c>
      <c r="E332">
        <v>212.52755725</v>
      </c>
      <c r="F332">
        <v>4.6290575</v>
      </c>
      <c r="G332">
        <v>232.98601124999999</v>
      </c>
      <c r="H332">
        <v>12</v>
      </c>
      <c r="I332">
        <v>-12</v>
      </c>
      <c r="J332">
        <v>1.18</v>
      </c>
      <c r="K332">
        <v>19.673469999999998</v>
      </c>
      <c r="L332">
        <v>0.8079754446432359</v>
      </c>
      <c r="M332">
        <v>0.7718093137946509</v>
      </c>
      <c r="N332">
        <v>-0.13726430896911529</v>
      </c>
      <c r="O332">
        <v>0.39473038308614328</v>
      </c>
    </row>
    <row r="333" spans="1:15" x14ac:dyDescent="0.25">
      <c r="A333">
        <v>168.27720249999999</v>
      </c>
      <c r="B333">
        <v>184.12586575</v>
      </c>
      <c r="C333">
        <v>87.11774650000001</v>
      </c>
      <c r="D333">
        <v>62.74729</v>
      </c>
      <c r="E333">
        <v>218.24978275000001</v>
      </c>
      <c r="F333">
        <v>5.067596</v>
      </c>
      <c r="G333">
        <v>232.30569499999999</v>
      </c>
      <c r="H333">
        <v>12</v>
      </c>
      <c r="I333">
        <v>-8</v>
      </c>
      <c r="J333">
        <v>1.18</v>
      </c>
      <c r="K333">
        <v>19.625218749999998</v>
      </c>
      <c r="L333">
        <v>0.56630207800634758</v>
      </c>
      <c r="M333">
        <v>0.84690616445342459</v>
      </c>
      <c r="N333">
        <v>-9.808740922522291E-2</v>
      </c>
      <c r="O333">
        <v>0.48751081241006422</v>
      </c>
    </row>
    <row r="334" spans="1:15" x14ac:dyDescent="0.25">
      <c r="A334">
        <v>149.73015599999999</v>
      </c>
      <c r="B334">
        <v>186.5783045</v>
      </c>
      <c r="C334">
        <v>108.47942725</v>
      </c>
      <c r="D334">
        <v>63.054013249999997</v>
      </c>
      <c r="E334">
        <v>221.55796799999999</v>
      </c>
      <c r="F334">
        <v>4.9214172499999993</v>
      </c>
      <c r="G334">
        <v>231.30522149999999</v>
      </c>
      <c r="H334">
        <v>12</v>
      </c>
      <c r="I334">
        <v>-4</v>
      </c>
      <c r="J334">
        <v>1.18</v>
      </c>
      <c r="K334">
        <v>19.588291000000002</v>
      </c>
      <c r="L334">
        <v>0.30375651942810111</v>
      </c>
      <c r="M334">
        <v>0.9096682105475592</v>
      </c>
      <c r="N334">
        <v>-7.1786573592356046E-2</v>
      </c>
      <c r="O334">
        <v>0.59539812082241406</v>
      </c>
    </row>
    <row r="335" spans="1:15" x14ac:dyDescent="0.25">
      <c r="A335">
        <v>128.29501124999999</v>
      </c>
      <c r="B335">
        <v>184.606739</v>
      </c>
      <c r="C335">
        <v>125.82168575</v>
      </c>
      <c r="D335">
        <v>61.870933999999998</v>
      </c>
      <c r="E335">
        <v>220.17210750000001</v>
      </c>
      <c r="F335">
        <v>4.8239642500000004</v>
      </c>
      <c r="G335">
        <v>228.26386274999999</v>
      </c>
      <c r="H335">
        <v>12</v>
      </c>
      <c r="I335">
        <v>0</v>
      </c>
      <c r="J335">
        <v>1.18</v>
      </c>
      <c r="K335">
        <v>19.460505749999999</v>
      </c>
      <c r="L335">
        <v>1.957412666676258E-2</v>
      </c>
      <c r="M335">
        <v>0.97158618342223846</v>
      </c>
      <c r="N335">
        <v>-6.4085569698730277E-2</v>
      </c>
      <c r="O335">
        <v>0.70475377261930228</v>
      </c>
    </row>
    <row r="336" spans="1:15" x14ac:dyDescent="0.25">
      <c r="A336">
        <v>106.36347000000001</v>
      </c>
      <c r="B336">
        <v>182.92368350000001</v>
      </c>
      <c r="C336">
        <v>143.43491349999999</v>
      </c>
      <c r="D336">
        <v>63.229283500000001</v>
      </c>
      <c r="E336">
        <v>218.51801674999999</v>
      </c>
      <c r="F336">
        <v>5.0188697500000004</v>
      </c>
      <c r="G336">
        <v>227.45026050000001</v>
      </c>
      <c r="H336">
        <v>12</v>
      </c>
      <c r="I336">
        <v>4</v>
      </c>
      <c r="J336">
        <v>1.18</v>
      </c>
      <c r="K336">
        <v>19.4165475</v>
      </c>
      <c r="L336">
        <v>-0.27725045243081847</v>
      </c>
      <c r="M336">
        <v>0.89513060917140919</v>
      </c>
      <c r="N336">
        <v>-6.6823877514454136E-2</v>
      </c>
      <c r="O336">
        <v>0.59660378937934122</v>
      </c>
    </row>
    <row r="337" spans="1:15" x14ac:dyDescent="0.25">
      <c r="A337">
        <v>83.258632500000004</v>
      </c>
      <c r="B337">
        <v>179.17288975</v>
      </c>
      <c r="C337">
        <v>158.06744399999999</v>
      </c>
      <c r="D337">
        <v>62.440562499999999</v>
      </c>
      <c r="E337">
        <v>212.57226175</v>
      </c>
      <c r="F337">
        <v>4.8726909999999997</v>
      </c>
      <c r="G337">
        <v>225.54328924999999</v>
      </c>
      <c r="H337">
        <v>12</v>
      </c>
      <c r="I337">
        <v>8</v>
      </c>
      <c r="J337">
        <v>1.18</v>
      </c>
      <c r="K337">
        <v>19.339541499999999</v>
      </c>
      <c r="L337">
        <v>-0.5354131904614986</v>
      </c>
      <c r="M337">
        <v>0.83545946899481405</v>
      </c>
      <c r="N337">
        <v>-9.2840496619275362E-2</v>
      </c>
      <c r="O337">
        <v>0.48651454592704152</v>
      </c>
    </row>
    <row r="338" spans="1:15" x14ac:dyDescent="0.25">
      <c r="A338">
        <v>56.949812999999999</v>
      </c>
      <c r="B338">
        <v>174.21989825</v>
      </c>
      <c r="C338">
        <v>172.69996624999999</v>
      </c>
      <c r="D338">
        <v>59.154215999999998</v>
      </c>
      <c r="E338">
        <v>204.12302025</v>
      </c>
      <c r="F338">
        <v>4.6777839999999999</v>
      </c>
      <c r="G338">
        <v>224.20895775</v>
      </c>
      <c r="H338">
        <v>12</v>
      </c>
      <c r="I338">
        <v>12</v>
      </c>
      <c r="J338">
        <v>1.18</v>
      </c>
      <c r="K338">
        <v>19.289548</v>
      </c>
      <c r="L338">
        <v>-0.79241876850134751</v>
      </c>
      <c r="M338">
        <v>0.78774199195248495</v>
      </c>
      <c r="N338">
        <v>-0.1375109552298219</v>
      </c>
      <c r="O338">
        <v>0.36539956982590288</v>
      </c>
    </row>
    <row r="339" spans="1:15" x14ac:dyDescent="0.25">
      <c r="A339">
        <v>28.79079475</v>
      </c>
      <c r="B339">
        <v>166.429779</v>
      </c>
      <c r="C339">
        <v>186.11312475</v>
      </c>
      <c r="D339">
        <v>53.764608500000001</v>
      </c>
      <c r="E339">
        <v>190.80093024999999</v>
      </c>
      <c r="F339">
        <v>4.7752374999999994</v>
      </c>
      <c r="G339">
        <v>223.595741</v>
      </c>
      <c r="H339">
        <v>12</v>
      </c>
      <c r="I339">
        <v>16</v>
      </c>
      <c r="J339">
        <v>1.18</v>
      </c>
      <c r="K339">
        <v>19.258299999999998</v>
      </c>
      <c r="L339">
        <v>-1.05217369598482</v>
      </c>
      <c r="M339">
        <v>0.75351065816573271</v>
      </c>
      <c r="N339">
        <v>-0.21934319158318899</v>
      </c>
      <c r="O339">
        <v>0.24412615550316569</v>
      </c>
    </row>
    <row r="340" spans="1:15" x14ac:dyDescent="0.25">
      <c r="A340">
        <v>1.39893125</v>
      </c>
      <c r="B340">
        <v>154.98501999999999</v>
      </c>
      <c r="C340">
        <v>194.061657</v>
      </c>
      <c r="D340">
        <v>38.822690000000001</v>
      </c>
      <c r="E340">
        <v>171.35425975000001</v>
      </c>
      <c r="F340">
        <v>4.8726905</v>
      </c>
      <c r="G340">
        <v>221.35499575</v>
      </c>
      <c r="H340">
        <v>12</v>
      </c>
      <c r="I340">
        <v>20</v>
      </c>
      <c r="J340">
        <v>1.18</v>
      </c>
      <c r="K340">
        <v>19.155131749999999</v>
      </c>
      <c r="L340">
        <v>-1.273855678401256</v>
      </c>
      <c r="M340">
        <v>0.76806453328528579</v>
      </c>
      <c r="N340">
        <v>-0.33060578036915922</v>
      </c>
      <c r="O340">
        <v>0.10075690119513769</v>
      </c>
    </row>
    <row r="341" spans="1:15" x14ac:dyDescent="0.25">
      <c r="A341">
        <v>-28.790659250000001</v>
      </c>
      <c r="B341">
        <v>144.26158150000001</v>
      </c>
      <c r="C341">
        <v>201.51340450000001</v>
      </c>
      <c r="D341">
        <v>14.065550249999999</v>
      </c>
      <c r="E341">
        <v>146.31946199999999</v>
      </c>
      <c r="F341">
        <v>4.6777839999999999</v>
      </c>
      <c r="G341">
        <v>220.44747525</v>
      </c>
      <c r="H341">
        <v>12</v>
      </c>
      <c r="I341">
        <v>24</v>
      </c>
      <c r="J341">
        <v>1.18</v>
      </c>
      <c r="K341">
        <v>19.123580499999999</v>
      </c>
      <c r="L341">
        <v>-1.4985759783385979</v>
      </c>
      <c r="M341">
        <v>0.84717357502949908</v>
      </c>
      <c r="N341">
        <v>-0.48234713862213391</v>
      </c>
      <c r="O341">
        <v>-7.8342765987595361E-2</v>
      </c>
    </row>
    <row r="342" spans="1:15" x14ac:dyDescent="0.25">
      <c r="A342">
        <v>-60.239607749999998</v>
      </c>
      <c r="B342">
        <v>130.26819975000001</v>
      </c>
      <c r="C342">
        <v>206.84253699999999</v>
      </c>
      <c r="D342">
        <v>-16.652275499999998</v>
      </c>
      <c r="E342">
        <v>117.12710174999999</v>
      </c>
      <c r="F342">
        <v>4.8726909999999997</v>
      </c>
      <c r="G342">
        <v>220.19458750000001</v>
      </c>
      <c r="H342">
        <v>12</v>
      </c>
      <c r="I342">
        <v>28</v>
      </c>
      <c r="J342">
        <v>1.18</v>
      </c>
      <c r="K342">
        <v>19.103725499999999</v>
      </c>
      <c r="L342">
        <v>-1.716766418090546</v>
      </c>
      <c r="M342">
        <v>0.94438376809558788</v>
      </c>
      <c r="N342">
        <v>-0.66250210386357655</v>
      </c>
      <c r="O342">
        <v>-0.27844500396498301</v>
      </c>
    </row>
    <row r="343" spans="1:15" x14ac:dyDescent="0.25">
      <c r="A343">
        <v>-92.724842249999995</v>
      </c>
      <c r="B343">
        <v>113.53385950000001</v>
      </c>
      <c r="C343">
        <v>208.78450774999999</v>
      </c>
      <c r="D343">
        <v>-53.628192749999997</v>
      </c>
      <c r="E343">
        <v>78.770219749999995</v>
      </c>
      <c r="F343">
        <v>4.6777842500000002</v>
      </c>
      <c r="G343">
        <v>217.79378124999999</v>
      </c>
      <c r="H343">
        <v>12</v>
      </c>
      <c r="I343">
        <v>32</v>
      </c>
      <c r="J343">
        <v>1.18</v>
      </c>
      <c r="K343">
        <v>19.005616</v>
      </c>
      <c r="L343">
        <v>-1.984307231355404</v>
      </c>
      <c r="M343">
        <v>1.10012874230072</v>
      </c>
      <c r="N343">
        <v>-0.91494624489393117</v>
      </c>
      <c r="O343">
        <v>-0.51237517491793461</v>
      </c>
    </row>
    <row r="344" spans="1:15" x14ac:dyDescent="0.25">
      <c r="A344">
        <v>-123.00234775</v>
      </c>
      <c r="B344">
        <v>95.404979499999996</v>
      </c>
      <c r="C344">
        <v>208.69418325000001</v>
      </c>
      <c r="D344">
        <v>-87.457226000000006</v>
      </c>
      <c r="E344">
        <v>38.043970000000002</v>
      </c>
      <c r="F344">
        <v>4.8239642500000004</v>
      </c>
      <c r="G344">
        <v>217.35363000000001</v>
      </c>
      <c r="H344">
        <v>12</v>
      </c>
      <c r="I344">
        <v>36</v>
      </c>
      <c r="J344">
        <v>1.18</v>
      </c>
      <c r="K344">
        <v>18.979451749999999</v>
      </c>
      <c r="L344">
        <v>-2.315125095426541</v>
      </c>
      <c r="M344">
        <v>1.2763031245583341</v>
      </c>
      <c r="N344">
        <v>-1.251520120148732</v>
      </c>
      <c r="O344">
        <v>-0.76813313506549274</v>
      </c>
    </row>
    <row r="345" spans="1:15" x14ac:dyDescent="0.25">
      <c r="A345">
        <v>-152.64907074999999</v>
      </c>
      <c r="B345">
        <v>73.765745250000009</v>
      </c>
      <c r="C345">
        <v>206.25542849999999</v>
      </c>
      <c r="D345">
        <v>-119.62540625</v>
      </c>
      <c r="E345">
        <v>-7.7605424999999997</v>
      </c>
      <c r="F345">
        <v>4.6290575</v>
      </c>
      <c r="G345">
        <v>216.75344849999999</v>
      </c>
      <c r="H345">
        <v>12</v>
      </c>
      <c r="I345">
        <v>40</v>
      </c>
      <c r="J345">
        <v>1.18</v>
      </c>
      <c r="K345">
        <v>18.961349999999999</v>
      </c>
      <c r="L345">
        <v>-2.795748585113337</v>
      </c>
      <c r="M345">
        <v>1.5064465765874531</v>
      </c>
      <c r="N345">
        <v>-1.748902389062339</v>
      </c>
      <c r="O345">
        <v>-1.096521457703076</v>
      </c>
    </row>
    <row r="346" spans="1:15" x14ac:dyDescent="0.25">
      <c r="A346">
        <v>-178.91660725</v>
      </c>
      <c r="B346">
        <v>50.683887499999997</v>
      </c>
      <c r="C346">
        <v>199.752083</v>
      </c>
      <c r="D346">
        <v>-150.00160199999999</v>
      </c>
      <c r="E346">
        <v>-55.751015750000001</v>
      </c>
      <c r="F346">
        <v>4.4828780000000004</v>
      </c>
      <c r="G346">
        <v>214.30995200000001</v>
      </c>
      <c r="H346">
        <v>12</v>
      </c>
      <c r="I346">
        <v>44</v>
      </c>
      <c r="J346">
        <v>1.18</v>
      </c>
      <c r="K346">
        <v>18.858394749999999</v>
      </c>
      <c r="L346">
        <v>-3.4834462702419962</v>
      </c>
      <c r="M346">
        <v>1.8461104851074619</v>
      </c>
      <c r="N346">
        <v>-2.484364315237467</v>
      </c>
      <c r="O346">
        <v>-1.554135297554567</v>
      </c>
    </row>
    <row r="347" spans="1:15" x14ac:dyDescent="0.25">
      <c r="A347">
        <v>198.01565174999999</v>
      </c>
      <c r="B347">
        <v>56.406263500000001</v>
      </c>
      <c r="C347">
        <v>-204.194603</v>
      </c>
      <c r="D347">
        <v>-168.00878524999999</v>
      </c>
      <c r="E347">
        <v>-26.492883249999998</v>
      </c>
      <c r="F347">
        <v>4.5316045000000003</v>
      </c>
      <c r="G347">
        <v>214.28505724999999</v>
      </c>
      <c r="H347">
        <v>16</v>
      </c>
      <c r="I347">
        <v>-44</v>
      </c>
      <c r="J347">
        <v>1.18</v>
      </c>
      <c r="K347">
        <v>18.855086249999999</v>
      </c>
      <c r="L347">
        <v>2.5199927362769721</v>
      </c>
      <c r="M347">
        <v>1.4060540193004021</v>
      </c>
      <c r="N347">
        <v>-1.508575635691831</v>
      </c>
      <c r="O347">
        <v>-1.1943885965486789</v>
      </c>
    </row>
    <row r="348" spans="1:15" x14ac:dyDescent="0.25">
      <c r="A348">
        <v>199.95609675</v>
      </c>
      <c r="B348">
        <v>77.660804749999997</v>
      </c>
      <c r="C348">
        <v>-172.24835225000001</v>
      </c>
      <c r="D348">
        <v>-135.62207799999999</v>
      </c>
      <c r="E348">
        <v>12.115074</v>
      </c>
      <c r="F348">
        <v>4.5803310000000002</v>
      </c>
      <c r="G348">
        <v>212.16418049999999</v>
      </c>
      <c r="H348">
        <v>16</v>
      </c>
      <c r="I348">
        <v>-40</v>
      </c>
      <c r="J348">
        <v>1.18</v>
      </c>
      <c r="K348">
        <v>18.75731725</v>
      </c>
      <c r="L348">
        <v>2.241530054901149</v>
      </c>
      <c r="M348">
        <v>1.2844676703161391</v>
      </c>
      <c r="N348">
        <v>-1.204781349996205</v>
      </c>
      <c r="O348">
        <v>-0.95463634019743626</v>
      </c>
    </row>
    <row r="349" spans="1:15" x14ac:dyDescent="0.25">
      <c r="A349">
        <v>205.01028074999999</v>
      </c>
      <c r="B349">
        <v>100.59840025</v>
      </c>
      <c r="C349">
        <v>-141.13656225</v>
      </c>
      <c r="D349">
        <v>-106.68819999999999</v>
      </c>
      <c r="E349">
        <v>49.667267750000001</v>
      </c>
      <c r="F349">
        <v>4.7265107500000001</v>
      </c>
      <c r="G349">
        <v>215.84572224999999</v>
      </c>
      <c r="H349">
        <v>16</v>
      </c>
      <c r="I349">
        <v>-36</v>
      </c>
      <c r="J349">
        <v>1.18</v>
      </c>
      <c r="K349">
        <v>18.916286750000001</v>
      </c>
      <c r="L349">
        <v>1.994160638286655</v>
      </c>
      <c r="M349">
        <v>1.1941986763665471</v>
      </c>
      <c r="N349">
        <v>-0.95736580124960413</v>
      </c>
      <c r="O349">
        <v>-0.74108608217587368</v>
      </c>
    </row>
    <row r="350" spans="1:15" x14ac:dyDescent="0.25">
      <c r="A350">
        <v>232.71803274999999</v>
      </c>
      <c r="B350">
        <v>137.817894</v>
      </c>
      <c r="C350">
        <v>-124.13162425</v>
      </c>
      <c r="D350">
        <v>-90.298168500000003</v>
      </c>
      <c r="E350">
        <v>92.494650000000007</v>
      </c>
      <c r="F350">
        <v>5.4086825000000003</v>
      </c>
      <c r="G350">
        <v>246.88351825000001</v>
      </c>
      <c r="H350">
        <v>16</v>
      </c>
      <c r="I350">
        <v>-32</v>
      </c>
      <c r="J350">
        <v>1.18</v>
      </c>
      <c r="K350">
        <v>20.230573750000001</v>
      </c>
      <c r="L350">
        <v>1.786861374082876</v>
      </c>
      <c r="M350">
        <v>1.142231916879199</v>
      </c>
      <c r="N350">
        <v>-0.77307573383865469</v>
      </c>
      <c r="O350">
        <v>-0.5639453384902342</v>
      </c>
    </row>
    <row r="351" spans="1:15" x14ac:dyDescent="0.25">
      <c r="A351">
        <v>251.08456425</v>
      </c>
      <c r="B351">
        <v>172.68111400000001</v>
      </c>
      <c r="C351">
        <v>-89.851019000000008</v>
      </c>
      <c r="D351">
        <v>-58.217402249999999</v>
      </c>
      <c r="E351">
        <v>140.37369899999999</v>
      </c>
      <c r="F351">
        <v>5.9446744999999996</v>
      </c>
      <c r="G351">
        <v>270.77171325</v>
      </c>
      <c r="H351">
        <v>16</v>
      </c>
      <c r="I351">
        <v>-28</v>
      </c>
      <c r="J351">
        <v>1.18</v>
      </c>
      <c r="K351">
        <v>21.186291749999999</v>
      </c>
      <c r="L351">
        <v>1.590130016203311</v>
      </c>
      <c r="M351">
        <v>1.076915404226211</v>
      </c>
      <c r="N351">
        <v>-0.60818762407366633</v>
      </c>
      <c r="O351">
        <v>-0.37300622626730168</v>
      </c>
    </row>
    <row r="352" spans="1:15" x14ac:dyDescent="0.25">
      <c r="A352">
        <v>232.85341274999999</v>
      </c>
      <c r="B352">
        <v>181.48106749999999</v>
      </c>
      <c r="C352">
        <v>-43.253773750000001</v>
      </c>
      <c r="D352">
        <v>-19.099853499999998</v>
      </c>
      <c r="E352">
        <v>164.38028324999999</v>
      </c>
      <c r="F352">
        <v>5.7497682499999998</v>
      </c>
      <c r="G352">
        <v>259.08776074999997</v>
      </c>
      <c r="H352">
        <v>16</v>
      </c>
      <c r="I352">
        <v>-24</v>
      </c>
      <c r="J352">
        <v>1.18</v>
      </c>
      <c r="K352">
        <v>20.721637999999999</v>
      </c>
      <c r="L352">
        <v>1.411888842235806</v>
      </c>
      <c r="M352">
        <v>1.025680486130365</v>
      </c>
      <c r="N352">
        <v>-0.48429628265127672</v>
      </c>
      <c r="O352">
        <v>-0.18881090752872559</v>
      </c>
    </row>
    <row r="353" spans="1:15" x14ac:dyDescent="0.25">
      <c r="A353">
        <v>218.097004</v>
      </c>
      <c r="B353">
        <v>190.040592</v>
      </c>
      <c r="C353">
        <v>-3.5180340000000001</v>
      </c>
      <c r="D353">
        <v>12.4881055</v>
      </c>
      <c r="E353">
        <v>184.67634200000001</v>
      </c>
      <c r="F353">
        <v>5.5061355000000001</v>
      </c>
      <c r="G353">
        <v>252.71091075000001</v>
      </c>
      <c r="H353">
        <v>16</v>
      </c>
      <c r="I353">
        <v>-20</v>
      </c>
      <c r="J353">
        <v>1.18</v>
      </c>
      <c r="K353">
        <v>20.469271249999998</v>
      </c>
      <c r="L353">
        <v>1.2298970959108211</v>
      </c>
      <c r="M353">
        <v>0.98537531215727125</v>
      </c>
      <c r="N353">
        <v>-0.3775809079979382</v>
      </c>
      <c r="O353">
        <v>-5.6699938844372699E-3</v>
      </c>
    </row>
    <row r="354" spans="1:15" x14ac:dyDescent="0.25">
      <c r="A354">
        <v>200.81349975000001</v>
      </c>
      <c r="B354">
        <v>196.62853974999999</v>
      </c>
      <c r="C354">
        <v>31.703820749999998</v>
      </c>
      <c r="D354">
        <v>26.203121500000002</v>
      </c>
      <c r="E354">
        <v>197.99843625</v>
      </c>
      <c r="F354">
        <v>5.554862</v>
      </c>
      <c r="G354">
        <v>246.57787725</v>
      </c>
      <c r="H354">
        <v>16</v>
      </c>
      <c r="I354">
        <v>-16</v>
      </c>
      <c r="J354">
        <v>1.18</v>
      </c>
      <c r="K354">
        <v>20.211713</v>
      </c>
      <c r="L354">
        <v>1.0003856135418761</v>
      </c>
      <c r="M354">
        <v>1.008167328528135</v>
      </c>
      <c r="N354">
        <v>-0.28737608303074691</v>
      </c>
      <c r="O354">
        <v>0.1384162093269008</v>
      </c>
    </row>
    <row r="355" spans="1:15" x14ac:dyDescent="0.25">
      <c r="A355">
        <v>183.89101400000001</v>
      </c>
      <c r="B355">
        <v>202.1104775</v>
      </c>
      <c r="C355">
        <v>60.652740250000001</v>
      </c>
      <c r="D355">
        <v>33.564537000000001</v>
      </c>
      <c r="E355">
        <v>208.19117374999999</v>
      </c>
      <c r="F355">
        <v>5.1650495000000003</v>
      </c>
      <c r="G355">
        <v>243.16238025000001</v>
      </c>
      <c r="H355">
        <v>16</v>
      </c>
      <c r="I355">
        <v>-12</v>
      </c>
      <c r="J355">
        <v>1.18</v>
      </c>
      <c r="K355">
        <v>20.084449500000002</v>
      </c>
      <c r="L355">
        <v>0.76507995907077719</v>
      </c>
      <c r="M355">
        <v>1.0463407203248321</v>
      </c>
      <c r="N355">
        <v>-0.21711602184512269</v>
      </c>
      <c r="O355">
        <v>0.26039404680133638</v>
      </c>
    </row>
    <row r="356" spans="1:15" x14ac:dyDescent="0.25">
      <c r="A356">
        <v>164.2609405</v>
      </c>
      <c r="B356">
        <v>204.17822624999999</v>
      </c>
      <c r="C356">
        <v>81.2015095</v>
      </c>
      <c r="D356">
        <v>34.221807499999997</v>
      </c>
      <c r="E356">
        <v>213.10873025000001</v>
      </c>
      <c r="F356">
        <v>5.2137762499999996</v>
      </c>
      <c r="G356">
        <v>239.32102950000001</v>
      </c>
      <c r="H356">
        <v>16</v>
      </c>
      <c r="I356">
        <v>-8</v>
      </c>
      <c r="J356">
        <v>1.18</v>
      </c>
      <c r="K356">
        <v>19.919630000000002</v>
      </c>
      <c r="L356">
        <v>0.53450678301631993</v>
      </c>
      <c r="M356">
        <v>1.0936875548099809</v>
      </c>
      <c r="N356">
        <v>-0.16867945407548871</v>
      </c>
      <c r="O356">
        <v>0.33783400075993703</v>
      </c>
    </row>
    <row r="357" spans="1:15" x14ac:dyDescent="0.25">
      <c r="A357">
        <v>144.08933250000001</v>
      </c>
      <c r="B357">
        <v>205.0438</v>
      </c>
      <c r="C357">
        <v>100.305086</v>
      </c>
      <c r="D357">
        <v>33.126356000000001</v>
      </c>
      <c r="E357">
        <v>215.92513650000001</v>
      </c>
      <c r="F357">
        <v>4.7265107500000001</v>
      </c>
      <c r="G357">
        <v>236.46635424999999</v>
      </c>
      <c r="H357">
        <v>16</v>
      </c>
      <c r="I357">
        <v>-4</v>
      </c>
      <c r="J357">
        <v>1.18</v>
      </c>
      <c r="K357">
        <v>19.818660000000001</v>
      </c>
      <c r="L357">
        <v>0.29344424836813032</v>
      </c>
      <c r="M357">
        <v>1.152177134113727</v>
      </c>
      <c r="N357">
        <v>-0.13766569406037851</v>
      </c>
      <c r="O357">
        <v>0.4154708383591012</v>
      </c>
    </row>
    <row r="358" spans="1:15" x14ac:dyDescent="0.25">
      <c r="A358">
        <v>124.41412175000001</v>
      </c>
      <c r="B358">
        <v>205.52466575</v>
      </c>
      <c r="C358">
        <v>118.144119</v>
      </c>
      <c r="D358">
        <v>33.389265000000002</v>
      </c>
      <c r="E358">
        <v>216.0145455</v>
      </c>
      <c r="F358">
        <v>5.2137760000000002</v>
      </c>
      <c r="G358">
        <v>235.70614599999999</v>
      </c>
      <c r="H358">
        <v>16</v>
      </c>
      <c r="I358">
        <v>0</v>
      </c>
      <c r="J358">
        <v>1.18</v>
      </c>
      <c r="K358">
        <v>19.765245749999998</v>
      </c>
      <c r="L358">
        <v>4.4691750564152199E-2</v>
      </c>
      <c r="M358">
        <v>1.227370647490162</v>
      </c>
      <c r="N358">
        <v>-0.14040826059168129</v>
      </c>
      <c r="O358">
        <v>0.50308210602022285</v>
      </c>
    </row>
    <row r="359" spans="1:15" x14ac:dyDescent="0.25">
      <c r="A359">
        <v>100.67751675</v>
      </c>
      <c r="B359">
        <v>200.37933749999999</v>
      </c>
      <c r="C359">
        <v>135.21540825</v>
      </c>
      <c r="D359">
        <v>35.0981655</v>
      </c>
      <c r="E359">
        <v>212.30403525</v>
      </c>
      <c r="F359">
        <v>4.8239642500000004</v>
      </c>
      <c r="G359">
        <v>231.998581</v>
      </c>
      <c r="H359">
        <v>16</v>
      </c>
      <c r="I359">
        <v>4</v>
      </c>
      <c r="J359">
        <v>1.18</v>
      </c>
      <c r="K359">
        <v>19.622478000000001</v>
      </c>
      <c r="L359">
        <v>-0.2391665162382596</v>
      </c>
      <c r="M359">
        <v>1.1445094218347009</v>
      </c>
      <c r="N359">
        <v>-0.1364083459288585</v>
      </c>
      <c r="O359">
        <v>0.43669316950850429</v>
      </c>
    </row>
    <row r="360" spans="1:15" x14ac:dyDescent="0.25">
      <c r="A360">
        <v>77.301921750000005</v>
      </c>
      <c r="B360">
        <v>198.26349999999999</v>
      </c>
      <c r="C360">
        <v>150.84150324999999</v>
      </c>
      <c r="D360">
        <v>33.739809000000001</v>
      </c>
      <c r="E360">
        <v>205.91121674999999</v>
      </c>
      <c r="F360">
        <v>4.9214167499999997</v>
      </c>
      <c r="G360">
        <v>230.651535</v>
      </c>
      <c r="H360">
        <v>16</v>
      </c>
      <c r="I360">
        <v>8</v>
      </c>
      <c r="J360">
        <v>1.18</v>
      </c>
      <c r="K360">
        <v>19.559994249999999</v>
      </c>
      <c r="L360">
        <v>-0.48899097085441601</v>
      </c>
      <c r="M360">
        <v>1.0939977244649</v>
      </c>
      <c r="N360">
        <v>-0.16453053571591711</v>
      </c>
      <c r="O360">
        <v>0.33646124099145452</v>
      </c>
    </row>
    <row r="361" spans="1:15" x14ac:dyDescent="0.25">
      <c r="A361">
        <v>52.61765475</v>
      </c>
      <c r="B361">
        <v>194.031826</v>
      </c>
      <c r="C361">
        <v>166.91922</v>
      </c>
      <c r="D361">
        <v>32.951085999999997</v>
      </c>
      <c r="E361">
        <v>197.90902725000001</v>
      </c>
      <c r="F361">
        <v>4.9701434999999998</v>
      </c>
      <c r="G361">
        <v>230.17129524999999</v>
      </c>
      <c r="H361">
        <v>16</v>
      </c>
      <c r="I361">
        <v>12</v>
      </c>
      <c r="J361">
        <v>1.18</v>
      </c>
      <c r="K361">
        <v>19.537055500000001</v>
      </c>
      <c r="L361">
        <v>-0.73682881036323822</v>
      </c>
      <c r="M361">
        <v>1.0384057574253629</v>
      </c>
      <c r="N361">
        <v>-0.20797328976297191</v>
      </c>
      <c r="O361">
        <v>0.2437742494513519</v>
      </c>
    </row>
    <row r="362" spans="1:15" x14ac:dyDescent="0.25">
      <c r="A362">
        <v>26.3990835</v>
      </c>
      <c r="B362">
        <v>184.99142850000001</v>
      </c>
      <c r="C362">
        <v>178.11941525</v>
      </c>
      <c r="D362">
        <v>31.768001000000002</v>
      </c>
      <c r="E362">
        <v>182.21757099999999</v>
      </c>
      <c r="F362">
        <v>4.8239642500000004</v>
      </c>
      <c r="G362">
        <v>226.79683700000001</v>
      </c>
      <c r="H362">
        <v>16</v>
      </c>
      <c r="I362">
        <v>16</v>
      </c>
      <c r="J362">
        <v>1.18</v>
      </c>
      <c r="K362">
        <v>19.396522999999998</v>
      </c>
      <c r="L362">
        <v>-0.99077732616314562</v>
      </c>
      <c r="M362">
        <v>1.000573945335905</v>
      </c>
      <c r="N362">
        <v>-0.29112225176836493</v>
      </c>
      <c r="O362">
        <v>0.15843337546614139</v>
      </c>
    </row>
    <row r="363" spans="1:15" x14ac:dyDescent="0.25">
      <c r="A363">
        <v>-2.9286279999999998</v>
      </c>
      <c r="B363">
        <v>175.03738375</v>
      </c>
      <c r="C363">
        <v>189.04866050000001</v>
      </c>
      <c r="D363">
        <v>13.057737749999999</v>
      </c>
      <c r="E363">
        <v>162.86030975</v>
      </c>
      <c r="F363">
        <v>4.9214172499999993</v>
      </c>
      <c r="G363">
        <v>226.07656449999999</v>
      </c>
      <c r="H363">
        <v>16</v>
      </c>
      <c r="I363">
        <v>20</v>
      </c>
      <c r="J363">
        <v>1.18</v>
      </c>
      <c r="K363">
        <v>19.3607625</v>
      </c>
      <c r="L363">
        <v>-1.216624689115372</v>
      </c>
      <c r="M363">
        <v>1.0265194113262399</v>
      </c>
      <c r="N363">
        <v>-0.40062561009546449</v>
      </c>
      <c r="O363">
        <v>9.0552013750169063E-4</v>
      </c>
    </row>
    <row r="364" spans="1:15" x14ac:dyDescent="0.25">
      <c r="A364">
        <v>-32.259957249999999</v>
      </c>
      <c r="B364">
        <v>163.54454425</v>
      </c>
      <c r="C364">
        <v>197.22301100000001</v>
      </c>
      <c r="D364">
        <v>-11.276344</v>
      </c>
      <c r="E364">
        <v>138.809021</v>
      </c>
      <c r="F364">
        <v>4.5316045000000003</v>
      </c>
      <c r="G364">
        <v>224.39600375000001</v>
      </c>
      <c r="H364">
        <v>16</v>
      </c>
      <c r="I364">
        <v>24</v>
      </c>
      <c r="J364">
        <v>1.18</v>
      </c>
      <c r="K364">
        <v>19.304180250000002</v>
      </c>
      <c r="L364">
        <v>-1.4291214531755121</v>
      </c>
      <c r="M364">
        <v>1.088705639607505</v>
      </c>
      <c r="N364">
        <v>-0.53300494194814962</v>
      </c>
      <c r="O364">
        <v>-0.1637851765369896</v>
      </c>
    </row>
    <row r="365" spans="1:15" x14ac:dyDescent="0.25">
      <c r="A365">
        <v>-65.556194250000004</v>
      </c>
      <c r="B365">
        <v>149.02220925</v>
      </c>
      <c r="C365">
        <v>200.88113749999999</v>
      </c>
      <c r="D365">
        <v>-46.766232500000001</v>
      </c>
      <c r="E365">
        <v>106.666134</v>
      </c>
      <c r="F365">
        <v>4.7265107500000001</v>
      </c>
      <c r="G365">
        <v>222.59538649999999</v>
      </c>
      <c r="H365">
        <v>16</v>
      </c>
      <c r="I365">
        <v>28</v>
      </c>
      <c r="J365">
        <v>1.18</v>
      </c>
      <c r="K365">
        <v>19.216379249999999</v>
      </c>
      <c r="L365">
        <v>-1.6363231936750571</v>
      </c>
      <c r="M365">
        <v>1.202428229422476</v>
      </c>
      <c r="N365">
        <v>-0.71198052057012462</v>
      </c>
      <c r="O365">
        <v>-0.37394279775247141</v>
      </c>
    </row>
    <row r="366" spans="1:15" x14ac:dyDescent="0.25">
      <c r="A366">
        <v>-96.869976250000008</v>
      </c>
      <c r="B366">
        <v>134.49987425</v>
      </c>
      <c r="C366">
        <v>203.455376</v>
      </c>
      <c r="D366">
        <v>-83.392495999999994</v>
      </c>
      <c r="E366">
        <v>72.109172749999999</v>
      </c>
      <c r="F366">
        <v>4.8239642500000004</v>
      </c>
      <c r="G366">
        <v>222.0623205</v>
      </c>
      <c r="H366">
        <v>16</v>
      </c>
      <c r="I366">
        <v>32</v>
      </c>
      <c r="J366">
        <v>1.18</v>
      </c>
      <c r="K366">
        <v>19.188551749999998</v>
      </c>
      <c r="L366">
        <v>-1.8511195298310921</v>
      </c>
      <c r="M366">
        <v>1.343021809144074</v>
      </c>
      <c r="N366">
        <v>-0.92426985566489883</v>
      </c>
      <c r="O366">
        <v>-0.58527697172323323</v>
      </c>
    </row>
    <row r="367" spans="1:15" x14ac:dyDescent="0.25">
      <c r="A367">
        <v>-128.27388024999999</v>
      </c>
      <c r="B367">
        <v>115.36117575</v>
      </c>
      <c r="C367">
        <v>203.18440225000001</v>
      </c>
      <c r="D367">
        <v>-118.27049649999999</v>
      </c>
      <c r="E367">
        <v>31.874682249999999</v>
      </c>
      <c r="F367">
        <v>4.4828780000000004</v>
      </c>
      <c r="G367">
        <v>220.03451525</v>
      </c>
      <c r="H367">
        <v>16</v>
      </c>
      <c r="I367">
        <v>36</v>
      </c>
      <c r="J367">
        <v>1.18</v>
      </c>
      <c r="K367">
        <v>19.113912500000001</v>
      </c>
      <c r="L367">
        <v>-2.136428061761634</v>
      </c>
      <c r="M367">
        <v>1.505892176457412</v>
      </c>
      <c r="N367">
        <v>-1.2128026833740659</v>
      </c>
      <c r="O367">
        <v>-0.82345610987296558</v>
      </c>
    </row>
    <row r="368" spans="1:15" x14ac:dyDescent="0.25">
      <c r="A368">
        <v>-159.31732575000001</v>
      </c>
      <c r="B368">
        <v>94.876022500000005</v>
      </c>
      <c r="C368">
        <v>200.20370475000001</v>
      </c>
      <c r="D368">
        <v>-152.27434925</v>
      </c>
      <c r="E368">
        <v>-11.77461525</v>
      </c>
      <c r="F368">
        <v>4.5803310000000002</v>
      </c>
      <c r="G368">
        <v>218.98145675000001</v>
      </c>
      <c r="H368">
        <v>16</v>
      </c>
      <c r="I368">
        <v>40</v>
      </c>
      <c r="J368">
        <v>1.18</v>
      </c>
      <c r="K368">
        <v>19.062834250000002</v>
      </c>
      <c r="L368">
        <v>-2.4963545838463941</v>
      </c>
      <c r="M368">
        <v>1.716090460567212</v>
      </c>
      <c r="N368">
        <v>-1.602303617659945</v>
      </c>
      <c r="O368">
        <v>-1.1135835377565571</v>
      </c>
    </row>
    <row r="369" spans="1:15" x14ac:dyDescent="0.25">
      <c r="A369">
        <v>-191.08166499999999</v>
      </c>
      <c r="B369">
        <v>73.429134250000004</v>
      </c>
      <c r="C369">
        <v>195.77781675</v>
      </c>
      <c r="D369">
        <v>-187.23976124999999</v>
      </c>
      <c r="E369">
        <v>-60.835508249999997</v>
      </c>
      <c r="F369">
        <v>4.5316045000000003</v>
      </c>
      <c r="G369">
        <v>218.83410624999999</v>
      </c>
      <c r="H369">
        <v>16</v>
      </c>
      <c r="I369">
        <v>44</v>
      </c>
      <c r="J369">
        <v>1.18</v>
      </c>
      <c r="K369">
        <v>19.058449249999999</v>
      </c>
      <c r="L369">
        <v>-3.0149135896212522</v>
      </c>
      <c r="M369">
        <v>2.0313682069844439</v>
      </c>
      <c r="N369">
        <v>-2.179592480775534</v>
      </c>
      <c r="O369">
        <v>-1.509487882014465</v>
      </c>
    </row>
    <row r="370" spans="1:15" x14ac:dyDescent="0.25">
      <c r="A370">
        <v>189.3513375</v>
      </c>
      <c r="B370">
        <v>74.342788999999996</v>
      </c>
      <c r="C370">
        <v>-216.46351250000001</v>
      </c>
      <c r="D370">
        <v>-203.58608624999999</v>
      </c>
      <c r="E370">
        <v>-38.178297999999998</v>
      </c>
      <c r="F370">
        <v>4.8239642500000004</v>
      </c>
      <c r="G370">
        <v>216.08572000000001</v>
      </c>
      <c r="H370">
        <v>20</v>
      </c>
      <c r="I370">
        <v>-44</v>
      </c>
      <c r="J370">
        <v>1.18</v>
      </c>
      <c r="K370">
        <v>18.922755250000002</v>
      </c>
      <c r="L370">
        <v>2.3615117772019958</v>
      </c>
      <c r="M370">
        <v>1.6173240432588529</v>
      </c>
      <c r="N370">
        <v>-1.479625530190849</v>
      </c>
      <c r="O370">
        <v>-1.2502487673835361</v>
      </c>
    </row>
    <row r="371" spans="1:15" x14ac:dyDescent="0.25">
      <c r="A371">
        <v>193.0968475</v>
      </c>
      <c r="B371">
        <v>96.607158499999997</v>
      </c>
      <c r="C371">
        <v>-183.5482255</v>
      </c>
      <c r="D371">
        <v>-170.01929475</v>
      </c>
      <c r="E371">
        <v>0.89442850000000007</v>
      </c>
      <c r="F371">
        <v>4.6777842500000002</v>
      </c>
      <c r="G371">
        <v>215.64557249999999</v>
      </c>
      <c r="H371">
        <v>20</v>
      </c>
      <c r="I371">
        <v>-40</v>
      </c>
      <c r="J371">
        <v>1.18</v>
      </c>
      <c r="K371">
        <v>18.909585</v>
      </c>
      <c r="L371">
        <v>2.1198180387458789</v>
      </c>
      <c r="M371">
        <v>1.500623394606722</v>
      </c>
      <c r="N371">
        <v>-1.2086654355430571</v>
      </c>
      <c r="O371">
        <v>-1.0212973842948421</v>
      </c>
    </row>
    <row r="372" spans="1:15" x14ac:dyDescent="0.25">
      <c r="A372">
        <v>193.54811475</v>
      </c>
      <c r="B372">
        <v>116.178652</v>
      </c>
      <c r="C372">
        <v>-151.46583949999999</v>
      </c>
      <c r="D372">
        <v>-137.98224250000001</v>
      </c>
      <c r="E372">
        <v>35.808720749999999</v>
      </c>
      <c r="F372">
        <v>4.7265107500000001</v>
      </c>
      <c r="G372">
        <v>213.83241275</v>
      </c>
      <c r="H372">
        <v>20</v>
      </c>
      <c r="I372">
        <v>-36</v>
      </c>
      <c r="J372">
        <v>1.18</v>
      </c>
      <c r="K372">
        <v>18.825956000000001</v>
      </c>
      <c r="L372">
        <v>1.911086443735964</v>
      </c>
      <c r="M372">
        <v>1.407829930629513</v>
      </c>
      <c r="N372">
        <v>-0.98610384741372992</v>
      </c>
      <c r="O372">
        <v>-0.8278105491872837</v>
      </c>
    </row>
    <row r="373" spans="1:15" x14ac:dyDescent="0.25">
      <c r="A373">
        <v>191.652794</v>
      </c>
      <c r="B373">
        <v>131.90316375</v>
      </c>
      <c r="C373">
        <v>-115.9749125</v>
      </c>
      <c r="D373">
        <v>-102.79829975</v>
      </c>
      <c r="E373">
        <v>67.638675750000004</v>
      </c>
      <c r="F373">
        <v>4.5316045000000003</v>
      </c>
      <c r="G373">
        <v>212.81679875</v>
      </c>
      <c r="H373">
        <v>20</v>
      </c>
      <c r="I373">
        <v>-32</v>
      </c>
      <c r="J373">
        <v>1.18</v>
      </c>
      <c r="K373">
        <v>18.78897675</v>
      </c>
      <c r="L373">
        <v>1.7377639165084899</v>
      </c>
      <c r="M373">
        <v>1.3257956285251751</v>
      </c>
      <c r="N373">
        <v>-0.82010244088165374</v>
      </c>
      <c r="O373">
        <v>-0.64350635507022624</v>
      </c>
    </row>
    <row r="374" spans="1:15" x14ac:dyDescent="0.25">
      <c r="A374">
        <v>188.90007399999999</v>
      </c>
      <c r="B374">
        <v>148.49324799999999</v>
      </c>
      <c r="C374">
        <v>-81.004984000000007</v>
      </c>
      <c r="D374">
        <v>-69.799692249999993</v>
      </c>
      <c r="E374">
        <v>96.696918499999995</v>
      </c>
      <c r="F374">
        <v>4.4828780000000004</v>
      </c>
      <c r="G374">
        <v>212.85974100000001</v>
      </c>
      <c r="H374">
        <v>20</v>
      </c>
      <c r="I374">
        <v>-28</v>
      </c>
      <c r="J374">
        <v>1.18</v>
      </c>
      <c r="K374">
        <v>18.793113999999999</v>
      </c>
      <c r="L374">
        <v>1.56831331104363</v>
      </c>
      <c r="M374">
        <v>1.2684204627974549</v>
      </c>
      <c r="N374">
        <v>-0.67498151510161364</v>
      </c>
      <c r="O374">
        <v>-0.46418568510389657</v>
      </c>
    </row>
    <row r="375" spans="1:15" x14ac:dyDescent="0.25">
      <c r="A375">
        <v>181.09316625</v>
      </c>
      <c r="B375">
        <v>159.40904599999999</v>
      </c>
      <c r="C375">
        <v>-46.726703499999999</v>
      </c>
      <c r="D375">
        <v>-39.860565000000001</v>
      </c>
      <c r="E375">
        <v>119.2282335</v>
      </c>
      <c r="F375">
        <v>4.5803310000000002</v>
      </c>
      <c r="G375">
        <v>210.73913949999999</v>
      </c>
      <c r="H375">
        <v>20</v>
      </c>
      <c r="I375">
        <v>-24</v>
      </c>
      <c r="J375">
        <v>1.18</v>
      </c>
      <c r="K375">
        <v>18.692820749999999</v>
      </c>
      <c r="L375">
        <v>1.4017778802006171</v>
      </c>
      <c r="M375">
        <v>1.226110815250727</v>
      </c>
      <c r="N375">
        <v>-0.56307341612351069</v>
      </c>
      <c r="O375">
        <v>-0.29457133033817151</v>
      </c>
    </row>
    <row r="376" spans="1:15" x14ac:dyDescent="0.25">
      <c r="A376">
        <v>173.827778</v>
      </c>
      <c r="B376">
        <v>170.8057135</v>
      </c>
      <c r="C376">
        <v>-13.350487749999999</v>
      </c>
      <c r="D376">
        <v>-15.952966249999999</v>
      </c>
      <c r="E376">
        <v>139.79253775000001</v>
      </c>
      <c r="F376">
        <v>4.5803310000000002</v>
      </c>
      <c r="G376">
        <v>212.16415025000001</v>
      </c>
      <c r="H376">
        <v>20</v>
      </c>
      <c r="I376">
        <v>-20</v>
      </c>
      <c r="J376">
        <v>1.18</v>
      </c>
      <c r="K376">
        <v>18.757275</v>
      </c>
      <c r="L376">
        <v>1.211949651356593</v>
      </c>
      <c r="M376">
        <v>1.2091799137865049</v>
      </c>
      <c r="N376">
        <v>-0.4685859066874356</v>
      </c>
      <c r="O376">
        <v>-0.12449619153407</v>
      </c>
    </row>
    <row r="377" spans="1:15" x14ac:dyDescent="0.25">
      <c r="A377">
        <v>187.68165174999999</v>
      </c>
      <c r="B377">
        <v>207.01536924999999</v>
      </c>
      <c r="C377">
        <v>17.56807525</v>
      </c>
      <c r="D377">
        <v>-6.5560139999999993</v>
      </c>
      <c r="E377">
        <v>177.21061725000001</v>
      </c>
      <c r="F377">
        <v>5.3112294999999996</v>
      </c>
      <c r="G377">
        <v>243.65668500000001</v>
      </c>
      <c r="H377">
        <v>20</v>
      </c>
      <c r="I377">
        <v>-16</v>
      </c>
      <c r="J377">
        <v>1.18</v>
      </c>
      <c r="K377">
        <v>20.099094999999998</v>
      </c>
      <c r="L377">
        <v>0.99071726700786622</v>
      </c>
      <c r="M377">
        <v>1.243828984568816</v>
      </c>
      <c r="N377">
        <v>-0.38695887465873963</v>
      </c>
      <c r="O377">
        <v>1.179613400259364E-3</v>
      </c>
    </row>
    <row r="378" spans="1:15" x14ac:dyDescent="0.25">
      <c r="A378">
        <v>191.652794</v>
      </c>
      <c r="B378">
        <v>239.32996750000001</v>
      </c>
      <c r="C378">
        <v>51.123532249999997</v>
      </c>
      <c r="D378">
        <v>-0.78617025000000007</v>
      </c>
      <c r="E378">
        <v>211.67816525000001</v>
      </c>
      <c r="F378">
        <v>6.1883067500000006</v>
      </c>
      <c r="G378">
        <v>270.6359405</v>
      </c>
      <c r="H378">
        <v>20</v>
      </c>
      <c r="I378">
        <v>-12</v>
      </c>
      <c r="J378">
        <v>1.18</v>
      </c>
      <c r="K378">
        <v>21.17111925</v>
      </c>
      <c r="L378">
        <v>0.75347393544929542</v>
      </c>
      <c r="M378">
        <v>1.2874070827418149</v>
      </c>
      <c r="N378">
        <v>-0.31611788045956651</v>
      </c>
      <c r="O378">
        <v>0.1017896667195088</v>
      </c>
    </row>
    <row r="379" spans="1:15" x14ac:dyDescent="0.25">
      <c r="A379">
        <v>164.7122</v>
      </c>
      <c r="B379">
        <v>235.09828949999999</v>
      </c>
      <c r="C379">
        <v>71.717460499999987</v>
      </c>
      <c r="D379">
        <v>-0.96154899999999999</v>
      </c>
      <c r="E379">
        <v>212.12520599999999</v>
      </c>
      <c r="F379">
        <v>5.6035884999999999</v>
      </c>
      <c r="G379">
        <v>259.96804049999997</v>
      </c>
      <c r="H379">
        <v>20</v>
      </c>
      <c r="I379">
        <v>-8</v>
      </c>
      <c r="J379">
        <v>1.18</v>
      </c>
      <c r="K379">
        <v>20.763574500000001</v>
      </c>
      <c r="L379">
        <v>0.52615265814028123</v>
      </c>
      <c r="M379">
        <v>1.3355874800335801</v>
      </c>
      <c r="N379">
        <v>-0.27069397760739289</v>
      </c>
      <c r="O379">
        <v>0.16845049202589699</v>
      </c>
    </row>
    <row r="380" spans="1:15" x14ac:dyDescent="0.25">
      <c r="A380">
        <v>140.93046575</v>
      </c>
      <c r="B380">
        <v>232.45349874999999</v>
      </c>
      <c r="C380">
        <v>90.595230000000001</v>
      </c>
      <c r="D380">
        <v>-0.1746095</v>
      </c>
      <c r="E380">
        <v>212.57225775000001</v>
      </c>
      <c r="F380">
        <v>5.6035884999999999</v>
      </c>
      <c r="G380">
        <v>253.62064699999999</v>
      </c>
      <c r="H380">
        <v>20</v>
      </c>
      <c r="I380">
        <v>-4</v>
      </c>
      <c r="J380">
        <v>1.18</v>
      </c>
      <c r="K380">
        <v>20.502862499999999</v>
      </c>
      <c r="L380">
        <v>0.30076020128711578</v>
      </c>
      <c r="M380">
        <v>1.3899675185461251</v>
      </c>
      <c r="N380">
        <v>-0.24526589214264349</v>
      </c>
      <c r="O380">
        <v>0.23665277352557401</v>
      </c>
    </row>
    <row r="381" spans="1:15" x14ac:dyDescent="0.25">
      <c r="A381">
        <v>116.2913305</v>
      </c>
      <c r="B381">
        <v>227.16390999999999</v>
      </c>
      <c r="C381">
        <v>106.94392424999999</v>
      </c>
      <c r="D381">
        <v>1.84034425</v>
      </c>
      <c r="E381">
        <v>209.08526599999999</v>
      </c>
      <c r="F381">
        <v>5.3599560000000004</v>
      </c>
      <c r="G381">
        <v>247.34942225</v>
      </c>
      <c r="H381">
        <v>20</v>
      </c>
      <c r="I381">
        <v>0</v>
      </c>
      <c r="J381">
        <v>1.18</v>
      </c>
      <c r="K381">
        <v>20.252198750000002</v>
      </c>
      <c r="L381">
        <v>6.0416417069253103E-2</v>
      </c>
      <c r="M381">
        <v>1.4565926886525169</v>
      </c>
      <c r="N381">
        <v>-0.24736314450620131</v>
      </c>
      <c r="O381">
        <v>0.31698158059620851</v>
      </c>
    </row>
    <row r="382" spans="1:15" x14ac:dyDescent="0.25">
      <c r="A382">
        <v>91.832696999999996</v>
      </c>
      <c r="B382">
        <v>224.08632650000001</v>
      </c>
      <c r="C382">
        <v>125.5507125</v>
      </c>
      <c r="D382">
        <v>1.7527090000000001</v>
      </c>
      <c r="E382">
        <v>204.74888999999999</v>
      </c>
      <c r="F382">
        <v>5.2137762499999996</v>
      </c>
      <c r="G382">
        <v>244.33695975000001</v>
      </c>
      <c r="H382">
        <v>20</v>
      </c>
      <c r="I382">
        <v>4</v>
      </c>
      <c r="J382">
        <v>1.18</v>
      </c>
      <c r="K382">
        <v>20.131899499999999</v>
      </c>
      <c r="L382">
        <v>-0.2134696310629291</v>
      </c>
      <c r="M382">
        <v>1.407593312162454</v>
      </c>
      <c r="N382">
        <v>-0.25064603232157701</v>
      </c>
      <c r="O382">
        <v>0.26323199451174062</v>
      </c>
    </row>
    <row r="383" spans="1:15" x14ac:dyDescent="0.25">
      <c r="A383">
        <v>66.742292500000005</v>
      </c>
      <c r="B383">
        <v>218.36395300000001</v>
      </c>
      <c r="C383">
        <v>142.57683599999999</v>
      </c>
      <c r="D383">
        <v>2.0156162499999999</v>
      </c>
      <c r="E383">
        <v>197.46197900000001</v>
      </c>
      <c r="F383">
        <v>5.2625027499999986</v>
      </c>
      <c r="G383">
        <v>240.53545374999999</v>
      </c>
      <c r="H383">
        <v>20</v>
      </c>
      <c r="I383">
        <v>8</v>
      </c>
      <c r="J383">
        <v>1.18</v>
      </c>
      <c r="K383">
        <v>19.969166250000001</v>
      </c>
      <c r="L383">
        <v>-0.46500000484265158</v>
      </c>
      <c r="M383">
        <v>1.326614187094862</v>
      </c>
      <c r="N383">
        <v>-0.26412043847597688</v>
      </c>
      <c r="O383">
        <v>0.17854168716957999</v>
      </c>
    </row>
    <row r="384" spans="1:15" x14ac:dyDescent="0.25">
      <c r="A384">
        <v>42.419038</v>
      </c>
      <c r="B384">
        <v>213.45906074999999</v>
      </c>
      <c r="C384">
        <v>159.51263424999999</v>
      </c>
      <c r="D384">
        <v>1.139257</v>
      </c>
      <c r="E384">
        <v>187.2692375</v>
      </c>
      <c r="F384">
        <v>5.1163227500000001</v>
      </c>
      <c r="G384">
        <v>237.78673549999999</v>
      </c>
      <c r="H384">
        <v>20</v>
      </c>
      <c r="I384">
        <v>12</v>
      </c>
      <c r="J384">
        <v>1.18</v>
      </c>
      <c r="K384">
        <v>19.858410750000001</v>
      </c>
      <c r="L384">
        <v>-0.70755696425663384</v>
      </c>
      <c r="M384">
        <v>1.282966589247488</v>
      </c>
      <c r="N384">
        <v>-0.30525824084150721</v>
      </c>
      <c r="O384">
        <v>0.10068998968428899</v>
      </c>
    </row>
    <row r="385" spans="1:15" x14ac:dyDescent="0.25">
      <c r="A385">
        <v>16.155339000000001</v>
      </c>
      <c r="B385">
        <v>206.82302100000001</v>
      </c>
      <c r="C385">
        <v>173.28707875000001</v>
      </c>
      <c r="D385">
        <v>-0.13068025</v>
      </c>
      <c r="E385">
        <v>172.51659000000001</v>
      </c>
      <c r="F385">
        <v>4.9701434999999998</v>
      </c>
      <c r="G385">
        <v>236.92024599999999</v>
      </c>
      <c r="H385">
        <v>20</v>
      </c>
      <c r="I385">
        <v>16</v>
      </c>
      <c r="J385">
        <v>1.18</v>
      </c>
      <c r="K385">
        <v>19.827650500000001</v>
      </c>
      <c r="L385">
        <v>-0.95520052117066556</v>
      </c>
      <c r="M385">
        <v>1.258043440003298</v>
      </c>
      <c r="N385">
        <v>-0.39151302977909502</v>
      </c>
      <c r="O385">
        <v>1.849557194920726E-2</v>
      </c>
    </row>
    <row r="386" spans="1:15" x14ac:dyDescent="0.25">
      <c r="A386">
        <v>-11.354063249999999</v>
      </c>
      <c r="B386">
        <v>194.70504750000001</v>
      </c>
      <c r="C386">
        <v>182.90661249999999</v>
      </c>
      <c r="D386">
        <v>-17.264170249999999</v>
      </c>
      <c r="E386">
        <v>152.131111</v>
      </c>
      <c r="F386">
        <v>4.9701434999999998</v>
      </c>
      <c r="G386">
        <v>233.33262625</v>
      </c>
      <c r="H386">
        <v>20</v>
      </c>
      <c r="I386">
        <v>20</v>
      </c>
      <c r="J386">
        <v>1.18</v>
      </c>
      <c r="K386">
        <v>19.673705500000001</v>
      </c>
      <c r="L386">
        <v>-1.167145478841501</v>
      </c>
      <c r="M386">
        <v>1.273547475105149</v>
      </c>
      <c r="N386">
        <v>-0.48787094349778948</v>
      </c>
      <c r="O386">
        <v>-0.1158291544088185</v>
      </c>
    </row>
    <row r="387" spans="1:15" x14ac:dyDescent="0.25">
      <c r="A387">
        <v>-41.586505000000002</v>
      </c>
      <c r="B387">
        <v>183.50072850000001</v>
      </c>
      <c r="C387">
        <v>190.94547299999999</v>
      </c>
      <c r="D387">
        <v>-43.79417325</v>
      </c>
      <c r="E387">
        <v>126.73867799999999</v>
      </c>
      <c r="F387">
        <v>5.0188697500000004</v>
      </c>
      <c r="G387">
        <v>232.02510475</v>
      </c>
      <c r="H387">
        <v>20</v>
      </c>
      <c r="I387">
        <v>24</v>
      </c>
      <c r="J387">
        <v>1.18</v>
      </c>
      <c r="K387">
        <v>19.615203000000001</v>
      </c>
      <c r="L387">
        <v>-1.3724484042117111</v>
      </c>
      <c r="M387">
        <v>1.341538855718984</v>
      </c>
      <c r="N387">
        <v>-0.62142250654519826</v>
      </c>
      <c r="O387">
        <v>-0.28159005816896732</v>
      </c>
    </row>
    <row r="388" spans="1:15" x14ac:dyDescent="0.25">
      <c r="A388">
        <v>-75.693750499999993</v>
      </c>
      <c r="B388">
        <v>170.61335750000001</v>
      </c>
      <c r="C388">
        <v>196.36492150000001</v>
      </c>
      <c r="D388">
        <v>-77.666913999999991</v>
      </c>
      <c r="E388">
        <v>96.518100500000003</v>
      </c>
      <c r="F388">
        <v>5.1163227500000001</v>
      </c>
      <c r="G388">
        <v>231.464958</v>
      </c>
      <c r="H388">
        <v>20</v>
      </c>
      <c r="I388">
        <v>28</v>
      </c>
      <c r="J388">
        <v>1.18</v>
      </c>
      <c r="K388">
        <v>19.586770749999999</v>
      </c>
      <c r="L388">
        <v>-1.5707871644156151</v>
      </c>
      <c r="M388">
        <v>1.4334903223087001</v>
      </c>
      <c r="N388">
        <v>-0.7791429957033732</v>
      </c>
      <c r="O388">
        <v>-0.47226271654513691</v>
      </c>
    </row>
    <row r="389" spans="1:15" x14ac:dyDescent="0.25">
      <c r="A389">
        <v>-110.566946</v>
      </c>
      <c r="B389">
        <v>153.01344324999999</v>
      </c>
      <c r="C389">
        <v>197.99076475000001</v>
      </c>
      <c r="D389">
        <v>-114.20576275000001</v>
      </c>
      <c r="E389">
        <v>60.664698000000001</v>
      </c>
      <c r="F389">
        <v>4.6777842500000002</v>
      </c>
      <c r="G389">
        <v>228.27734375</v>
      </c>
      <c r="H389">
        <v>20</v>
      </c>
      <c r="I389">
        <v>32</v>
      </c>
      <c r="J389">
        <v>1.18</v>
      </c>
      <c r="K389">
        <v>19.467466999999999</v>
      </c>
      <c r="L389">
        <v>-1.7830556830156059</v>
      </c>
      <c r="M389">
        <v>1.544175027299602</v>
      </c>
      <c r="N389">
        <v>-0.96859336075549196</v>
      </c>
      <c r="O389">
        <v>-0.67648129388053557</v>
      </c>
    </row>
    <row r="390" spans="1:15" x14ac:dyDescent="0.25">
      <c r="A390">
        <v>-144.53902049999999</v>
      </c>
      <c r="B390">
        <v>135.36544025000001</v>
      </c>
      <c r="C390">
        <v>197.13267525000001</v>
      </c>
      <c r="D390">
        <v>-152.27434925</v>
      </c>
      <c r="E390">
        <v>21.592533</v>
      </c>
      <c r="F390">
        <v>4.8239642500000004</v>
      </c>
      <c r="G390">
        <v>226.83685675000001</v>
      </c>
      <c r="H390">
        <v>20</v>
      </c>
      <c r="I390">
        <v>36</v>
      </c>
      <c r="J390">
        <v>1.18</v>
      </c>
      <c r="K390">
        <v>19.398270749999998</v>
      </c>
      <c r="L390">
        <v>-2.0098521125509219</v>
      </c>
      <c r="M390">
        <v>1.6920043790840911</v>
      </c>
      <c r="N390">
        <v>-1.2073411806954719</v>
      </c>
      <c r="O390">
        <v>-0.90135832529869353</v>
      </c>
    </row>
    <row r="391" spans="1:15" x14ac:dyDescent="0.25">
      <c r="A391">
        <v>-176.48358924999999</v>
      </c>
      <c r="B391">
        <v>115.31308575</v>
      </c>
      <c r="C391">
        <v>194.3777925</v>
      </c>
      <c r="D391">
        <v>-187.50200275</v>
      </c>
      <c r="E391">
        <v>-21.31918975</v>
      </c>
      <c r="F391">
        <v>4.8726909999999997</v>
      </c>
      <c r="G391">
        <v>225.14318474999999</v>
      </c>
      <c r="H391">
        <v>20</v>
      </c>
      <c r="I391">
        <v>40</v>
      </c>
      <c r="J391">
        <v>1.18</v>
      </c>
      <c r="K391">
        <v>19.321998499999999</v>
      </c>
      <c r="L391">
        <v>-2.308199734888936</v>
      </c>
      <c r="M391">
        <v>1.8846727318967751</v>
      </c>
      <c r="N391">
        <v>-1.5339620754703269</v>
      </c>
      <c r="O391">
        <v>-1.16302200133068</v>
      </c>
    </row>
    <row r="392" spans="1:15" x14ac:dyDescent="0.25">
      <c r="A392">
        <v>-206.26548</v>
      </c>
      <c r="B392">
        <v>91.846530999999999</v>
      </c>
      <c r="C392">
        <v>186.92603675000001</v>
      </c>
      <c r="D392">
        <v>-218.3589705</v>
      </c>
      <c r="E392">
        <v>-67.258026000000001</v>
      </c>
      <c r="F392">
        <v>4.6290577500000003</v>
      </c>
      <c r="G392">
        <v>222.79547500000001</v>
      </c>
      <c r="H392">
        <v>20</v>
      </c>
      <c r="I392">
        <v>44</v>
      </c>
      <c r="J392">
        <v>1.18</v>
      </c>
      <c r="K392">
        <v>19.229492</v>
      </c>
      <c r="L392">
        <v>-2.710696825941072</v>
      </c>
      <c r="M392">
        <v>2.1385924093710522</v>
      </c>
      <c r="N392">
        <v>-1.9996752883054549</v>
      </c>
      <c r="O392">
        <v>-1.495603763903417</v>
      </c>
    </row>
    <row r="393" spans="1:15" x14ac:dyDescent="0.25">
      <c r="A393">
        <v>181.04803849999999</v>
      </c>
      <c r="B393">
        <v>92.038879500000007</v>
      </c>
      <c r="C393">
        <v>-235.42337800000001</v>
      </c>
      <c r="D393">
        <v>-240.47459050000001</v>
      </c>
      <c r="E393">
        <v>-53.699381000000002</v>
      </c>
      <c r="F393">
        <v>4.5316045000000003</v>
      </c>
      <c r="G393">
        <v>222.31532275000001</v>
      </c>
      <c r="H393">
        <v>24</v>
      </c>
      <c r="I393">
        <v>-44</v>
      </c>
      <c r="J393">
        <v>1.18</v>
      </c>
      <c r="K393">
        <v>19.212619499999999</v>
      </c>
      <c r="L393">
        <v>2.260383526055838</v>
      </c>
      <c r="M393">
        <v>1.804706936366228</v>
      </c>
      <c r="N393">
        <v>-1.4980804296117409</v>
      </c>
      <c r="O393">
        <v>-1.316058585732635</v>
      </c>
    </row>
    <row r="394" spans="1:15" x14ac:dyDescent="0.25">
      <c r="A394">
        <v>184.56791674999999</v>
      </c>
      <c r="B394">
        <v>112.37976875</v>
      </c>
      <c r="C394">
        <v>-205.03348149999999</v>
      </c>
      <c r="D394">
        <v>-207.30115499999999</v>
      </c>
      <c r="E394">
        <v>-15.78868825</v>
      </c>
      <c r="F394">
        <v>4.6290575</v>
      </c>
      <c r="G394">
        <v>219.807232</v>
      </c>
      <c r="H394">
        <v>24</v>
      </c>
      <c r="I394">
        <v>-40</v>
      </c>
      <c r="J394">
        <v>1.18</v>
      </c>
      <c r="K394">
        <v>19.097348749999998</v>
      </c>
      <c r="L394">
        <v>2.0464521444966168</v>
      </c>
      <c r="M394">
        <v>1.679188595624187</v>
      </c>
      <c r="N394">
        <v>-1.2375164635326139</v>
      </c>
      <c r="O394">
        <v>-1.1072447058352051</v>
      </c>
    </row>
    <row r="395" spans="1:15" x14ac:dyDescent="0.25">
      <c r="A395">
        <v>185.24481549999999</v>
      </c>
      <c r="B395">
        <v>132.28786450000001</v>
      </c>
      <c r="C395">
        <v>-174.4811325</v>
      </c>
      <c r="D395">
        <v>-174.87075024999999</v>
      </c>
      <c r="E395">
        <v>18.686708750000001</v>
      </c>
      <c r="F395">
        <v>4.6290577500000003</v>
      </c>
      <c r="G395">
        <v>219.0342215</v>
      </c>
      <c r="H395">
        <v>24</v>
      </c>
      <c r="I395">
        <v>-36</v>
      </c>
      <c r="J395">
        <v>1.18</v>
      </c>
      <c r="K395">
        <v>19.063015</v>
      </c>
      <c r="L395">
        <v>1.8603672079777229</v>
      </c>
      <c r="M395">
        <v>1.588520253679182</v>
      </c>
      <c r="N395">
        <v>-1.0361437203441539</v>
      </c>
      <c r="O395">
        <v>-0.9272929205101389</v>
      </c>
    </row>
    <row r="396" spans="1:15" x14ac:dyDescent="0.25">
      <c r="A396">
        <v>184.11665350000001</v>
      </c>
      <c r="B396">
        <v>149.11838175</v>
      </c>
      <c r="C396">
        <v>-140.02721775000001</v>
      </c>
      <c r="D396">
        <v>-138.68154525</v>
      </c>
      <c r="E396">
        <v>51.097828999999997</v>
      </c>
      <c r="F396">
        <v>4.8726905</v>
      </c>
      <c r="G396">
        <v>219.03419099999999</v>
      </c>
      <c r="H396">
        <v>24</v>
      </c>
      <c r="I396">
        <v>-32</v>
      </c>
      <c r="J396">
        <v>1.18</v>
      </c>
      <c r="K396">
        <v>19.052177</v>
      </c>
      <c r="L396">
        <v>1.7019742463899661</v>
      </c>
      <c r="M396">
        <v>1.511144364679597</v>
      </c>
      <c r="N396">
        <v>-0.88178855643394038</v>
      </c>
      <c r="O396">
        <v>-0.75729097348328656</v>
      </c>
    </row>
    <row r="397" spans="1:15" x14ac:dyDescent="0.25">
      <c r="A397">
        <v>179.06246200000001</v>
      </c>
      <c r="B397">
        <v>161.717232</v>
      </c>
      <c r="C397">
        <v>-105.464651</v>
      </c>
      <c r="D397">
        <v>-104.72139725</v>
      </c>
      <c r="E397">
        <v>77.429069499999997</v>
      </c>
      <c r="F397">
        <v>4.7752374999999994</v>
      </c>
      <c r="G397">
        <v>216.59338775000001</v>
      </c>
      <c r="H397">
        <v>24</v>
      </c>
      <c r="I397">
        <v>-28</v>
      </c>
      <c r="J397">
        <v>1.18</v>
      </c>
      <c r="K397">
        <v>18.947656500000001</v>
      </c>
      <c r="L397">
        <v>1.5588617316406581</v>
      </c>
      <c r="M397">
        <v>1.459756785388536</v>
      </c>
      <c r="N397">
        <v>-0.76245052650187861</v>
      </c>
      <c r="O397">
        <v>-0.60194268996979683</v>
      </c>
    </row>
    <row r="398" spans="1:15" x14ac:dyDescent="0.25">
      <c r="A398">
        <v>172.97037125</v>
      </c>
      <c r="B398">
        <v>174.07563775</v>
      </c>
      <c r="C398">
        <v>-70.324764250000001</v>
      </c>
      <c r="D398">
        <v>-75.481571250000002</v>
      </c>
      <c r="E398">
        <v>100.541552</v>
      </c>
      <c r="F398">
        <v>4.7752374999999994</v>
      </c>
      <c r="G398">
        <v>215.98061749999999</v>
      </c>
      <c r="H398">
        <v>24</v>
      </c>
      <c r="I398">
        <v>-24</v>
      </c>
      <c r="J398">
        <v>1.18</v>
      </c>
      <c r="K398">
        <v>18.920231000000001</v>
      </c>
      <c r="L398">
        <v>1.402730220374478</v>
      </c>
      <c r="M398">
        <v>1.4388283522089911</v>
      </c>
      <c r="N398">
        <v>-0.6655707256452722</v>
      </c>
      <c r="O398">
        <v>-0.44785443036226019</v>
      </c>
    </row>
    <row r="399" spans="1:15" x14ac:dyDescent="0.25">
      <c r="A399">
        <v>163.22302225000001</v>
      </c>
      <c r="B399">
        <v>183.64499275</v>
      </c>
      <c r="C399">
        <v>-30.672046250000001</v>
      </c>
      <c r="D399">
        <v>-50.656132499999998</v>
      </c>
      <c r="E399">
        <v>121.1505585</v>
      </c>
      <c r="F399">
        <v>4.5803310000000002</v>
      </c>
      <c r="G399">
        <v>214.63270925</v>
      </c>
      <c r="H399">
        <v>24</v>
      </c>
      <c r="I399">
        <v>-20</v>
      </c>
      <c r="J399">
        <v>1.18</v>
      </c>
      <c r="K399">
        <v>18.868507999999999</v>
      </c>
      <c r="L399">
        <v>1.1982646841241029</v>
      </c>
      <c r="M399">
        <v>1.447958300538019</v>
      </c>
      <c r="N399">
        <v>-0.57771377778689925</v>
      </c>
      <c r="O399">
        <v>-0.27960552234738761</v>
      </c>
    </row>
    <row r="400" spans="1:15" x14ac:dyDescent="0.25">
      <c r="A400">
        <v>152.121872</v>
      </c>
      <c r="B400">
        <v>190.281025</v>
      </c>
      <c r="C400">
        <v>-3.0220544999999999</v>
      </c>
      <c r="D400">
        <v>-36.451436000000001</v>
      </c>
      <c r="E400">
        <v>135.63496749999999</v>
      </c>
      <c r="F400">
        <v>4.8239642500000004</v>
      </c>
      <c r="G400">
        <v>213.45990750000001</v>
      </c>
      <c r="H400">
        <v>24</v>
      </c>
      <c r="I400">
        <v>-16</v>
      </c>
      <c r="J400">
        <v>1.18</v>
      </c>
      <c r="K400">
        <v>18.80478475</v>
      </c>
      <c r="L400">
        <v>0.99852909269758905</v>
      </c>
      <c r="M400">
        <v>1.4592942013643599</v>
      </c>
      <c r="N400">
        <v>-0.50089905832638992</v>
      </c>
      <c r="O400">
        <v>-0.15807542321264689</v>
      </c>
    </row>
    <row r="401" spans="1:15" x14ac:dyDescent="0.25">
      <c r="A401">
        <v>138.76438525</v>
      </c>
      <c r="B401">
        <v>196.34000775000001</v>
      </c>
      <c r="C401">
        <v>21.316531000000001</v>
      </c>
      <c r="D401">
        <v>-29.851717000000001</v>
      </c>
      <c r="E401">
        <v>147.39237575000001</v>
      </c>
      <c r="F401">
        <v>4.6777839999999999</v>
      </c>
      <c r="G401">
        <v>213.48470649999999</v>
      </c>
      <c r="H401">
        <v>24</v>
      </c>
      <c r="I401">
        <v>-12</v>
      </c>
      <c r="J401">
        <v>1.18</v>
      </c>
      <c r="K401">
        <v>18.812497</v>
      </c>
      <c r="L401">
        <v>0.774418458270558</v>
      </c>
      <c r="M401">
        <v>1.491460035544385</v>
      </c>
      <c r="N401">
        <v>-0.43580695083988841</v>
      </c>
      <c r="O401">
        <v>-5.8977432725942747E-2</v>
      </c>
    </row>
    <row r="402" spans="1:15" x14ac:dyDescent="0.25">
      <c r="A402">
        <v>123.42133925</v>
      </c>
      <c r="B402">
        <v>198.50393650000001</v>
      </c>
      <c r="C402">
        <v>40.645919999999997</v>
      </c>
      <c r="D402">
        <v>-26.3114685</v>
      </c>
      <c r="E402">
        <v>154.18754200000001</v>
      </c>
      <c r="F402">
        <v>4.6290575</v>
      </c>
      <c r="G402">
        <v>211.35160475000001</v>
      </c>
      <c r="H402">
        <v>24</v>
      </c>
      <c r="I402">
        <v>-8</v>
      </c>
      <c r="J402">
        <v>1.18</v>
      </c>
      <c r="K402">
        <v>18.718361000000002</v>
      </c>
      <c r="L402">
        <v>0.56301585663291509</v>
      </c>
      <c r="M402">
        <v>1.5291417339210811</v>
      </c>
      <c r="N402">
        <v>-0.38881825130711117</v>
      </c>
      <c r="O402">
        <v>1.7272014808293511E-2</v>
      </c>
    </row>
    <row r="403" spans="1:15" x14ac:dyDescent="0.25">
      <c r="A403">
        <v>104.55840474999999</v>
      </c>
      <c r="B403">
        <v>200.13890075</v>
      </c>
      <c r="C403">
        <v>59.162391499999998</v>
      </c>
      <c r="D403">
        <v>-25.043973000000001</v>
      </c>
      <c r="E403">
        <v>158.61333825</v>
      </c>
      <c r="F403">
        <v>4.4828780000000004</v>
      </c>
      <c r="G403">
        <v>211.01921849999999</v>
      </c>
      <c r="H403">
        <v>24</v>
      </c>
      <c r="I403">
        <v>-4</v>
      </c>
      <c r="J403">
        <v>1.18</v>
      </c>
      <c r="K403">
        <v>18.709931000000001</v>
      </c>
      <c r="L403">
        <v>0.32069390890444183</v>
      </c>
      <c r="M403">
        <v>1.5908099272895451</v>
      </c>
      <c r="N403">
        <v>-0.37023446083940242</v>
      </c>
      <c r="O403">
        <v>8.8844348746610582E-2</v>
      </c>
    </row>
    <row r="404" spans="1:15" x14ac:dyDescent="0.25">
      <c r="A404">
        <v>97.383270249999995</v>
      </c>
      <c r="B404">
        <v>229.61635175000001</v>
      </c>
      <c r="C404">
        <v>85.040287000000006</v>
      </c>
      <c r="D404">
        <v>-29.239821500000001</v>
      </c>
      <c r="E404">
        <v>180.07173175</v>
      </c>
      <c r="F404">
        <v>5.1650495000000003</v>
      </c>
      <c r="G404">
        <v>239.68128575</v>
      </c>
      <c r="H404">
        <v>24</v>
      </c>
      <c r="I404">
        <v>0</v>
      </c>
      <c r="J404">
        <v>1.18</v>
      </c>
      <c r="K404">
        <v>19.9369525</v>
      </c>
      <c r="L404">
        <v>8.1106159429106567E-2</v>
      </c>
      <c r="M404">
        <v>1.7010701460899671</v>
      </c>
      <c r="N404">
        <v>-0.3917177832029089</v>
      </c>
      <c r="O404">
        <v>0.1494055209132043</v>
      </c>
    </row>
    <row r="405" spans="1:15" x14ac:dyDescent="0.25">
      <c r="A405">
        <v>82.085342249999997</v>
      </c>
      <c r="B405">
        <v>255.63152299999999</v>
      </c>
      <c r="C405">
        <v>117.91831375</v>
      </c>
      <c r="D405">
        <v>-33.654205249999997</v>
      </c>
      <c r="E405">
        <v>199.69722350000001</v>
      </c>
      <c r="F405">
        <v>5.9446744999999996</v>
      </c>
      <c r="G405">
        <v>267.94633499999998</v>
      </c>
      <c r="H405">
        <v>24</v>
      </c>
      <c r="I405">
        <v>4</v>
      </c>
      <c r="J405">
        <v>1.18</v>
      </c>
      <c r="K405">
        <v>21.072934</v>
      </c>
      <c r="L405">
        <v>-0.20420083198364089</v>
      </c>
      <c r="M405">
        <v>1.648546483473784</v>
      </c>
      <c r="N405">
        <v>-0.3889323685211804</v>
      </c>
      <c r="O405">
        <v>0.1041126742197684</v>
      </c>
    </row>
    <row r="406" spans="1:15" x14ac:dyDescent="0.25">
      <c r="A406">
        <v>52.707907749999997</v>
      </c>
      <c r="B406">
        <v>247.2643545</v>
      </c>
      <c r="C406">
        <v>137.20253750000001</v>
      </c>
      <c r="D406">
        <v>-34.572048250000002</v>
      </c>
      <c r="E406">
        <v>189.72801200000001</v>
      </c>
      <c r="F406">
        <v>5.7497680000000004</v>
      </c>
      <c r="G406">
        <v>260.52826675</v>
      </c>
      <c r="H406">
        <v>24</v>
      </c>
      <c r="I406">
        <v>8</v>
      </c>
      <c r="J406">
        <v>1.18</v>
      </c>
      <c r="K406">
        <v>20.780466749999999</v>
      </c>
      <c r="L406">
        <v>-0.46770215988626002</v>
      </c>
      <c r="M406">
        <v>1.560035447295578</v>
      </c>
      <c r="N406">
        <v>-0.39189746613767651</v>
      </c>
      <c r="O406">
        <v>1.8366987833477309E-2</v>
      </c>
    </row>
    <row r="407" spans="1:15" x14ac:dyDescent="0.25">
      <c r="A407">
        <v>22.969459499999999</v>
      </c>
      <c r="B407">
        <v>238.32012900000001</v>
      </c>
      <c r="C407">
        <v>152.87379475</v>
      </c>
      <c r="D407">
        <v>-37.107039499999999</v>
      </c>
      <c r="E407">
        <v>175.51181800000001</v>
      </c>
      <c r="F407">
        <v>5.6035884999999999</v>
      </c>
      <c r="G407">
        <v>254.34094225000001</v>
      </c>
      <c r="H407">
        <v>24</v>
      </c>
      <c r="I407">
        <v>12</v>
      </c>
      <c r="J407">
        <v>1.18</v>
      </c>
      <c r="K407">
        <v>20.532623999999998</v>
      </c>
      <c r="L407">
        <v>-0.71148939246546661</v>
      </c>
      <c r="M407">
        <v>1.5085212308331191</v>
      </c>
      <c r="N407">
        <v>-0.4317483236715085</v>
      </c>
      <c r="O407">
        <v>-6.9405176290403464E-2</v>
      </c>
    </row>
    <row r="408" spans="1:15" x14ac:dyDescent="0.25">
      <c r="A408">
        <v>-8.7408260000000002</v>
      </c>
      <c r="B408">
        <v>226.53877274999999</v>
      </c>
      <c r="C408">
        <v>165.29338100000001</v>
      </c>
      <c r="D408">
        <v>-41.477713250000001</v>
      </c>
      <c r="E408">
        <v>156.24396899999999</v>
      </c>
      <c r="F408">
        <v>5.5061355000000001</v>
      </c>
      <c r="G408">
        <v>247.80395125000001</v>
      </c>
      <c r="H408">
        <v>24</v>
      </c>
      <c r="I408">
        <v>16</v>
      </c>
      <c r="J408">
        <v>1.18</v>
      </c>
      <c r="K408">
        <v>20.265093499999999</v>
      </c>
      <c r="L408">
        <v>-0.95964351223855626</v>
      </c>
      <c r="M408">
        <v>1.477872016861868</v>
      </c>
      <c r="N408">
        <v>-0.50487581475985976</v>
      </c>
      <c r="O408">
        <v>-0.16881258011896139</v>
      </c>
    </row>
    <row r="409" spans="1:15" x14ac:dyDescent="0.25">
      <c r="A409">
        <v>-38.432597250000001</v>
      </c>
      <c r="B409">
        <v>215.23828125</v>
      </c>
      <c r="C409">
        <v>175.45486074999999</v>
      </c>
      <c r="D409">
        <v>-53.322245500000001</v>
      </c>
      <c r="E409">
        <v>135.81378950000001</v>
      </c>
      <c r="F409">
        <v>5.2137760000000002</v>
      </c>
      <c r="G409">
        <v>244.30856324999999</v>
      </c>
      <c r="H409">
        <v>24</v>
      </c>
      <c r="I409">
        <v>20</v>
      </c>
      <c r="J409">
        <v>1.18</v>
      </c>
      <c r="K409">
        <v>20.130707749999999</v>
      </c>
      <c r="L409">
        <v>-1.1772088914589831</v>
      </c>
      <c r="M409">
        <v>1.4781217498812449</v>
      </c>
      <c r="N409">
        <v>-0.59714686518852633</v>
      </c>
      <c r="O409">
        <v>-0.28120030794291317</v>
      </c>
    </row>
    <row r="410" spans="1:15" x14ac:dyDescent="0.25">
      <c r="A410">
        <v>-70.241995000000003</v>
      </c>
      <c r="B410">
        <v>202.49517424999999</v>
      </c>
      <c r="C410">
        <v>183.04209925000001</v>
      </c>
      <c r="D410">
        <v>-79.764835500000004</v>
      </c>
      <c r="E410">
        <v>109.75078175</v>
      </c>
      <c r="F410">
        <v>5.2137762499999996</v>
      </c>
      <c r="G410">
        <v>241.06764974999999</v>
      </c>
      <c r="H410">
        <v>24</v>
      </c>
      <c r="I410">
        <v>24</v>
      </c>
      <c r="J410">
        <v>1.18</v>
      </c>
      <c r="K410">
        <v>19.993806750000001</v>
      </c>
      <c r="L410">
        <v>-1.370927439502903</v>
      </c>
      <c r="M410">
        <v>1.527763553591416</v>
      </c>
      <c r="N410">
        <v>-0.71076643367603476</v>
      </c>
      <c r="O410">
        <v>-0.43418346348079179</v>
      </c>
    </row>
    <row r="411" spans="1:15" x14ac:dyDescent="0.25">
      <c r="A411">
        <v>-103.8536285</v>
      </c>
      <c r="B411">
        <v>187.63623050000001</v>
      </c>
      <c r="C411">
        <v>186.51958074999999</v>
      </c>
      <c r="D411">
        <v>-112.50119975</v>
      </c>
      <c r="E411">
        <v>79.083152749999996</v>
      </c>
      <c r="F411">
        <v>5.2625029999999997</v>
      </c>
      <c r="G411">
        <v>238.14683525000001</v>
      </c>
      <c r="H411">
        <v>24</v>
      </c>
      <c r="I411">
        <v>28</v>
      </c>
      <c r="J411">
        <v>1.1775</v>
      </c>
      <c r="K411">
        <v>19.8887295</v>
      </c>
      <c r="L411">
        <v>-1.5506388673464511</v>
      </c>
      <c r="M411">
        <v>1.602786639177854</v>
      </c>
      <c r="N411">
        <v>-0.84942854330437711</v>
      </c>
      <c r="O411">
        <v>-0.60578417822597297</v>
      </c>
    </row>
    <row r="412" spans="1:15" x14ac:dyDescent="0.25">
      <c r="A412">
        <v>-138.59165175000001</v>
      </c>
      <c r="B412">
        <v>172.29641724999999</v>
      </c>
      <c r="C412">
        <v>188.64219675000001</v>
      </c>
      <c r="D412">
        <v>-148.42816174999999</v>
      </c>
      <c r="E412">
        <v>45.643819999999998</v>
      </c>
      <c r="F412">
        <v>5.3112294999999996</v>
      </c>
      <c r="G412">
        <v>236.78644174999999</v>
      </c>
      <c r="H412">
        <v>24</v>
      </c>
      <c r="I412">
        <v>32</v>
      </c>
      <c r="J412">
        <v>1.1725000000000001</v>
      </c>
      <c r="K412">
        <v>19.870694</v>
      </c>
      <c r="L412">
        <v>-1.729991484595867</v>
      </c>
      <c r="M412">
        <v>1.695581422344457</v>
      </c>
      <c r="N412">
        <v>-1.0105207157592411</v>
      </c>
      <c r="O412">
        <v>-0.78676893254981806</v>
      </c>
    </row>
    <row r="413" spans="1:15" x14ac:dyDescent="0.25">
      <c r="A413">
        <v>-172.56373224999999</v>
      </c>
      <c r="B413">
        <v>152.48448575</v>
      </c>
      <c r="C413">
        <v>187.51313775</v>
      </c>
      <c r="D413">
        <v>-185.88484600000001</v>
      </c>
      <c r="E413">
        <v>6.1246055000000004</v>
      </c>
      <c r="F413">
        <v>4.9214172499999993</v>
      </c>
      <c r="G413">
        <v>233.79920974999999</v>
      </c>
      <c r="H413">
        <v>24</v>
      </c>
      <c r="I413">
        <v>36</v>
      </c>
      <c r="J413">
        <v>1.18</v>
      </c>
      <c r="K413">
        <v>19.695892499999999</v>
      </c>
      <c r="L413">
        <v>-1.9427214697021959</v>
      </c>
      <c r="M413">
        <v>1.8255955917129241</v>
      </c>
      <c r="N413">
        <v>-1.2283779404575981</v>
      </c>
      <c r="O413">
        <v>-0.99351897030132719</v>
      </c>
    </row>
    <row r="414" spans="1:15" x14ac:dyDescent="0.25">
      <c r="A414">
        <v>-202.34561149999999</v>
      </c>
      <c r="B414">
        <v>133.345787</v>
      </c>
      <c r="C414">
        <v>185.07439425000001</v>
      </c>
      <c r="D414">
        <v>-219.8450015</v>
      </c>
      <c r="E414">
        <v>-34.208823250000002</v>
      </c>
      <c r="F414">
        <v>5.0675964999999996</v>
      </c>
      <c r="G414">
        <v>232.47874074999999</v>
      </c>
      <c r="H414">
        <v>24</v>
      </c>
      <c r="I414">
        <v>40</v>
      </c>
      <c r="J414">
        <v>1.18</v>
      </c>
      <c r="K414">
        <v>19.6326915</v>
      </c>
      <c r="L414">
        <v>-2.1902144174700071</v>
      </c>
      <c r="M414">
        <v>1.9967195424905191</v>
      </c>
      <c r="N414">
        <v>-1.5076785047650121</v>
      </c>
      <c r="O414">
        <v>-1.2220405249149879</v>
      </c>
    </row>
    <row r="415" spans="1:15" x14ac:dyDescent="0.25">
      <c r="A415">
        <v>-231.09122099999999</v>
      </c>
      <c r="B415">
        <v>112.09124025</v>
      </c>
      <c r="C415">
        <v>179.20331575</v>
      </c>
      <c r="D415">
        <v>-251.5760995</v>
      </c>
      <c r="E415">
        <v>-77.427015249999997</v>
      </c>
      <c r="F415">
        <v>5.1650495000000003</v>
      </c>
      <c r="G415">
        <v>231.83853124999999</v>
      </c>
      <c r="H415">
        <v>24</v>
      </c>
      <c r="I415">
        <v>44</v>
      </c>
      <c r="J415">
        <v>1.18025</v>
      </c>
      <c r="K415">
        <v>19.598749250000001</v>
      </c>
      <c r="L415">
        <v>-2.503249286160711</v>
      </c>
      <c r="M415">
        <v>2.2187709039502899</v>
      </c>
      <c r="N415">
        <v>-1.886875152980541</v>
      </c>
      <c r="O415">
        <v>-1.5039204258118719</v>
      </c>
    </row>
    <row r="416" spans="1:15" x14ac:dyDescent="0.25">
      <c r="A416">
        <v>168.90897749999999</v>
      </c>
      <c r="B416">
        <v>108.91748225000001</v>
      </c>
      <c r="C416">
        <v>-259.57357000000002</v>
      </c>
      <c r="D416">
        <v>-273.73542800000001</v>
      </c>
      <c r="E416">
        <v>-72.966930250000004</v>
      </c>
      <c r="F416">
        <v>4.9701434999999998</v>
      </c>
      <c r="G416">
        <v>228.31731425000001</v>
      </c>
      <c r="H416">
        <v>28</v>
      </c>
      <c r="I416">
        <v>-44</v>
      </c>
      <c r="J416">
        <v>1.18</v>
      </c>
      <c r="K416">
        <v>19.45646825</v>
      </c>
      <c r="L416">
        <v>2.2122373950896028</v>
      </c>
      <c r="M416">
        <v>1.975618430008439</v>
      </c>
      <c r="N416">
        <v>-1.555517786736281</v>
      </c>
      <c r="O416">
        <v>-1.4023828818726161</v>
      </c>
    </row>
    <row r="417" spans="1:15" x14ac:dyDescent="0.25">
      <c r="A417">
        <v>173.64727400000001</v>
      </c>
      <c r="B417">
        <v>129.69115825</v>
      </c>
      <c r="C417">
        <v>-230.61181625</v>
      </c>
      <c r="D417">
        <v>-243.796299</v>
      </c>
      <c r="E417">
        <v>-35.725252249999997</v>
      </c>
      <c r="F417">
        <v>4.9701434999999998</v>
      </c>
      <c r="G417">
        <v>227.58386999999999</v>
      </c>
      <c r="H417">
        <v>28</v>
      </c>
      <c r="I417">
        <v>-40</v>
      </c>
      <c r="J417">
        <v>1.18</v>
      </c>
      <c r="K417">
        <v>19.42450225</v>
      </c>
      <c r="L417">
        <v>2.0064872700964309</v>
      </c>
      <c r="M417">
        <v>1.8537869867662931</v>
      </c>
      <c r="N417">
        <v>-1.306948395436287</v>
      </c>
      <c r="O417">
        <v>-1.2020144278189839</v>
      </c>
    </row>
    <row r="418" spans="1:15" x14ac:dyDescent="0.25">
      <c r="A418">
        <v>173.87290949999999</v>
      </c>
      <c r="B418">
        <v>146.52167524999999</v>
      </c>
      <c r="C418">
        <v>-199.98078525</v>
      </c>
      <c r="D418">
        <v>-209.13684850000001</v>
      </c>
      <c r="E418">
        <v>-1.8286335</v>
      </c>
      <c r="F418">
        <v>4.8726900000000004</v>
      </c>
      <c r="G418">
        <v>225.42325600000001</v>
      </c>
      <c r="H418">
        <v>28</v>
      </c>
      <c r="I418">
        <v>-36</v>
      </c>
      <c r="J418">
        <v>1.18</v>
      </c>
      <c r="K418">
        <v>19.334280249999999</v>
      </c>
      <c r="L418">
        <v>1.8440961313112869</v>
      </c>
      <c r="M418">
        <v>1.7543489376993171</v>
      </c>
      <c r="N418">
        <v>-1.120961226918092</v>
      </c>
      <c r="O418">
        <v>-1.0330560618977389</v>
      </c>
    </row>
    <row r="419" spans="1:15" x14ac:dyDescent="0.25">
      <c r="A419">
        <v>171.66170099999999</v>
      </c>
      <c r="B419">
        <v>162.24618874999999</v>
      </c>
      <c r="C419">
        <v>-169.64340575</v>
      </c>
      <c r="D419">
        <v>-175.482643</v>
      </c>
      <c r="E419">
        <v>28.342986499999999</v>
      </c>
      <c r="F419">
        <v>4.8239642500000004</v>
      </c>
      <c r="G419">
        <v>224.10288249999999</v>
      </c>
      <c r="H419">
        <v>28</v>
      </c>
      <c r="I419">
        <v>-32</v>
      </c>
      <c r="J419">
        <v>1.18</v>
      </c>
      <c r="K419">
        <v>19.2784625</v>
      </c>
      <c r="L419">
        <v>1.6988717683830881</v>
      </c>
      <c r="M419">
        <v>1.6810655093396789</v>
      </c>
      <c r="N419">
        <v>-0.97443537712277206</v>
      </c>
      <c r="O419">
        <v>-0.8829363075723311</v>
      </c>
    </row>
    <row r="420" spans="1:15" x14ac:dyDescent="0.25">
      <c r="A420">
        <v>168.5930865</v>
      </c>
      <c r="B420">
        <v>176.383827</v>
      </c>
      <c r="C420">
        <v>-133.44959650000001</v>
      </c>
      <c r="D420">
        <v>-141.26024624999999</v>
      </c>
      <c r="E420">
        <v>56.328310000000002</v>
      </c>
      <c r="F420">
        <v>4.8239637499999999</v>
      </c>
      <c r="G420">
        <v>223.92886350000001</v>
      </c>
      <c r="H420">
        <v>28</v>
      </c>
      <c r="I420">
        <v>-28</v>
      </c>
      <c r="J420">
        <v>1.18</v>
      </c>
      <c r="K420">
        <v>19.27081175</v>
      </c>
      <c r="L420">
        <v>1.559467532030383</v>
      </c>
      <c r="M420">
        <v>1.6400184777137219</v>
      </c>
      <c r="N420">
        <v>-0.86533435806036951</v>
      </c>
      <c r="O420">
        <v>-0.73408006129615355</v>
      </c>
    </row>
    <row r="421" spans="1:15" x14ac:dyDescent="0.25">
      <c r="A421">
        <v>161.28257350000001</v>
      </c>
      <c r="B421">
        <v>186.19361474999999</v>
      </c>
      <c r="C421">
        <v>-93.916677500000006</v>
      </c>
      <c r="D421">
        <v>-108.2179355</v>
      </c>
      <c r="E421">
        <v>78.412580500000004</v>
      </c>
      <c r="F421">
        <v>4.7752377499999996</v>
      </c>
      <c r="G421">
        <v>220.91484474999999</v>
      </c>
      <c r="H421">
        <v>28</v>
      </c>
      <c r="I421">
        <v>-24</v>
      </c>
      <c r="J421">
        <v>1.18</v>
      </c>
      <c r="K421">
        <v>19.139958499999999</v>
      </c>
      <c r="L421">
        <v>1.421892919733708</v>
      </c>
      <c r="M421">
        <v>1.6403686513398701</v>
      </c>
      <c r="N421">
        <v>-0.79399036267144951</v>
      </c>
      <c r="O421">
        <v>-0.58972395180810977</v>
      </c>
    </row>
    <row r="422" spans="1:15" x14ac:dyDescent="0.25">
      <c r="A422">
        <v>152.84389475</v>
      </c>
      <c r="B422">
        <v>195.37826924999999</v>
      </c>
      <c r="C422">
        <v>-58.641513750000001</v>
      </c>
      <c r="D422">
        <v>-85.534130250000004</v>
      </c>
      <c r="E422">
        <v>98.529825250000002</v>
      </c>
      <c r="F422">
        <v>4.6290575</v>
      </c>
      <c r="G422">
        <v>220.32740025000001</v>
      </c>
      <c r="H422">
        <v>28</v>
      </c>
      <c r="I422">
        <v>-20</v>
      </c>
      <c r="J422">
        <v>1.18</v>
      </c>
      <c r="K422">
        <v>19.120414499999999</v>
      </c>
      <c r="L422">
        <v>1.2395067543330589</v>
      </c>
      <c r="M422">
        <v>1.6464475184094649</v>
      </c>
      <c r="N422">
        <v>-0.71386281546687802</v>
      </c>
      <c r="O422">
        <v>-0.44959529219091737</v>
      </c>
    </row>
    <row r="423" spans="1:15" x14ac:dyDescent="0.25">
      <c r="A423">
        <v>141.29148125</v>
      </c>
      <c r="B423">
        <v>203.168396</v>
      </c>
      <c r="C423">
        <v>-32.0272845</v>
      </c>
      <c r="D423">
        <v>-73.252530749999991</v>
      </c>
      <c r="E423">
        <v>112.880127</v>
      </c>
      <c r="F423">
        <v>4.7752377499999996</v>
      </c>
      <c r="G423">
        <v>220.1017645</v>
      </c>
      <c r="H423">
        <v>28</v>
      </c>
      <c r="I423">
        <v>-16</v>
      </c>
      <c r="J423">
        <v>1.18</v>
      </c>
      <c r="K423">
        <v>19.10393075</v>
      </c>
      <c r="L423">
        <v>1.047105352216513</v>
      </c>
      <c r="M423">
        <v>1.67002022634818</v>
      </c>
      <c r="N423">
        <v>-0.64780106240473256</v>
      </c>
      <c r="O423">
        <v>-0.3468575589313676</v>
      </c>
    </row>
    <row r="424" spans="1:15" x14ac:dyDescent="0.25">
      <c r="A424">
        <v>126.03868275000001</v>
      </c>
      <c r="B424">
        <v>206.67876025000001</v>
      </c>
      <c r="C424">
        <v>-6.4952804999999998</v>
      </c>
      <c r="D424">
        <v>-66.477981749999998</v>
      </c>
      <c r="E424">
        <v>123.43050175</v>
      </c>
      <c r="F424">
        <v>4.7752374999999994</v>
      </c>
      <c r="G424">
        <v>217.553684</v>
      </c>
      <c r="H424">
        <v>28</v>
      </c>
      <c r="I424">
        <v>-12</v>
      </c>
      <c r="J424">
        <v>1.18</v>
      </c>
      <c r="K424">
        <v>18.990561249999999</v>
      </c>
      <c r="L424">
        <v>0.82876094217391338</v>
      </c>
      <c r="M424">
        <v>1.7081124710293789</v>
      </c>
      <c r="N424">
        <v>-0.58857189065326143</v>
      </c>
      <c r="O424">
        <v>-0.25800640886362308</v>
      </c>
    </row>
    <row r="425" spans="1:15" x14ac:dyDescent="0.25">
      <c r="A425">
        <v>111.192015</v>
      </c>
      <c r="B425">
        <v>210.33338925000001</v>
      </c>
      <c r="C425">
        <v>14.58737475</v>
      </c>
      <c r="D425">
        <v>-62.019890500000002</v>
      </c>
      <c r="E425">
        <v>131.25387549999999</v>
      </c>
      <c r="F425">
        <v>4.7752377499999996</v>
      </c>
      <c r="G425">
        <v>217.22095874999999</v>
      </c>
      <c r="H425">
        <v>28</v>
      </c>
      <c r="I425">
        <v>-8</v>
      </c>
      <c r="J425">
        <v>1.18</v>
      </c>
      <c r="K425">
        <v>18.975701999999998</v>
      </c>
      <c r="L425">
        <v>0.62336746535438325</v>
      </c>
      <c r="M425">
        <v>1.757470094823617</v>
      </c>
      <c r="N425">
        <v>-0.55474026695921719</v>
      </c>
      <c r="O425">
        <v>-0.18384066070331229</v>
      </c>
    </row>
    <row r="426" spans="1:15" x14ac:dyDescent="0.25">
      <c r="A426">
        <v>90.794782749999996</v>
      </c>
      <c r="B426">
        <v>211.43939574999999</v>
      </c>
      <c r="C426">
        <v>36.62649175</v>
      </c>
      <c r="D426">
        <v>-57.780333499999998</v>
      </c>
      <c r="E426">
        <v>135.99260699999999</v>
      </c>
      <c r="F426">
        <v>4.4828780000000004</v>
      </c>
      <c r="G426">
        <v>216.26068524999999</v>
      </c>
      <c r="H426">
        <v>28</v>
      </c>
      <c r="I426">
        <v>-4</v>
      </c>
      <c r="J426">
        <v>1.18</v>
      </c>
      <c r="K426">
        <v>18.945850249999999</v>
      </c>
      <c r="L426">
        <v>0.36956895551395641</v>
      </c>
      <c r="M426">
        <v>1.836806757553374</v>
      </c>
      <c r="N426">
        <v>-0.54765188342175974</v>
      </c>
      <c r="O426">
        <v>-0.1027321751355831</v>
      </c>
    </row>
    <row r="427" spans="1:15" x14ac:dyDescent="0.25">
      <c r="A427">
        <v>69.991407499999994</v>
      </c>
      <c r="B427">
        <v>208.93886175</v>
      </c>
      <c r="C427">
        <v>57.084934250000003</v>
      </c>
      <c r="D427">
        <v>-53.628194749999999</v>
      </c>
      <c r="E427">
        <v>136.75259</v>
      </c>
      <c r="F427">
        <v>4.6290575</v>
      </c>
      <c r="G427">
        <v>214.0200615</v>
      </c>
      <c r="H427">
        <v>28</v>
      </c>
      <c r="I427">
        <v>0</v>
      </c>
      <c r="J427">
        <v>1.18</v>
      </c>
      <c r="K427">
        <v>18.838789500000001</v>
      </c>
      <c r="L427">
        <v>9.5553651396149478E-2</v>
      </c>
      <c r="M427">
        <v>1.9446686398177451</v>
      </c>
      <c r="N427">
        <v>-0.57230157327804476</v>
      </c>
      <c r="O427">
        <v>-2.1498213208874201E-2</v>
      </c>
    </row>
    <row r="428" spans="1:15" x14ac:dyDescent="0.25">
      <c r="A428">
        <v>46.119420750000003</v>
      </c>
      <c r="B428">
        <v>207.73667875000001</v>
      </c>
      <c r="C428">
        <v>77.769184249999995</v>
      </c>
      <c r="D428">
        <v>-54.939395750000003</v>
      </c>
      <c r="E428">
        <v>133.80207050000001</v>
      </c>
      <c r="F428">
        <v>4.5803310000000002</v>
      </c>
      <c r="G428">
        <v>212.5796545</v>
      </c>
      <c r="H428">
        <v>28</v>
      </c>
      <c r="I428">
        <v>4</v>
      </c>
      <c r="J428">
        <v>1.18</v>
      </c>
      <c r="K428">
        <v>18.776080499999999</v>
      </c>
      <c r="L428">
        <v>-0.22897986664064299</v>
      </c>
      <c r="M428">
        <v>1.9005616031888941</v>
      </c>
      <c r="N428">
        <v>-0.56999313692859366</v>
      </c>
      <c r="O428">
        <v>-6.5043789870336086E-2</v>
      </c>
    </row>
    <row r="429" spans="1:15" x14ac:dyDescent="0.25">
      <c r="A429">
        <v>21.75104125</v>
      </c>
      <c r="B429">
        <v>204.75527174999999</v>
      </c>
      <c r="C429">
        <v>95.563064749999995</v>
      </c>
      <c r="D429">
        <v>-57.99886875</v>
      </c>
      <c r="E429">
        <v>127.7668855</v>
      </c>
      <c r="F429">
        <v>4.6290577500000003</v>
      </c>
      <c r="G429">
        <v>210.69913500000001</v>
      </c>
      <c r="H429">
        <v>28</v>
      </c>
      <c r="I429">
        <v>8</v>
      </c>
      <c r="J429">
        <v>1.18</v>
      </c>
      <c r="K429">
        <v>18.688799249999999</v>
      </c>
      <c r="L429">
        <v>-0.50594142800934239</v>
      </c>
      <c r="M429">
        <v>1.801037763289159</v>
      </c>
      <c r="N429">
        <v>-0.56846243527462326</v>
      </c>
      <c r="O429">
        <v>-0.155963175046578</v>
      </c>
    </row>
    <row r="430" spans="1:15" x14ac:dyDescent="0.25">
      <c r="A430">
        <v>-4.2352460000000001</v>
      </c>
      <c r="B430">
        <v>200.66786174999999</v>
      </c>
      <c r="C430">
        <v>111.098833</v>
      </c>
      <c r="D430">
        <v>-61.932479000000001</v>
      </c>
      <c r="E430">
        <v>118.87059575000001</v>
      </c>
      <c r="F430">
        <v>4.7265107500000001</v>
      </c>
      <c r="G430">
        <v>209.49879075000001</v>
      </c>
      <c r="H430">
        <v>28</v>
      </c>
      <c r="I430">
        <v>12</v>
      </c>
      <c r="J430">
        <v>1.18</v>
      </c>
      <c r="K430">
        <v>18.629854000000002</v>
      </c>
      <c r="L430">
        <v>-0.75900409647179501</v>
      </c>
      <c r="M430">
        <v>1.728152972535032</v>
      </c>
      <c r="N430">
        <v>-0.59641947727006706</v>
      </c>
      <c r="O430">
        <v>-0.24882949523384651</v>
      </c>
    </row>
    <row r="431" spans="1:15" x14ac:dyDescent="0.25">
      <c r="A431">
        <v>-35.503971249999999</v>
      </c>
      <c r="B431">
        <v>223.94206600000001</v>
      </c>
      <c r="C431">
        <v>139.82194525</v>
      </c>
      <c r="D431">
        <v>-78.715871750000005</v>
      </c>
      <c r="E431">
        <v>121.15055649999999</v>
      </c>
      <c r="F431">
        <v>5.1163227500000001</v>
      </c>
      <c r="G431">
        <v>237.3866155</v>
      </c>
      <c r="H431">
        <v>28</v>
      </c>
      <c r="I431">
        <v>16</v>
      </c>
      <c r="J431">
        <v>1.18</v>
      </c>
      <c r="K431">
        <v>19.841270999999999</v>
      </c>
      <c r="L431">
        <v>-0.9835421953453467</v>
      </c>
      <c r="M431">
        <v>1.697859357292185</v>
      </c>
      <c r="N431">
        <v>-0.65207936898454089</v>
      </c>
      <c r="O431">
        <v>-0.34907447901961092</v>
      </c>
    </row>
    <row r="432" spans="1:15" x14ac:dyDescent="0.25">
      <c r="A432">
        <v>-74.927801250000002</v>
      </c>
      <c r="B432">
        <v>242.59989899999999</v>
      </c>
      <c r="C432">
        <v>169.49345775</v>
      </c>
      <c r="D432">
        <v>-97.772022499999991</v>
      </c>
      <c r="E432">
        <v>116.0094795</v>
      </c>
      <c r="F432">
        <v>5.8472212499999996</v>
      </c>
      <c r="G432">
        <v>265.27444450000002</v>
      </c>
      <c r="H432">
        <v>28</v>
      </c>
      <c r="I432">
        <v>20</v>
      </c>
      <c r="J432">
        <v>1.18</v>
      </c>
      <c r="K432">
        <v>20.969166999999999</v>
      </c>
      <c r="L432">
        <v>-1.2078634663348291</v>
      </c>
      <c r="M432">
        <v>1.682026352999533</v>
      </c>
      <c r="N432">
        <v>-0.73762746682781333</v>
      </c>
      <c r="O432">
        <v>-0.45560668807027421</v>
      </c>
    </row>
    <row r="433" spans="1:15" x14ac:dyDescent="0.25">
      <c r="A433">
        <v>-112.95490475</v>
      </c>
      <c r="B433">
        <v>229.66443624999999</v>
      </c>
      <c r="C433">
        <v>177.57748050000001</v>
      </c>
      <c r="D433">
        <v>-125.17616475</v>
      </c>
      <c r="E433">
        <v>88.158267999999993</v>
      </c>
      <c r="F433">
        <v>5.7010415000000014</v>
      </c>
      <c r="G433">
        <v>262.35362974999998</v>
      </c>
      <c r="H433">
        <v>28</v>
      </c>
      <c r="I433">
        <v>24</v>
      </c>
      <c r="J433">
        <v>1.18</v>
      </c>
      <c r="K433">
        <v>20.856742000000001</v>
      </c>
      <c r="L433">
        <v>-1.4020221278141689</v>
      </c>
      <c r="M433">
        <v>1.7123510713964389</v>
      </c>
      <c r="N433">
        <v>-0.84061063671141234</v>
      </c>
      <c r="O433">
        <v>-0.60208305501079717</v>
      </c>
    </row>
    <row r="434" spans="1:15" x14ac:dyDescent="0.25">
      <c r="A434">
        <v>-146.20608899999999</v>
      </c>
      <c r="B434">
        <v>210.81426225000001</v>
      </c>
      <c r="C434">
        <v>179.88074875000001</v>
      </c>
      <c r="D434">
        <v>-155.027874</v>
      </c>
      <c r="E434">
        <v>57.848281749999998</v>
      </c>
      <c r="F434">
        <v>5.6035884999999999</v>
      </c>
      <c r="G434">
        <v>255.51170725</v>
      </c>
      <c r="H434">
        <v>28</v>
      </c>
      <c r="I434">
        <v>28</v>
      </c>
      <c r="J434">
        <v>1.18</v>
      </c>
      <c r="K434">
        <v>20.580881000000002</v>
      </c>
      <c r="L434">
        <v>-1.5642250686961829</v>
      </c>
      <c r="M434">
        <v>1.7549347165095539</v>
      </c>
      <c r="N434">
        <v>-0.94818682412328881</v>
      </c>
      <c r="O434">
        <v>-0.74938546716327981</v>
      </c>
    </row>
    <row r="435" spans="1:15" x14ac:dyDescent="0.25">
      <c r="A435">
        <v>-178.28582025</v>
      </c>
      <c r="B435">
        <v>190.28102475</v>
      </c>
      <c r="C435">
        <v>178.34522999999999</v>
      </c>
      <c r="D435">
        <v>-187.06493</v>
      </c>
      <c r="E435">
        <v>22.79956825</v>
      </c>
      <c r="F435">
        <v>5.4574090000000002</v>
      </c>
      <c r="G435">
        <v>248.58976000000001</v>
      </c>
      <c r="H435">
        <v>28</v>
      </c>
      <c r="I435">
        <v>32</v>
      </c>
      <c r="J435">
        <v>1.18</v>
      </c>
      <c r="K435">
        <v>20.299961750000001</v>
      </c>
      <c r="L435">
        <v>-1.735648975570119</v>
      </c>
      <c r="M435">
        <v>1.8364565388622689</v>
      </c>
      <c r="N435">
        <v>-1.0988746635032529</v>
      </c>
      <c r="O435">
        <v>-0.91560437283073304</v>
      </c>
    </row>
    <row r="436" spans="1:15" x14ac:dyDescent="0.25">
      <c r="A436">
        <v>-207.12154375</v>
      </c>
      <c r="B436">
        <v>169.74779100000001</v>
      </c>
      <c r="C436">
        <v>176.76456475000001</v>
      </c>
      <c r="D436">
        <v>-218.75232675000001</v>
      </c>
      <c r="E436">
        <v>-13.201840000000001</v>
      </c>
      <c r="F436">
        <v>5.1650495000000003</v>
      </c>
      <c r="G436">
        <v>244.94874200000001</v>
      </c>
      <c r="H436">
        <v>28</v>
      </c>
      <c r="I436">
        <v>36</v>
      </c>
      <c r="J436">
        <v>1.18</v>
      </c>
      <c r="K436">
        <v>20.159686499999999</v>
      </c>
      <c r="L436">
        <v>-1.9219772340190191</v>
      </c>
      <c r="M436">
        <v>1.945080182001488</v>
      </c>
      <c r="N436">
        <v>-1.292469049090037</v>
      </c>
      <c r="O436">
        <v>-1.0919572706018079</v>
      </c>
    </row>
    <row r="437" spans="1:15" x14ac:dyDescent="0.25">
      <c r="A437">
        <v>-234.69567474999999</v>
      </c>
      <c r="B437">
        <v>149.74351525</v>
      </c>
      <c r="C437">
        <v>172.2935105</v>
      </c>
      <c r="D437">
        <v>-250.09008399999999</v>
      </c>
      <c r="E437">
        <v>-52.673561249999999</v>
      </c>
      <c r="F437">
        <v>5.0675964999999996</v>
      </c>
      <c r="G437">
        <v>241.40179075</v>
      </c>
      <c r="H437">
        <v>28</v>
      </c>
      <c r="I437">
        <v>40</v>
      </c>
      <c r="J437">
        <v>1.18</v>
      </c>
      <c r="K437">
        <v>20.014144999999999</v>
      </c>
      <c r="L437">
        <v>-2.1452195834685002</v>
      </c>
      <c r="M437">
        <v>2.1075073193884331</v>
      </c>
      <c r="N437">
        <v>-1.5500571359394439</v>
      </c>
      <c r="O437">
        <v>-1.3043509400423801</v>
      </c>
    </row>
    <row r="438" spans="1:15" x14ac:dyDescent="0.25">
      <c r="A438">
        <v>-256.14223475</v>
      </c>
      <c r="B438">
        <v>129.21028525</v>
      </c>
      <c r="C438">
        <v>165.88048925000001</v>
      </c>
      <c r="D438">
        <v>-276.35784150000001</v>
      </c>
      <c r="E438">
        <v>-91.966882749999996</v>
      </c>
      <c r="F438">
        <v>5.1163232499999998</v>
      </c>
      <c r="G438">
        <v>238.18684775</v>
      </c>
      <c r="H438">
        <v>28</v>
      </c>
      <c r="I438">
        <v>44</v>
      </c>
      <c r="J438">
        <v>1.18</v>
      </c>
      <c r="K438">
        <v>19.875478749999999</v>
      </c>
      <c r="L438">
        <v>-2.4214965036572318</v>
      </c>
      <c r="M438">
        <v>2.3270804963027478</v>
      </c>
      <c r="N438">
        <v>-1.894373811590131</v>
      </c>
      <c r="O438">
        <v>-1.5570511391773809</v>
      </c>
    </row>
    <row r="439" spans="1:15" x14ac:dyDescent="0.25">
      <c r="A439">
        <v>155.145355</v>
      </c>
      <c r="B439">
        <v>122.478077</v>
      </c>
      <c r="C439">
        <v>-289.30224600000003</v>
      </c>
      <c r="D439">
        <v>-303.23751075000001</v>
      </c>
      <c r="E439">
        <v>-97.898784750000004</v>
      </c>
      <c r="F439">
        <v>5.067596</v>
      </c>
      <c r="G439">
        <v>236.50636650000001</v>
      </c>
      <c r="H439">
        <v>32</v>
      </c>
      <c r="I439">
        <v>-44</v>
      </c>
      <c r="J439">
        <v>1.18</v>
      </c>
      <c r="K439">
        <v>19.80578075</v>
      </c>
      <c r="L439">
        <v>2.2404902606798749</v>
      </c>
      <c r="M439">
        <v>2.146072344983339</v>
      </c>
      <c r="N439">
        <v>-1.6857725231614731</v>
      </c>
      <c r="O439">
        <v>-1.519064774750533</v>
      </c>
    </row>
    <row r="440" spans="1:15" x14ac:dyDescent="0.25">
      <c r="A440">
        <v>158.25909050000001</v>
      </c>
      <c r="B440">
        <v>141.47251900000001</v>
      </c>
      <c r="C440">
        <v>-257.93273925</v>
      </c>
      <c r="D440">
        <v>-268.272087</v>
      </c>
      <c r="E440">
        <v>-60.389501500000001</v>
      </c>
      <c r="F440">
        <v>5.067596</v>
      </c>
      <c r="G440">
        <v>232.86535275</v>
      </c>
      <c r="H440">
        <v>32</v>
      </c>
      <c r="I440">
        <v>-40</v>
      </c>
      <c r="J440">
        <v>1.18</v>
      </c>
      <c r="K440">
        <v>19.649369499999999</v>
      </c>
      <c r="L440">
        <v>2.0531135571800192</v>
      </c>
      <c r="M440">
        <v>2.021315332284686</v>
      </c>
      <c r="N440">
        <v>-1.4466580306924579</v>
      </c>
      <c r="O440">
        <v>-1.3229078518953921</v>
      </c>
    </row>
    <row r="441" spans="1:15" x14ac:dyDescent="0.25">
      <c r="A441">
        <v>159.52264049999999</v>
      </c>
      <c r="B441">
        <v>158.35112000000001</v>
      </c>
      <c r="C441">
        <v>-230.83734899999999</v>
      </c>
      <c r="D441">
        <v>-237.10916925000001</v>
      </c>
      <c r="E441">
        <v>-27.4295005</v>
      </c>
      <c r="F441">
        <v>4.9214172499999993</v>
      </c>
      <c r="G441">
        <v>231.70502074999999</v>
      </c>
      <c r="H441">
        <v>32</v>
      </c>
      <c r="I441">
        <v>-36</v>
      </c>
      <c r="J441">
        <v>1.18</v>
      </c>
      <c r="K441">
        <v>19.605583750000001</v>
      </c>
      <c r="L441">
        <v>1.889980386791879</v>
      </c>
      <c r="M441">
        <v>1.9146724375296831</v>
      </c>
      <c r="N441">
        <v>-1.2546468927640599</v>
      </c>
      <c r="O441">
        <v>-1.156641928443269</v>
      </c>
    </row>
    <row r="442" spans="1:15" x14ac:dyDescent="0.25">
      <c r="A442">
        <v>158.16883849999999</v>
      </c>
      <c r="B442">
        <v>173.54668425</v>
      </c>
      <c r="C442">
        <v>-200.7025605</v>
      </c>
      <c r="D442">
        <v>-203.89203624999999</v>
      </c>
      <c r="E442">
        <v>2.2799762499999998</v>
      </c>
      <c r="F442">
        <v>4.9214172499999993</v>
      </c>
      <c r="G442">
        <v>230.35802849999999</v>
      </c>
      <c r="H442">
        <v>32</v>
      </c>
      <c r="I442">
        <v>-32</v>
      </c>
      <c r="J442">
        <v>1.18</v>
      </c>
      <c r="K442">
        <v>19.547273000000001</v>
      </c>
      <c r="L442">
        <v>1.7542157171888511</v>
      </c>
      <c r="M442">
        <v>1.8449710223336591</v>
      </c>
      <c r="N442">
        <v>-1.114879026684785</v>
      </c>
      <c r="O442">
        <v>-1.0129136973858861</v>
      </c>
    </row>
    <row r="443" spans="1:15" x14ac:dyDescent="0.25">
      <c r="A443">
        <v>152.16699600000001</v>
      </c>
      <c r="B443">
        <v>185.6165695</v>
      </c>
      <c r="C443">
        <v>-165.59484875000001</v>
      </c>
      <c r="D443">
        <v>-171.111965</v>
      </c>
      <c r="E443">
        <v>26.46537725</v>
      </c>
      <c r="F443">
        <v>4.8239642500000004</v>
      </c>
      <c r="G443">
        <v>227.82394400000001</v>
      </c>
      <c r="H443">
        <v>32</v>
      </c>
      <c r="I443">
        <v>-28</v>
      </c>
      <c r="J443">
        <v>1.18</v>
      </c>
      <c r="K443">
        <v>19.441344749999999</v>
      </c>
      <c r="L443">
        <v>1.6310692351668401</v>
      </c>
      <c r="M443">
        <v>1.8310854823710669</v>
      </c>
      <c r="N443">
        <v>-1.033580938510601</v>
      </c>
      <c r="O443">
        <v>-0.88891697441796658</v>
      </c>
    </row>
    <row r="444" spans="1:15" x14ac:dyDescent="0.25">
      <c r="A444">
        <v>147.06768400000001</v>
      </c>
      <c r="B444">
        <v>197.06132149999999</v>
      </c>
      <c r="C444">
        <v>-129.77826325000001</v>
      </c>
      <c r="D444">
        <v>-143.18334175000001</v>
      </c>
      <c r="E444">
        <v>48.951988999999998</v>
      </c>
      <c r="F444">
        <v>4.8726909999999997</v>
      </c>
      <c r="G444">
        <v>227.30378725</v>
      </c>
      <c r="H444">
        <v>32</v>
      </c>
      <c r="I444">
        <v>-24</v>
      </c>
      <c r="J444">
        <v>1.18</v>
      </c>
      <c r="K444">
        <v>19.416531249999998</v>
      </c>
      <c r="L444">
        <v>1.4929734071659899</v>
      </c>
      <c r="M444">
        <v>1.834866718145179</v>
      </c>
      <c r="N444">
        <v>-0.96181528482690104</v>
      </c>
      <c r="O444">
        <v>-0.76228847391334098</v>
      </c>
    </row>
    <row r="445" spans="1:15" x14ac:dyDescent="0.25">
      <c r="A445">
        <v>136.37267700000001</v>
      </c>
      <c r="B445">
        <v>205.23614850000001</v>
      </c>
      <c r="C445">
        <v>-94.638395250000002</v>
      </c>
      <c r="D445">
        <v>-123.2093545</v>
      </c>
      <c r="E445">
        <v>67.102215000000001</v>
      </c>
      <c r="F445">
        <v>4.8239642500000004</v>
      </c>
      <c r="G445">
        <v>224.9831355</v>
      </c>
      <c r="H445">
        <v>32</v>
      </c>
      <c r="I445">
        <v>-20</v>
      </c>
      <c r="J445">
        <v>1.18</v>
      </c>
      <c r="K445">
        <v>19.317118000000001</v>
      </c>
      <c r="L445">
        <v>1.3123606597249351</v>
      </c>
      <c r="M445">
        <v>1.865898586913417</v>
      </c>
      <c r="N445">
        <v>-0.89692422645894809</v>
      </c>
      <c r="O445">
        <v>-0.64618695119847702</v>
      </c>
    </row>
    <row r="446" spans="1:15" x14ac:dyDescent="0.25">
      <c r="A446">
        <v>124.4592475</v>
      </c>
      <c r="B446">
        <v>211.3432195</v>
      </c>
      <c r="C446">
        <v>-63.521650999999999</v>
      </c>
      <c r="D446">
        <v>-110.27215775000001</v>
      </c>
      <c r="E446">
        <v>82.659553500000001</v>
      </c>
      <c r="F446">
        <v>5.0188697500000004</v>
      </c>
      <c r="G446">
        <v>223.622761</v>
      </c>
      <c r="H446">
        <v>32</v>
      </c>
      <c r="I446">
        <v>-16</v>
      </c>
      <c r="J446">
        <v>1.18</v>
      </c>
      <c r="K446">
        <v>19.248765250000002</v>
      </c>
      <c r="L446">
        <v>1.108662937205958</v>
      </c>
      <c r="M446">
        <v>1.8968071557665489</v>
      </c>
      <c r="N446">
        <v>-0.83136663381050036</v>
      </c>
      <c r="O446">
        <v>-0.54209721879850092</v>
      </c>
    </row>
    <row r="447" spans="1:15" x14ac:dyDescent="0.25">
      <c r="A447">
        <v>110.37973775</v>
      </c>
      <c r="B447">
        <v>216.2000275</v>
      </c>
      <c r="C447">
        <v>-39.24225225</v>
      </c>
      <c r="D447">
        <v>-105.1147555</v>
      </c>
      <c r="E447">
        <v>92.584062250000002</v>
      </c>
      <c r="F447">
        <v>4.8726905</v>
      </c>
      <c r="G447">
        <v>223.26266100000001</v>
      </c>
      <c r="H447">
        <v>32</v>
      </c>
      <c r="I447">
        <v>-12</v>
      </c>
      <c r="J447">
        <v>1.18</v>
      </c>
      <c r="K447">
        <v>19.23934525</v>
      </c>
      <c r="L447">
        <v>0.9080981779779751</v>
      </c>
      <c r="M447">
        <v>1.9501746393722761</v>
      </c>
      <c r="N447">
        <v>-0.79314091457044777</v>
      </c>
      <c r="O447">
        <v>-0.46764394369714918</v>
      </c>
    </row>
    <row r="448" spans="1:15" x14ac:dyDescent="0.25">
      <c r="A448">
        <v>92.78035349999999</v>
      </c>
      <c r="B448">
        <v>216.29619600000001</v>
      </c>
      <c r="C448">
        <v>-13.667046750000001</v>
      </c>
      <c r="D448">
        <v>-97.990558500000006</v>
      </c>
      <c r="E448">
        <v>100.40743424999999</v>
      </c>
      <c r="F448">
        <v>4.9701434999999998</v>
      </c>
      <c r="G448">
        <v>220.66192624999999</v>
      </c>
      <c r="H448">
        <v>32</v>
      </c>
      <c r="I448">
        <v>-8</v>
      </c>
      <c r="J448">
        <v>1.18</v>
      </c>
      <c r="K448">
        <v>19.120125000000002</v>
      </c>
      <c r="L448">
        <v>0.68132209877404826</v>
      </c>
      <c r="M448">
        <v>2.011621853921028</v>
      </c>
      <c r="N448">
        <v>-0.76970924633512072</v>
      </c>
      <c r="O448">
        <v>-0.38914586983953958</v>
      </c>
    </row>
    <row r="449" spans="1:15" x14ac:dyDescent="0.25">
      <c r="A449">
        <v>72.789259000000001</v>
      </c>
      <c r="B449">
        <v>217.64263925</v>
      </c>
      <c r="C449">
        <v>11.56151275</v>
      </c>
      <c r="D449">
        <v>-92.090145250000006</v>
      </c>
      <c r="E449">
        <v>105.77203</v>
      </c>
      <c r="F449">
        <v>4.4828780000000004</v>
      </c>
      <c r="G449">
        <v>219.861706</v>
      </c>
      <c r="H449">
        <v>32</v>
      </c>
      <c r="I449">
        <v>-4</v>
      </c>
      <c r="J449">
        <v>1.18</v>
      </c>
      <c r="K449">
        <v>19.106248749999999</v>
      </c>
      <c r="L449">
        <v>0.41925258700112772</v>
      </c>
      <c r="M449">
        <v>2.1210283383697508</v>
      </c>
      <c r="N449">
        <v>-0.78132344424529376</v>
      </c>
      <c r="O449">
        <v>-0.30643971218536109</v>
      </c>
    </row>
    <row r="450" spans="1:15" x14ac:dyDescent="0.25">
      <c r="A450">
        <v>50.316197250000002</v>
      </c>
      <c r="B450">
        <v>218.46013275000001</v>
      </c>
      <c r="C450">
        <v>34.4135475</v>
      </c>
      <c r="D450">
        <v>-91.259716249999997</v>
      </c>
      <c r="E450">
        <v>105.503803</v>
      </c>
      <c r="F450">
        <v>4.8239642500000004</v>
      </c>
      <c r="G450">
        <v>219.78168500000001</v>
      </c>
      <c r="H450">
        <v>32</v>
      </c>
      <c r="I450">
        <v>0</v>
      </c>
      <c r="J450">
        <v>1.18</v>
      </c>
      <c r="K450">
        <v>19.087562999999999</v>
      </c>
      <c r="L450">
        <v>0.1187200819286952</v>
      </c>
      <c r="M450">
        <v>2.3125784126008102</v>
      </c>
      <c r="N450">
        <v>-0.85326850293347278</v>
      </c>
      <c r="O450">
        <v>-0.24821704607936021</v>
      </c>
    </row>
    <row r="451" spans="1:15" x14ac:dyDescent="0.25">
      <c r="A451">
        <v>24.9099045</v>
      </c>
      <c r="B451">
        <v>214.9978485</v>
      </c>
      <c r="C451">
        <v>55.910716749999999</v>
      </c>
      <c r="D451">
        <v>-90.735235250000002</v>
      </c>
      <c r="E451">
        <v>102.55327425</v>
      </c>
      <c r="F451">
        <v>4.6290575</v>
      </c>
      <c r="G451">
        <v>216.94088725</v>
      </c>
      <c r="H451">
        <v>32</v>
      </c>
      <c r="I451">
        <v>4</v>
      </c>
      <c r="J451">
        <v>1.18</v>
      </c>
      <c r="K451">
        <v>18.96972225</v>
      </c>
      <c r="L451">
        <v>-0.22884269544995561</v>
      </c>
      <c r="M451">
        <v>2.256909454587837</v>
      </c>
      <c r="N451">
        <v>-0.84441135645249776</v>
      </c>
      <c r="O451">
        <v>-0.27713402509147023</v>
      </c>
    </row>
    <row r="452" spans="1:15" x14ac:dyDescent="0.25">
      <c r="A452">
        <v>-4.4558749999999987E-2</v>
      </c>
      <c r="B452">
        <v>214.13228225</v>
      </c>
      <c r="C452">
        <v>76.911104249999994</v>
      </c>
      <c r="D452">
        <v>-93.663587500000006</v>
      </c>
      <c r="E452">
        <v>99.513338000000005</v>
      </c>
      <c r="F452">
        <v>4.7752374999999994</v>
      </c>
      <c r="G452">
        <v>216.62079249999999</v>
      </c>
      <c r="H452">
        <v>32</v>
      </c>
      <c r="I452">
        <v>8</v>
      </c>
      <c r="J452">
        <v>1.18</v>
      </c>
      <c r="K452">
        <v>18.94888225</v>
      </c>
      <c r="L452">
        <v>-0.52576764850877789</v>
      </c>
      <c r="M452">
        <v>2.1029231643724051</v>
      </c>
      <c r="N452">
        <v>-0.80010561862372809</v>
      </c>
      <c r="O452">
        <v>-0.35274643944884959</v>
      </c>
    </row>
    <row r="453" spans="1:15" x14ac:dyDescent="0.25">
      <c r="A453">
        <v>-29.421440499999999</v>
      </c>
      <c r="B453">
        <v>210.814266</v>
      </c>
      <c r="C453">
        <v>93.621090249999995</v>
      </c>
      <c r="D453">
        <v>-99.695123749999993</v>
      </c>
      <c r="E453">
        <v>89.857059500000005</v>
      </c>
      <c r="F453">
        <v>4.7265107500000001</v>
      </c>
      <c r="G453">
        <v>215.5805015</v>
      </c>
      <c r="H453">
        <v>32</v>
      </c>
      <c r="I453">
        <v>12</v>
      </c>
      <c r="J453">
        <v>1.18</v>
      </c>
      <c r="K453">
        <v>18.904483249999998</v>
      </c>
      <c r="L453">
        <v>-0.79681148076884534</v>
      </c>
      <c r="M453">
        <v>2.010900934536032</v>
      </c>
      <c r="N453">
        <v>-0.81420645107773593</v>
      </c>
      <c r="O453">
        <v>-0.4486947641702817</v>
      </c>
    </row>
    <row r="454" spans="1:15" x14ac:dyDescent="0.25">
      <c r="A454">
        <v>-57.401092499999997</v>
      </c>
      <c r="B454">
        <v>205.18805674999999</v>
      </c>
      <c r="C454">
        <v>107.21489325</v>
      </c>
      <c r="D454">
        <v>-102.40493600000001</v>
      </c>
      <c r="E454">
        <v>78.367875999999995</v>
      </c>
      <c r="F454">
        <v>4.5316045000000003</v>
      </c>
      <c r="G454">
        <v>213.9400445</v>
      </c>
      <c r="H454">
        <v>32</v>
      </c>
      <c r="I454">
        <v>16</v>
      </c>
      <c r="J454">
        <v>1.18</v>
      </c>
      <c r="K454">
        <v>18.839573999999999</v>
      </c>
      <c r="L454">
        <v>-1.0400889549320529</v>
      </c>
      <c r="M454">
        <v>1.9434739258387099</v>
      </c>
      <c r="N454">
        <v>-0.85659442072151326</v>
      </c>
      <c r="O454">
        <v>-0.53348793657990146</v>
      </c>
    </row>
    <row r="455" spans="1:15" x14ac:dyDescent="0.25">
      <c r="A455">
        <v>-85.065357250000005</v>
      </c>
      <c r="B455">
        <v>198.88863375</v>
      </c>
      <c r="C455">
        <v>117.28604300000001</v>
      </c>
      <c r="D455">
        <v>-108.1305275</v>
      </c>
      <c r="E455">
        <v>64.375207750000001</v>
      </c>
      <c r="F455">
        <v>4.4828780000000004</v>
      </c>
      <c r="G455">
        <v>213.45990375</v>
      </c>
      <c r="H455">
        <v>32</v>
      </c>
      <c r="I455">
        <v>20</v>
      </c>
      <c r="J455">
        <v>1.18</v>
      </c>
      <c r="K455">
        <v>18.820150250000001</v>
      </c>
      <c r="L455">
        <v>-1.2570447789966051</v>
      </c>
      <c r="M455">
        <v>1.9072748826264101</v>
      </c>
      <c r="N455">
        <v>-0.9261440949630253</v>
      </c>
      <c r="O455">
        <v>-0.62793258865463719</v>
      </c>
    </row>
    <row r="456" spans="1:15" x14ac:dyDescent="0.25">
      <c r="A456">
        <v>-116.3340875</v>
      </c>
      <c r="B456">
        <v>189.17501849999999</v>
      </c>
      <c r="C456">
        <v>125.05393024999999</v>
      </c>
      <c r="D456">
        <v>-129.37200924999999</v>
      </c>
      <c r="E456">
        <v>43.095633500000012</v>
      </c>
      <c r="F456">
        <v>4.6290575</v>
      </c>
      <c r="G456">
        <v>212.25956725</v>
      </c>
      <c r="H456">
        <v>32</v>
      </c>
      <c r="I456">
        <v>24</v>
      </c>
      <c r="J456">
        <v>1.18</v>
      </c>
      <c r="K456">
        <v>18.759425749999998</v>
      </c>
      <c r="L456">
        <v>-1.4545980245897681</v>
      </c>
      <c r="M456">
        <v>1.9195609397478099</v>
      </c>
      <c r="N456">
        <v>-1.01938320223862</v>
      </c>
      <c r="O456">
        <v>-0.76820838399226488</v>
      </c>
    </row>
    <row r="457" spans="1:15" x14ac:dyDescent="0.25">
      <c r="A457">
        <v>-144.76430149999999</v>
      </c>
      <c r="B457">
        <v>177.970707</v>
      </c>
      <c r="C457">
        <v>129.5249785</v>
      </c>
      <c r="D457">
        <v>-151.96840675000001</v>
      </c>
      <c r="E457">
        <v>21.369007</v>
      </c>
      <c r="F457">
        <v>4.4341514999999996</v>
      </c>
      <c r="G457">
        <v>210.97920999999999</v>
      </c>
      <c r="H457">
        <v>32</v>
      </c>
      <c r="I457">
        <v>28</v>
      </c>
      <c r="J457">
        <v>1.18</v>
      </c>
      <c r="K457">
        <v>18.710319999999999</v>
      </c>
      <c r="L457">
        <v>-1.615978722711567</v>
      </c>
      <c r="M457">
        <v>1.9438493481696379</v>
      </c>
      <c r="N457">
        <v>-1.117097918559131</v>
      </c>
      <c r="O457">
        <v>-0.90022890695145574</v>
      </c>
    </row>
    <row r="458" spans="1:15" x14ac:dyDescent="0.25">
      <c r="A458">
        <v>-194.50590525000001</v>
      </c>
      <c r="B458">
        <v>186.00126650000001</v>
      </c>
      <c r="C458">
        <v>147.1382065</v>
      </c>
      <c r="D458">
        <v>-199.39022825000001</v>
      </c>
      <c r="E458">
        <v>-4.5492834999999996</v>
      </c>
      <c r="F458">
        <v>4.9701434999999998</v>
      </c>
      <c r="G458">
        <v>234.74588025</v>
      </c>
      <c r="H458">
        <v>32</v>
      </c>
      <c r="I458">
        <v>32</v>
      </c>
      <c r="J458">
        <v>1.18</v>
      </c>
      <c r="K458">
        <v>19.734427499999999</v>
      </c>
      <c r="L458">
        <v>-1.7757165627374549</v>
      </c>
      <c r="M458">
        <v>2.003081304162861</v>
      </c>
      <c r="N458">
        <v>-1.2437493171956919</v>
      </c>
      <c r="O458">
        <v>-1.0494845858199719</v>
      </c>
    </row>
    <row r="459" spans="1:15" x14ac:dyDescent="0.25">
      <c r="A459">
        <v>-254.56528474999999</v>
      </c>
      <c r="B459">
        <v>192.82964699999999</v>
      </c>
      <c r="C459">
        <v>165.74500275</v>
      </c>
      <c r="D459">
        <v>-257.78246300000001</v>
      </c>
      <c r="E459">
        <v>-40.185333249999999</v>
      </c>
      <c r="F459">
        <v>5.7497680000000004</v>
      </c>
      <c r="G459">
        <v>263.87406149999998</v>
      </c>
      <c r="H459">
        <v>32</v>
      </c>
      <c r="I459">
        <v>36</v>
      </c>
      <c r="J459">
        <v>1.18</v>
      </c>
      <c r="K459">
        <v>20.91640975</v>
      </c>
      <c r="L459">
        <v>-1.9459828132902219</v>
      </c>
      <c r="M459">
        <v>2.0862584816703071</v>
      </c>
      <c r="N459">
        <v>-1.407750188264246</v>
      </c>
      <c r="O459">
        <v>-1.2126724750160029</v>
      </c>
    </row>
    <row r="460" spans="1:15" x14ac:dyDescent="0.25">
      <c r="A460">
        <v>-282.27460474999998</v>
      </c>
      <c r="B460">
        <v>173.01772299999999</v>
      </c>
      <c r="C460">
        <v>163.4417345</v>
      </c>
      <c r="D460">
        <v>-288.24607075</v>
      </c>
      <c r="E460">
        <v>-79.077242249999998</v>
      </c>
      <c r="F460">
        <v>5.7497682499999998</v>
      </c>
      <c r="G460">
        <v>262.31361375</v>
      </c>
      <c r="H460">
        <v>32</v>
      </c>
      <c r="I460">
        <v>40</v>
      </c>
      <c r="J460">
        <v>1.18</v>
      </c>
      <c r="K460">
        <v>20.85312575</v>
      </c>
      <c r="L460">
        <v>-2.161763628024981</v>
      </c>
      <c r="M460">
        <v>2.237187061019466</v>
      </c>
      <c r="N460">
        <v>-1.6557855251790781</v>
      </c>
      <c r="O460">
        <v>-1.411427418875479</v>
      </c>
    </row>
    <row r="461" spans="1:15" x14ac:dyDescent="0.25">
      <c r="A461">
        <v>-296.42212675000002</v>
      </c>
      <c r="B461">
        <v>148.829857</v>
      </c>
      <c r="C461">
        <v>153.9576835</v>
      </c>
      <c r="D461">
        <v>-308.52600875000002</v>
      </c>
      <c r="E461">
        <v>-116.5865325</v>
      </c>
      <c r="F461">
        <v>5.554862</v>
      </c>
      <c r="G461">
        <v>255.8866955</v>
      </c>
      <c r="H461">
        <v>32</v>
      </c>
      <c r="I461">
        <v>44</v>
      </c>
      <c r="J461">
        <v>1.18</v>
      </c>
      <c r="K461">
        <v>20.598328250000002</v>
      </c>
      <c r="L461">
        <v>-2.4228748150068729</v>
      </c>
      <c r="M461">
        <v>2.4603929489258598</v>
      </c>
      <c r="N461">
        <v>-2.003768302499997</v>
      </c>
      <c r="O461">
        <v>-1.6570688084207761</v>
      </c>
    </row>
    <row r="462" spans="1:15" x14ac:dyDescent="0.25">
      <c r="A462">
        <v>138.71925725</v>
      </c>
      <c r="B462">
        <v>135.17309574999999</v>
      </c>
      <c r="C462">
        <v>-321.89416499999999</v>
      </c>
      <c r="D462">
        <v>-330.68533324999999</v>
      </c>
      <c r="E462">
        <v>-127.29073124999999</v>
      </c>
      <c r="F462">
        <v>5.3112294999999996</v>
      </c>
      <c r="G462">
        <v>247.109352</v>
      </c>
      <c r="H462">
        <v>36</v>
      </c>
      <c r="I462">
        <v>-44</v>
      </c>
      <c r="J462">
        <v>1.18</v>
      </c>
      <c r="K462">
        <v>20.244190249999999</v>
      </c>
      <c r="L462">
        <v>2.3146759661917429</v>
      </c>
      <c r="M462">
        <v>2.3410348998005048</v>
      </c>
      <c r="N462">
        <v>-1.881449411328544</v>
      </c>
      <c r="O462">
        <v>-1.6663660325032861</v>
      </c>
    </row>
    <row r="463" spans="1:15" x14ac:dyDescent="0.25">
      <c r="A463">
        <v>142.73553475</v>
      </c>
      <c r="B463">
        <v>153.59049625</v>
      </c>
      <c r="C463">
        <v>-290.22357149999999</v>
      </c>
      <c r="D463">
        <v>-296.37554175000002</v>
      </c>
      <c r="E463">
        <v>-91.476266750000008</v>
      </c>
      <c r="F463">
        <v>5.4574090000000002</v>
      </c>
      <c r="G463">
        <v>244.06848500000001</v>
      </c>
      <c r="H463">
        <v>36</v>
      </c>
      <c r="I463">
        <v>-40</v>
      </c>
      <c r="J463">
        <v>1.18</v>
      </c>
      <c r="K463">
        <v>20.110333499999999</v>
      </c>
      <c r="L463">
        <v>2.1452465391730309</v>
      </c>
      <c r="M463">
        <v>2.2295116158194008</v>
      </c>
      <c r="N463">
        <v>-1.6625765770575629</v>
      </c>
      <c r="O463">
        <v>-1.4802954234573731</v>
      </c>
    </row>
    <row r="464" spans="1:15" x14ac:dyDescent="0.25">
      <c r="A464">
        <v>142.50989525</v>
      </c>
      <c r="B464">
        <v>169.02648149999999</v>
      </c>
      <c r="C464">
        <v>-263.10956575</v>
      </c>
      <c r="D464">
        <v>-263.72657750000002</v>
      </c>
      <c r="E464">
        <v>-59.319083249999998</v>
      </c>
      <c r="F464">
        <v>5.1650495000000003</v>
      </c>
      <c r="G464">
        <v>240.34745375</v>
      </c>
      <c r="H464">
        <v>36</v>
      </c>
      <c r="I464">
        <v>-36</v>
      </c>
      <c r="J464">
        <v>1.18</v>
      </c>
      <c r="K464">
        <v>19.965322749999999</v>
      </c>
      <c r="L464">
        <v>1.987372086776116</v>
      </c>
      <c r="M464">
        <v>2.1203290556945862</v>
      </c>
      <c r="N464">
        <v>-1.468263221525284</v>
      </c>
      <c r="O464">
        <v>-1.31595284022232</v>
      </c>
    </row>
    <row r="465" spans="1:15" x14ac:dyDescent="0.25">
      <c r="A465">
        <v>140.07305525000001</v>
      </c>
      <c r="B465">
        <v>182.5870745</v>
      </c>
      <c r="C465">
        <v>-237.64930724999999</v>
      </c>
      <c r="D465">
        <v>-234.57417674999999</v>
      </c>
      <c r="E465">
        <v>-32.335588999999999</v>
      </c>
      <c r="F465">
        <v>5.01887025</v>
      </c>
      <c r="G465">
        <v>237.7067145</v>
      </c>
      <c r="H465">
        <v>36</v>
      </c>
      <c r="I465">
        <v>-32</v>
      </c>
      <c r="J465">
        <v>1.18</v>
      </c>
      <c r="K465">
        <v>19.859155000000001</v>
      </c>
      <c r="L465">
        <v>1.8536203141794869</v>
      </c>
      <c r="M465">
        <v>2.0471590594320221</v>
      </c>
      <c r="N465">
        <v>-1.3251969557360881</v>
      </c>
      <c r="O465">
        <v>-1.18331453333158</v>
      </c>
    </row>
    <row r="466" spans="1:15" x14ac:dyDescent="0.25">
      <c r="A466">
        <v>135.28963475</v>
      </c>
      <c r="B466">
        <v>194.89739599999999</v>
      </c>
      <c r="C466">
        <v>-201.19886025</v>
      </c>
      <c r="D466">
        <v>-203.23643100000001</v>
      </c>
      <c r="E466">
        <v>-5.7981059999999998</v>
      </c>
      <c r="F466">
        <v>5.067596</v>
      </c>
      <c r="G466">
        <v>235.58611675</v>
      </c>
      <c r="H466">
        <v>36</v>
      </c>
      <c r="I466">
        <v>-28</v>
      </c>
      <c r="J466">
        <v>1.18</v>
      </c>
      <c r="K466">
        <v>19.766367249999998</v>
      </c>
      <c r="L466">
        <v>1.7131171195046111</v>
      </c>
      <c r="M466">
        <v>2.0269796974713681</v>
      </c>
      <c r="N466">
        <v>-1.2289479721912</v>
      </c>
      <c r="O466">
        <v>-1.055326724794992</v>
      </c>
    </row>
    <row r="467" spans="1:15" x14ac:dyDescent="0.25">
      <c r="A467">
        <v>125.99355875000001</v>
      </c>
      <c r="B467">
        <v>203.793533</v>
      </c>
      <c r="C467">
        <v>-163.9258955</v>
      </c>
      <c r="D467">
        <v>-177.09979250000001</v>
      </c>
      <c r="E467">
        <v>14.61855375</v>
      </c>
      <c r="F467">
        <v>4.9214167499999997</v>
      </c>
      <c r="G467">
        <v>231.58498775000001</v>
      </c>
      <c r="H467">
        <v>36</v>
      </c>
      <c r="I467">
        <v>-24</v>
      </c>
      <c r="J467">
        <v>1.18</v>
      </c>
      <c r="K467">
        <v>19.600391500000001</v>
      </c>
      <c r="L467">
        <v>1.566015573685184</v>
      </c>
      <c r="M467">
        <v>2.0574276150894262</v>
      </c>
      <c r="N467">
        <v>-1.1719644356400409</v>
      </c>
      <c r="O467">
        <v>-0.94761018022494148</v>
      </c>
    </row>
    <row r="468" spans="1:15" x14ac:dyDescent="0.25">
      <c r="A468">
        <v>116.2462065</v>
      </c>
      <c r="B468">
        <v>212.0645255</v>
      </c>
      <c r="C468">
        <v>-130.68899924999999</v>
      </c>
      <c r="D468">
        <v>-160.79717249999999</v>
      </c>
      <c r="E468">
        <v>31.874682</v>
      </c>
      <c r="F468">
        <v>4.9214172499999993</v>
      </c>
      <c r="G468">
        <v>229.58442675000001</v>
      </c>
      <c r="H468">
        <v>36</v>
      </c>
      <c r="I468">
        <v>-20</v>
      </c>
      <c r="J468">
        <v>1.18</v>
      </c>
      <c r="K468">
        <v>19.5137015</v>
      </c>
      <c r="L468">
        <v>1.3902645665446061</v>
      </c>
      <c r="M468">
        <v>2.0992485292891292</v>
      </c>
      <c r="N468">
        <v>-1.113132622306231</v>
      </c>
      <c r="O468">
        <v>-0.84825498221814599</v>
      </c>
    </row>
    <row r="469" spans="1:15" x14ac:dyDescent="0.25">
      <c r="A469">
        <v>104.8742905</v>
      </c>
      <c r="B469">
        <v>217.97925950000001</v>
      </c>
      <c r="C469">
        <v>-101.53350825</v>
      </c>
      <c r="D469">
        <v>-150.22012699999999</v>
      </c>
      <c r="E469">
        <v>45.241474250000003</v>
      </c>
      <c r="F469">
        <v>4.5803310000000002</v>
      </c>
      <c r="G469">
        <v>228.5841485</v>
      </c>
      <c r="H469">
        <v>36</v>
      </c>
      <c r="I469">
        <v>-16</v>
      </c>
      <c r="J469">
        <v>1.18</v>
      </c>
      <c r="K469">
        <v>19.485048249999998</v>
      </c>
      <c r="L469">
        <v>1.2062294629337791</v>
      </c>
      <c r="M469">
        <v>2.1517434804321081</v>
      </c>
      <c r="N469">
        <v>-1.071454319644036</v>
      </c>
      <c r="O469">
        <v>-0.76239193707690367</v>
      </c>
    </row>
    <row r="470" spans="1:15" x14ac:dyDescent="0.25">
      <c r="A470">
        <v>89.079973249999995</v>
      </c>
      <c r="B470">
        <v>220.43170175</v>
      </c>
      <c r="C470">
        <v>-72.264475000000004</v>
      </c>
      <c r="D470">
        <v>-142.78997824999999</v>
      </c>
      <c r="E470">
        <v>55.165982249999999</v>
      </c>
      <c r="F470">
        <v>5.1163227500000001</v>
      </c>
      <c r="G470">
        <v>225.78336725</v>
      </c>
      <c r="H470">
        <v>36</v>
      </c>
      <c r="I470">
        <v>-12</v>
      </c>
      <c r="J470">
        <v>1.1775</v>
      </c>
      <c r="K470">
        <v>19.36000125</v>
      </c>
      <c r="L470">
        <v>0.99170660499956642</v>
      </c>
      <c r="M470">
        <v>2.232563081694571</v>
      </c>
      <c r="N470">
        <v>-1.048713216082104</v>
      </c>
      <c r="O470">
        <v>-0.69236661921856923</v>
      </c>
    </row>
    <row r="471" spans="1:15" x14ac:dyDescent="0.25">
      <c r="A471">
        <v>73.105144499999994</v>
      </c>
      <c r="B471">
        <v>222.83606325</v>
      </c>
      <c r="C471">
        <v>-47.908676999999997</v>
      </c>
      <c r="D471">
        <v>-138.72525775</v>
      </c>
      <c r="E471">
        <v>61.82702725</v>
      </c>
      <c r="F471">
        <v>4.8726905</v>
      </c>
      <c r="G471">
        <v>225.10316474999999</v>
      </c>
      <c r="H471">
        <v>36</v>
      </c>
      <c r="I471">
        <v>-8</v>
      </c>
      <c r="J471">
        <v>1.18</v>
      </c>
      <c r="K471">
        <v>19.320246999999998</v>
      </c>
      <c r="L471">
        <v>0.78000880437404063</v>
      </c>
      <c r="M471">
        <v>2.3304849490020589</v>
      </c>
      <c r="N471">
        <v>-1.052415103865411</v>
      </c>
      <c r="O471">
        <v>-0.63289087702218372</v>
      </c>
    </row>
    <row r="472" spans="1:15" x14ac:dyDescent="0.25">
      <c r="A472">
        <v>50.541829999999997</v>
      </c>
      <c r="B472">
        <v>222.739891</v>
      </c>
      <c r="C472">
        <v>-17.730118749999999</v>
      </c>
      <c r="D472">
        <v>-131.64475974999999</v>
      </c>
      <c r="E472">
        <v>66.118707749999999</v>
      </c>
      <c r="F472">
        <v>4.7752374999999994</v>
      </c>
      <c r="G472">
        <v>223.46271525</v>
      </c>
      <c r="H472">
        <v>36</v>
      </c>
      <c r="I472">
        <v>-4</v>
      </c>
      <c r="J472">
        <v>1.18</v>
      </c>
      <c r="K472">
        <v>19.25243025</v>
      </c>
      <c r="L472">
        <v>0.48482676432402788</v>
      </c>
      <c r="M472">
        <v>2.516847034175659</v>
      </c>
      <c r="N472">
        <v>-1.11746914937271</v>
      </c>
      <c r="O472">
        <v>-0.56432811337792177</v>
      </c>
    </row>
    <row r="473" spans="1:15" x14ac:dyDescent="0.25">
      <c r="A473">
        <v>27.752882499999998</v>
      </c>
      <c r="B473">
        <v>221.68196499999999</v>
      </c>
      <c r="C473">
        <v>7.9033807500000002</v>
      </c>
      <c r="D473">
        <v>-128.62899575</v>
      </c>
      <c r="E473">
        <v>66.833985999999996</v>
      </c>
      <c r="F473">
        <v>4.8726905</v>
      </c>
      <c r="G473">
        <v>222.06232449999999</v>
      </c>
      <c r="H473">
        <v>36</v>
      </c>
      <c r="I473">
        <v>0</v>
      </c>
      <c r="J473">
        <v>1.18</v>
      </c>
      <c r="K473">
        <v>19.186399000000002</v>
      </c>
      <c r="L473">
        <v>0.15605129235050241</v>
      </c>
      <c r="M473">
        <v>2.754084725602147</v>
      </c>
      <c r="N473">
        <v>-1.2203751403864429</v>
      </c>
      <c r="O473">
        <v>-0.51286452875335753</v>
      </c>
    </row>
    <row r="474" spans="1:15" x14ac:dyDescent="0.25">
      <c r="A474">
        <v>2.0758307500000002</v>
      </c>
      <c r="B474">
        <v>220.9606665</v>
      </c>
      <c r="C474">
        <v>32.155442000000001</v>
      </c>
      <c r="D474">
        <v>-127.8859825</v>
      </c>
      <c r="E474">
        <v>66.610464000000007</v>
      </c>
      <c r="F474">
        <v>4.7752374999999994</v>
      </c>
      <c r="G474">
        <v>221.66220824999999</v>
      </c>
      <c r="H474">
        <v>36</v>
      </c>
      <c r="I474">
        <v>4</v>
      </c>
      <c r="J474">
        <v>1.18</v>
      </c>
      <c r="K474">
        <v>19.173028500000001</v>
      </c>
      <c r="L474">
        <v>-0.23223873969526571</v>
      </c>
      <c r="M474">
        <v>2.6934959673754841</v>
      </c>
      <c r="N474">
        <v>-1.1971804290610799</v>
      </c>
      <c r="O474">
        <v>-0.52257290017319402</v>
      </c>
    </row>
    <row r="475" spans="1:15" x14ac:dyDescent="0.25">
      <c r="A475">
        <v>-25.186195000000001</v>
      </c>
      <c r="B475">
        <v>218.4601175</v>
      </c>
      <c r="C475">
        <v>51.665477750000001</v>
      </c>
      <c r="D475">
        <v>-131.55735375</v>
      </c>
      <c r="E475">
        <v>60.172941999999999</v>
      </c>
      <c r="F475">
        <v>4.7265107500000001</v>
      </c>
      <c r="G475">
        <v>219.26152825</v>
      </c>
      <c r="H475">
        <v>36</v>
      </c>
      <c r="I475">
        <v>8</v>
      </c>
      <c r="J475">
        <v>1.18</v>
      </c>
      <c r="K475">
        <v>19.06878575</v>
      </c>
      <c r="L475">
        <v>-0.5547055674245821</v>
      </c>
      <c r="M475">
        <v>2.5264271346591309</v>
      </c>
      <c r="N475">
        <v>-1.148317089122104</v>
      </c>
      <c r="O475">
        <v>-0.59980880414016147</v>
      </c>
    </row>
    <row r="476" spans="1:15" x14ac:dyDescent="0.25">
      <c r="A476">
        <v>-55.463690749999998</v>
      </c>
      <c r="B476">
        <v>215.767235</v>
      </c>
      <c r="C476">
        <v>69.775489500000006</v>
      </c>
      <c r="D476">
        <v>-135.18500524999999</v>
      </c>
      <c r="E476">
        <v>52.662504499999997</v>
      </c>
      <c r="F476">
        <v>4.8239642500000004</v>
      </c>
      <c r="G476">
        <v>218.42129125</v>
      </c>
      <c r="H476">
        <v>36</v>
      </c>
      <c r="I476">
        <v>12</v>
      </c>
      <c r="J476">
        <v>1.18</v>
      </c>
      <c r="K476">
        <v>19.027064249999999</v>
      </c>
      <c r="L476">
        <v>-0.846275550535592</v>
      </c>
      <c r="M476">
        <v>2.3715228928013952</v>
      </c>
      <c r="N476">
        <v>-1.120101982495284</v>
      </c>
      <c r="O476">
        <v>-0.67673577008217367</v>
      </c>
    </row>
    <row r="477" spans="1:15" x14ac:dyDescent="0.25">
      <c r="A477">
        <v>-85.966469000000004</v>
      </c>
      <c r="B477">
        <v>211.87217325</v>
      </c>
      <c r="C477">
        <v>83.595098500000006</v>
      </c>
      <c r="D477">
        <v>-137.45776375</v>
      </c>
      <c r="E477">
        <v>42.290945000000001</v>
      </c>
      <c r="F477">
        <v>4.7265107500000001</v>
      </c>
      <c r="G477">
        <v>218.8214035</v>
      </c>
      <c r="H477">
        <v>36</v>
      </c>
      <c r="I477">
        <v>16</v>
      </c>
      <c r="J477">
        <v>1.18</v>
      </c>
      <c r="K477">
        <v>19.049213250000001</v>
      </c>
      <c r="L477">
        <v>-1.101026177876854</v>
      </c>
      <c r="M477">
        <v>2.2683342924818239</v>
      </c>
      <c r="N477">
        <v>-1.1462817169332351</v>
      </c>
      <c r="O477">
        <v>-0.75608270837574265</v>
      </c>
    </row>
    <row r="478" spans="1:15" x14ac:dyDescent="0.25">
      <c r="A478">
        <v>-113.90107525000001</v>
      </c>
      <c r="B478">
        <v>204.32249049999999</v>
      </c>
      <c r="C478">
        <v>95.066280500000005</v>
      </c>
      <c r="D478">
        <v>-143.7952425</v>
      </c>
      <c r="E478">
        <v>29.326497499999999</v>
      </c>
      <c r="F478">
        <v>4.5316045000000003</v>
      </c>
      <c r="G478">
        <v>216.02062599999999</v>
      </c>
      <c r="H478">
        <v>36</v>
      </c>
      <c r="I478">
        <v>20</v>
      </c>
      <c r="J478">
        <v>1.18</v>
      </c>
      <c r="K478">
        <v>18.93292675</v>
      </c>
      <c r="L478">
        <v>-1.3211172242021161</v>
      </c>
      <c r="M478">
        <v>2.200856596496326</v>
      </c>
      <c r="N478">
        <v>-1.18031167585394</v>
      </c>
      <c r="O478">
        <v>-0.84324690685258574</v>
      </c>
    </row>
    <row r="479" spans="1:15" x14ac:dyDescent="0.25">
      <c r="A479">
        <v>-144.7642975</v>
      </c>
      <c r="B479">
        <v>195.76296625000001</v>
      </c>
      <c r="C479">
        <v>102.7890015</v>
      </c>
      <c r="D479">
        <v>-161.49647525</v>
      </c>
      <c r="E479">
        <v>10.46098975</v>
      </c>
      <c r="F479">
        <v>4.5803310000000002</v>
      </c>
      <c r="G479">
        <v>215.62050625000001</v>
      </c>
      <c r="H479">
        <v>36</v>
      </c>
      <c r="I479">
        <v>24</v>
      </c>
      <c r="J479">
        <v>1.18</v>
      </c>
      <c r="K479">
        <v>18.912823750000001</v>
      </c>
      <c r="L479">
        <v>-1.5132400350348369</v>
      </c>
      <c r="M479">
        <v>2.1838562584987948</v>
      </c>
      <c r="N479">
        <v>-1.2540993817436861</v>
      </c>
      <c r="O479">
        <v>-0.96405288397712297</v>
      </c>
    </row>
    <row r="480" spans="1:15" x14ac:dyDescent="0.25">
      <c r="A480">
        <v>-174.00551974999999</v>
      </c>
      <c r="B480">
        <v>185.95317850000001</v>
      </c>
      <c r="C480">
        <v>108.56975575</v>
      </c>
      <c r="D480">
        <v>-180.15926350000001</v>
      </c>
      <c r="E480">
        <v>-9.3661717499999995</v>
      </c>
      <c r="F480">
        <v>4.6290577500000003</v>
      </c>
      <c r="G480">
        <v>215.14037675</v>
      </c>
      <c r="H480">
        <v>36</v>
      </c>
      <c r="I480">
        <v>28</v>
      </c>
      <c r="J480">
        <v>1.18</v>
      </c>
      <c r="K480">
        <v>18.889118249999999</v>
      </c>
      <c r="L480">
        <v>-1.684849739906634</v>
      </c>
      <c r="M480">
        <v>2.18295009475034</v>
      </c>
      <c r="N480">
        <v>-1.3386231406589031</v>
      </c>
      <c r="O480">
        <v>-1.0834569719760909</v>
      </c>
    </row>
    <row r="481" spans="1:15" x14ac:dyDescent="0.25">
      <c r="A481">
        <v>-199.05654874999999</v>
      </c>
      <c r="B481">
        <v>171.9598005</v>
      </c>
      <c r="C481">
        <v>111.1891555</v>
      </c>
      <c r="D481">
        <v>-199.21541199999999</v>
      </c>
      <c r="E481">
        <v>-32.469392999999997</v>
      </c>
      <c r="F481">
        <v>4.4828780000000004</v>
      </c>
      <c r="G481">
        <v>212.81972099999999</v>
      </c>
      <c r="H481">
        <v>36</v>
      </c>
      <c r="I481">
        <v>32</v>
      </c>
      <c r="J481">
        <v>1.18</v>
      </c>
      <c r="K481">
        <v>18.791305250000001</v>
      </c>
      <c r="L481">
        <v>-1.861487179613011</v>
      </c>
      <c r="M481">
        <v>2.2270978108669648</v>
      </c>
      <c r="N481">
        <v>-1.4717674268306049</v>
      </c>
      <c r="O481">
        <v>-1.2217192074083569</v>
      </c>
    </row>
    <row r="482" spans="1:15" x14ac:dyDescent="0.25">
      <c r="A482">
        <v>-224.42295050000001</v>
      </c>
      <c r="B482">
        <v>159.69757075000001</v>
      </c>
      <c r="C482">
        <v>112.54402349999999</v>
      </c>
      <c r="D482">
        <v>-220.6754305</v>
      </c>
      <c r="E482">
        <v>-56.866038250000003</v>
      </c>
      <c r="F482">
        <v>4.4828780000000004</v>
      </c>
      <c r="G482">
        <v>212.77971274999999</v>
      </c>
      <c r="H482">
        <v>36</v>
      </c>
      <c r="I482">
        <v>36</v>
      </c>
      <c r="J482">
        <v>1.18</v>
      </c>
      <c r="K482">
        <v>18.789502500000001</v>
      </c>
      <c r="L482">
        <v>-2.033806084827734</v>
      </c>
      <c r="M482">
        <v>2.295777403173465</v>
      </c>
      <c r="N482">
        <v>-1.627478999602787</v>
      </c>
      <c r="O482">
        <v>-1.370276846800307</v>
      </c>
    </row>
    <row r="483" spans="1:15" x14ac:dyDescent="0.25">
      <c r="A483">
        <v>-243.16616024999999</v>
      </c>
      <c r="B483">
        <v>143.25175100000001</v>
      </c>
      <c r="C483">
        <v>109.743967</v>
      </c>
      <c r="D483">
        <v>-242.65991975</v>
      </c>
      <c r="E483">
        <v>-86.1687735</v>
      </c>
      <c r="F483">
        <v>4.4828780000000004</v>
      </c>
      <c r="G483">
        <v>211.37931424999999</v>
      </c>
      <c r="H483">
        <v>36</v>
      </c>
      <c r="I483">
        <v>40</v>
      </c>
      <c r="J483">
        <v>1.18</v>
      </c>
      <c r="K483">
        <v>18.726233749999999</v>
      </c>
      <c r="L483">
        <v>-2.2515137632522548</v>
      </c>
      <c r="M483">
        <v>2.4620566098876928</v>
      </c>
      <c r="N483">
        <v>-1.8983143823685249</v>
      </c>
      <c r="O483">
        <v>-1.5783484854050149</v>
      </c>
    </row>
    <row r="484" spans="1:15" x14ac:dyDescent="0.25">
      <c r="A484">
        <v>-256.14223500000003</v>
      </c>
      <c r="B484">
        <v>127.04635974999999</v>
      </c>
      <c r="C484">
        <v>105.2277605</v>
      </c>
      <c r="D484">
        <v>-262.41539</v>
      </c>
      <c r="E484">
        <v>-114.26728425</v>
      </c>
      <c r="F484">
        <v>4.5316045000000003</v>
      </c>
      <c r="G484">
        <v>210.25900275000001</v>
      </c>
      <c r="H484">
        <v>36</v>
      </c>
      <c r="I484">
        <v>44</v>
      </c>
      <c r="J484">
        <v>1.18</v>
      </c>
      <c r="K484">
        <v>18.673252250000001</v>
      </c>
      <c r="L484">
        <v>-2.4920348172454529</v>
      </c>
      <c r="M484">
        <v>2.6858143356677928</v>
      </c>
      <c r="N484">
        <v>-2.2380077662589599</v>
      </c>
      <c r="O484">
        <v>-1.81926801121179</v>
      </c>
    </row>
    <row r="485" spans="1:15" x14ac:dyDescent="0.25">
      <c r="A485">
        <v>111.68840824999999</v>
      </c>
      <c r="B485">
        <v>135.46161649999999</v>
      </c>
      <c r="C485">
        <v>-333.08263375000001</v>
      </c>
      <c r="D485">
        <v>-337.89695749999998</v>
      </c>
      <c r="E485">
        <v>-151.50896424999999</v>
      </c>
      <c r="F485">
        <v>5.2625027499999986</v>
      </c>
      <c r="G485">
        <v>242.46804424999999</v>
      </c>
      <c r="H485">
        <v>40</v>
      </c>
      <c r="I485">
        <v>-44</v>
      </c>
      <c r="J485">
        <v>1.18</v>
      </c>
      <c r="K485">
        <v>20.050943</v>
      </c>
      <c r="L485">
        <v>2.417477195488194</v>
      </c>
      <c r="M485">
        <v>2.5728664641624319</v>
      </c>
      <c r="N485">
        <v>-2.1414106152407442</v>
      </c>
      <c r="O485">
        <v>-1.852086578402943</v>
      </c>
    </row>
    <row r="486" spans="1:15" x14ac:dyDescent="0.25">
      <c r="A486">
        <v>126.71557799999999</v>
      </c>
      <c r="B486">
        <v>171.38275125000001</v>
      </c>
      <c r="C486">
        <v>-353.24895475</v>
      </c>
      <c r="D486">
        <v>-353.89363100000003</v>
      </c>
      <c r="E486">
        <v>-141.07237624999999</v>
      </c>
      <c r="F486">
        <v>5.8472212499999996</v>
      </c>
      <c r="G486">
        <v>269.63567375000002</v>
      </c>
      <c r="H486">
        <v>40</v>
      </c>
      <c r="I486">
        <v>-40</v>
      </c>
      <c r="J486">
        <v>1.1775</v>
      </c>
      <c r="K486">
        <v>21.167274500000001</v>
      </c>
      <c r="L486">
        <v>2.2586445835961961</v>
      </c>
      <c r="M486">
        <v>2.4718813256009868</v>
      </c>
      <c r="N486">
        <v>-1.932727269036532</v>
      </c>
      <c r="O486">
        <v>-1.6913585615503279</v>
      </c>
    </row>
    <row r="487" spans="1:15" x14ac:dyDescent="0.25">
      <c r="A487">
        <v>125.31665225</v>
      </c>
      <c r="B487">
        <v>184.55865125</v>
      </c>
      <c r="C487">
        <v>-313.728386</v>
      </c>
      <c r="D487">
        <v>-310.66764825000001</v>
      </c>
      <c r="E487">
        <v>-103.29549025</v>
      </c>
      <c r="F487">
        <v>5.554862</v>
      </c>
      <c r="G487">
        <v>260.27304824999999</v>
      </c>
      <c r="H487">
        <v>40</v>
      </c>
      <c r="I487">
        <v>-36</v>
      </c>
      <c r="J487">
        <v>1.18</v>
      </c>
      <c r="K487">
        <v>20.778003500000001</v>
      </c>
      <c r="L487">
        <v>2.101697299019393</v>
      </c>
      <c r="M487">
        <v>2.3706489879464701</v>
      </c>
      <c r="N487">
        <v>-1.7404250466947591</v>
      </c>
      <c r="O487">
        <v>-1.5210886177313629</v>
      </c>
    </row>
    <row r="488" spans="1:15" x14ac:dyDescent="0.25">
      <c r="A488">
        <v>120.89424124999999</v>
      </c>
      <c r="B488">
        <v>196.09957900000001</v>
      </c>
      <c r="C488">
        <v>-281.67842100000001</v>
      </c>
      <c r="D488">
        <v>-276.44525125000001</v>
      </c>
      <c r="E488">
        <v>-75.107774500000005</v>
      </c>
      <c r="F488">
        <v>5.3599560000000004</v>
      </c>
      <c r="G488">
        <v>253.71120074999999</v>
      </c>
      <c r="H488">
        <v>40</v>
      </c>
      <c r="I488">
        <v>-32</v>
      </c>
      <c r="J488">
        <v>1.18</v>
      </c>
      <c r="K488">
        <v>20.516676749999998</v>
      </c>
      <c r="L488">
        <v>1.9738434909332321</v>
      </c>
      <c r="M488">
        <v>2.3169276487658022</v>
      </c>
      <c r="N488">
        <v>-1.6122310083467311</v>
      </c>
      <c r="O488">
        <v>-1.3945438385480791</v>
      </c>
    </row>
    <row r="489" spans="1:15" x14ac:dyDescent="0.25">
      <c r="A489">
        <v>113.583731</v>
      </c>
      <c r="B489">
        <v>206.43832</v>
      </c>
      <c r="C489">
        <v>-243.07859400000001</v>
      </c>
      <c r="D489">
        <v>-243.49035649999999</v>
      </c>
      <c r="E489">
        <v>-48.258079500000001</v>
      </c>
      <c r="F489">
        <v>5.3112292500000002</v>
      </c>
      <c r="G489">
        <v>248.06961075000001</v>
      </c>
      <c r="H489">
        <v>40</v>
      </c>
      <c r="I489">
        <v>-28</v>
      </c>
      <c r="J489">
        <v>1.18</v>
      </c>
      <c r="K489">
        <v>20.2843485</v>
      </c>
      <c r="L489">
        <v>1.828815229058822</v>
      </c>
      <c r="M489">
        <v>2.307070546187918</v>
      </c>
      <c r="N489">
        <v>-1.5194922617664599</v>
      </c>
      <c r="O489">
        <v>-1.27471205624141</v>
      </c>
    </row>
    <row r="490" spans="1:15" x14ac:dyDescent="0.25">
      <c r="A490">
        <v>106.09270875</v>
      </c>
      <c r="B490">
        <v>215.3825415</v>
      </c>
      <c r="C490">
        <v>-209.09334175000001</v>
      </c>
      <c r="D490">
        <v>-221.41844574999999</v>
      </c>
      <c r="E490">
        <v>-28.009310500000002</v>
      </c>
      <c r="F490">
        <v>5.3112294999999996</v>
      </c>
      <c r="G490">
        <v>244.42860425000001</v>
      </c>
      <c r="H490">
        <v>40</v>
      </c>
      <c r="I490">
        <v>-24</v>
      </c>
      <c r="J490">
        <v>1.18</v>
      </c>
      <c r="K490">
        <v>20.131657000000001</v>
      </c>
      <c r="L490">
        <v>1.683271079436313</v>
      </c>
      <c r="M490">
        <v>2.332766763128888</v>
      </c>
      <c r="N490">
        <v>-1.454977655761867</v>
      </c>
      <c r="O490">
        <v>-1.1779572341685449</v>
      </c>
    </row>
    <row r="491" spans="1:15" x14ac:dyDescent="0.25">
      <c r="A491">
        <v>95.623331000000007</v>
      </c>
      <c r="B491">
        <v>221.53769700000001</v>
      </c>
      <c r="C491">
        <v>-174.14315400000001</v>
      </c>
      <c r="D491">
        <v>-204.28539649999999</v>
      </c>
      <c r="E491">
        <v>-11.373208</v>
      </c>
      <c r="F491">
        <v>5.16504925</v>
      </c>
      <c r="G491">
        <v>240.70755</v>
      </c>
      <c r="H491">
        <v>40</v>
      </c>
      <c r="I491">
        <v>-20</v>
      </c>
      <c r="J491">
        <v>1.18</v>
      </c>
      <c r="K491">
        <v>19.980604249999999</v>
      </c>
      <c r="L491">
        <v>1.516892358431295</v>
      </c>
      <c r="M491">
        <v>2.3944103670491539</v>
      </c>
      <c r="N491">
        <v>-1.417457958074593</v>
      </c>
      <c r="O491">
        <v>-1.0929889520869309</v>
      </c>
    </row>
    <row r="492" spans="1:15" x14ac:dyDescent="0.25">
      <c r="A492">
        <v>81.543823000000003</v>
      </c>
      <c r="B492">
        <v>225.86555100000001</v>
      </c>
      <c r="C492">
        <v>-143.14928025</v>
      </c>
      <c r="D492">
        <v>-193.57723625</v>
      </c>
      <c r="E492">
        <v>-0.35627574999999989</v>
      </c>
      <c r="F492">
        <v>5.2625029999999997</v>
      </c>
      <c r="G492">
        <v>237.9867935</v>
      </c>
      <c r="H492">
        <v>40</v>
      </c>
      <c r="I492">
        <v>-16</v>
      </c>
      <c r="J492">
        <v>1.18</v>
      </c>
      <c r="K492">
        <v>19.86070775</v>
      </c>
      <c r="L492">
        <v>1.337402789394081</v>
      </c>
      <c r="M492">
        <v>2.4965989120334759</v>
      </c>
      <c r="N492">
        <v>-1.418665347757651</v>
      </c>
      <c r="O492">
        <v>-1.0334551832168959</v>
      </c>
    </row>
    <row r="493" spans="1:15" x14ac:dyDescent="0.25">
      <c r="A493">
        <v>66.336149250000005</v>
      </c>
      <c r="B493">
        <v>231.1070555</v>
      </c>
      <c r="C493">
        <v>-111.696888</v>
      </c>
      <c r="D493">
        <v>-189.42509475</v>
      </c>
      <c r="E493">
        <v>10.68451475</v>
      </c>
      <c r="F493">
        <v>4.9701434999999998</v>
      </c>
      <c r="G493">
        <v>236.78644174999999</v>
      </c>
      <c r="H493">
        <v>40</v>
      </c>
      <c r="I493">
        <v>-12</v>
      </c>
      <c r="J493">
        <v>1.18</v>
      </c>
      <c r="K493">
        <v>19.821929999999998</v>
      </c>
      <c r="L493">
        <v>1.104098236616333</v>
      </c>
      <c r="M493">
        <v>2.6080242073534881</v>
      </c>
      <c r="N493">
        <v>-1.402216676530446</v>
      </c>
      <c r="O493">
        <v>-0.96455090466721871</v>
      </c>
    </row>
    <row r="494" spans="1:15" x14ac:dyDescent="0.25">
      <c r="A494">
        <v>46.254800000000003</v>
      </c>
      <c r="B494">
        <v>230.3376615</v>
      </c>
      <c r="C494">
        <v>-79.126215000000002</v>
      </c>
      <c r="D494">
        <v>-181.60158899999999</v>
      </c>
      <c r="E494">
        <v>17.747903999999998</v>
      </c>
      <c r="F494">
        <v>5.0188697500000004</v>
      </c>
      <c r="G494">
        <v>233.42551449999999</v>
      </c>
      <c r="H494">
        <v>40</v>
      </c>
      <c r="I494">
        <v>-8</v>
      </c>
      <c r="J494">
        <v>1.18</v>
      </c>
      <c r="K494">
        <v>19.675616000000002</v>
      </c>
      <c r="L494">
        <v>0.84651908489563699</v>
      </c>
      <c r="M494">
        <v>2.781294812769576</v>
      </c>
      <c r="N494">
        <v>-1.4562099750595141</v>
      </c>
      <c r="O494">
        <v>-0.91406253858249786</v>
      </c>
    </row>
    <row r="495" spans="1:15" x14ac:dyDescent="0.25">
      <c r="A495">
        <v>26.89547675</v>
      </c>
      <c r="B495">
        <v>231.5398405</v>
      </c>
      <c r="C495">
        <v>-50.879486249999999</v>
      </c>
      <c r="D495">
        <v>-176.75013724999999</v>
      </c>
      <c r="E495">
        <v>21.637238</v>
      </c>
      <c r="F495">
        <v>5.0188697500000004</v>
      </c>
      <c r="G495">
        <v>232.30518749999999</v>
      </c>
      <c r="H495">
        <v>40</v>
      </c>
      <c r="I495">
        <v>-4</v>
      </c>
      <c r="J495">
        <v>1.18</v>
      </c>
      <c r="K495">
        <v>19.627298</v>
      </c>
      <c r="L495">
        <v>0.57419723213494167</v>
      </c>
      <c r="M495">
        <v>3.014301696136056</v>
      </c>
      <c r="N495">
        <v>-1.555313353500664</v>
      </c>
      <c r="O495">
        <v>-0.87731953555637043</v>
      </c>
    </row>
    <row r="496" spans="1:15" x14ac:dyDescent="0.25">
      <c r="A496">
        <v>2.8429837500000001</v>
      </c>
      <c r="B496">
        <v>231.05896774999999</v>
      </c>
      <c r="C496">
        <v>-22.734874250000001</v>
      </c>
      <c r="D496">
        <v>-173.20988850000001</v>
      </c>
      <c r="E496">
        <v>23.336027999999999</v>
      </c>
      <c r="F496">
        <v>4.9214172499999993</v>
      </c>
      <c r="G496">
        <v>231.62499625000001</v>
      </c>
      <c r="H496">
        <v>40</v>
      </c>
      <c r="I496">
        <v>0</v>
      </c>
      <c r="J496">
        <v>1.18</v>
      </c>
      <c r="K496">
        <v>19.602125749999999</v>
      </c>
      <c r="L496">
        <v>0.21085375209467291</v>
      </c>
      <c r="M496">
        <v>3.332573346291821</v>
      </c>
      <c r="N496">
        <v>-1.7170258405208649</v>
      </c>
      <c r="O496">
        <v>-0.84819826089810968</v>
      </c>
    </row>
    <row r="497" spans="1:15" x14ac:dyDescent="0.25">
      <c r="A497">
        <v>-23.699352000000001</v>
      </c>
      <c r="B497">
        <v>227.59669124999999</v>
      </c>
      <c r="C497">
        <v>2.8000604999999998</v>
      </c>
      <c r="D497">
        <v>-170.06300350000001</v>
      </c>
      <c r="E497">
        <v>21.994878249999999</v>
      </c>
      <c r="F497">
        <v>4.5803310000000002</v>
      </c>
      <c r="G497">
        <v>228.184044</v>
      </c>
      <c r="H497">
        <v>40</v>
      </c>
      <c r="I497">
        <v>4</v>
      </c>
      <c r="J497">
        <v>1.18</v>
      </c>
      <c r="K497">
        <v>19.467637249999999</v>
      </c>
      <c r="L497">
        <v>-0.22285742827034211</v>
      </c>
      <c r="M497">
        <v>3.345458643658823</v>
      </c>
      <c r="N497">
        <v>-1.734715499518015</v>
      </c>
      <c r="O497">
        <v>-0.85360371606289975</v>
      </c>
    </row>
    <row r="498" spans="1:15" x14ac:dyDescent="0.25">
      <c r="A498">
        <v>-53.30101475</v>
      </c>
      <c r="B498">
        <v>227.26008225000001</v>
      </c>
      <c r="C498">
        <v>24.884338</v>
      </c>
      <c r="D498">
        <v>-172.81652450000001</v>
      </c>
      <c r="E498">
        <v>17.16673875</v>
      </c>
      <c r="F498">
        <v>4.7752374999999994</v>
      </c>
      <c r="G498">
        <v>227.82393999999999</v>
      </c>
      <c r="H498">
        <v>40</v>
      </c>
      <c r="I498">
        <v>8</v>
      </c>
      <c r="J498">
        <v>1.18</v>
      </c>
      <c r="K498">
        <v>19.443470999999999</v>
      </c>
      <c r="L498">
        <v>-0.60039253253454317</v>
      </c>
      <c r="M498">
        <v>3.0723116999757618</v>
      </c>
      <c r="N498">
        <v>-1.6177432842947099</v>
      </c>
      <c r="O498">
        <v>-0.90490001683628152</v>
      </c>
    </row>
    <row r="499" spans="1:15" x14ac:dyDescent="0.25">
      <c r="A499">
        <v>-83.218066999999991</v>
      </c>
      <c r="B499">
        <v>223.17267225000001</v>
      </c>
      <c r="C499">
        <v>42.994349499999998</v>
      </c>
      <c r="D499">
        <v>-172.6417045</v>
      </c>
      <c r="E499">
        <v>11.13156425</v>
      </c>
      <c r="F499">
        <v>4.7752374999999994</v>
      </c>
      <c r="G499">
        <v>225.94339725</v>
      </c>
      <c r="H499">
        <v>40</v>
      </c>
      <c r="I499">
        <v>12</v>
      </c>
      <c r="J499">
        <v>1.18</v>
      </c>
      <c r="K499">
        <v>19.361334249999999</v>
      </c>
      <c r="L499">
        <v>-0.90761324183899272</v>
      </c>
      <c r="M499">
        <v>2.8463798733514221</v>
      </c>
      <c r="N499">
        <v>-1.5447769381403169</v>
      </c>
      <c r="O499">
        <v>-0.95431639343518548</v>
      </c>
    </row>
    <row r="500" spans="1:15" x14ac:dyDescent="0.25">
      <c r="A500">
        <v>-111.78345475</v>
      </c>
      <c r="B500">
        <v>217.49838249999999</v>
      </c>
      <c r="C500">
        <v>56.904285250000001</v>
      </c>
      <c r="D500">
        <v>-173.38471575</v>
      </c>
      <c r="E500">
        <v>1.4752864999999999</v>
      </c>
      <c r="F500">
        <v>4.6777842500000002</v>
      </c>
      <c r="G500">
        <v>223.98284924999999</v>
      </c>
      <c r="H500">
        <v>40</v>
      </c>
      <c r="I500">
        <v>16</v>
      </c>
      <c r="J500">
        <v>1.18</v>
      </c>
      <c r="K500">
        <v>19.279612</v>
      </c>
      <c r="L500">
        <v>-1.170966339565954</v>
      </c>
      <c r="M500">
        <v>2.7134185111859321</v>
      </c>
      <c r="N500">
        <v>-1.5446111219553449</v>
      </c>
      <c r="O500">
        <v>-1.0222595344365459</v>
      </c>
    </row>
    <row r="501" spans="1:15" x14ac:dyDescent="0.25">
      <c r="A501">
        <v>-144.85441225</v>
      </c>
      <c r="B501">
        <v>211.67983225</v>
      </c>
      <c r="C501">
        <v>68.827081500000006</v>
      </c>
      <c r="D501">
        <v>-182.47571925</v>
      </c>
      <c r="E501">
        <v>-11.462409750000001</v>
      </c>
      <c r="F501">
        <v>4.8239642500000004</v>
      </c>
      <c r="G501">
        <v>223.82280725000001</v>
      </c>
      <c r="H501">
        <v>40</v>
      </c>
      <c r="I501">
        <v>20</v>
      </c>
      <c r="J501">
        <v>1.18</v>
      </c>
      <c r="K501">
        <v>19.266147499999999</v>
      </c>
      <c r="L501">
        <v>-1.403913523750459</v>
      </c>
      <c r="M501">
        <v>2.5897310263575708</v>
      </c>
      <c r="N501">
        <v>-1.5459064350310281</v>
      </c>
      <c r="O501">
        <v>-1.107014057942691</v>
      </c>
    </row>
    <row r="502" spans="1:15" x14ac:dyDescent="0.25">
      <c r="A502">
        <v>-173.28462200000001</v>
      </c>
      <c r="B502">
        <v>201.3891715</v>
      </c>
      <c r="C502">
        <v>77.724022250000004</v>
      </c>
      <c r="D502">
        <v>-193.35869975</v>
      </c>
      <c r="E502">
        <v>-27.117295250000002</v>
      </c>
      <c r="F502">
        <v>4.6777842500000002</v>
      </c>
      <c r="G502">
        <v>221.26210424999999</v>
      </c>
      <c r="H502">
        <v>40</v>
      </c>
      <c r="I502">
        <v>24</v>
      </c>
      <c r="J502">
        <v>1.18</v>
      </c>
      <c r="K502">
        <v>19.159642000000002</v>
      </c>
      <c r="L502">
        <v>-1.6069377764809201</v>
      </c>
      <c r="M502">
        <v>2.5271828166715018</v>
      </c>
      <c r="N502">
        <v>-1.590145358924139</v>
      </c>
      <c r="O502">
        <v>-1.2035742982131741</v>
      </c>
    </row>
    <row r="503" spans="1:15" x14ac:dyDescent="0.25">
      <c r="A503">
        <v>-200.99394624999999</v>
      </c>
      <c r="B503">
        <v>191.72364775</v>
      </c>
      <c r="C503">
        <v>83.956395999999998</v>
      </c>
      <c r="D503">
        <v>-207.43228149999999</v>
      </c>
      <c r="E503">
        <v>-45.046821749999999</v>
      </c>
      <c r="F503">
        <v>4.6777844999999996</v>
      </c>
      <c r="G503">
        <v>220.38183950000001</v>
      </c>
      <c r="H503">
        <v>40</v>
      </c>
      <c r="I503">
        <v>28</v>
      </c>
      <c r="J503">
        <v>1.18</v>
      </c>
      <c r="K503">
        <v>19.120671250000001</v>
      </c>
      <c r="L503">
        <v>-1.790286545027628</v>
      </c>
      <c r="M503">
        <v>2.5078386011217608</v>
      </c>
      <c r="N503">
        <v>-1.667672586454126</v>
      </c>
      <c r="O503">
        <v>-1.312438662721819</v>
      </c>
    </row>
    <row r="504" spans="1:15" x14ac:dyDescent="0.25">
      <c r="A504">
        <v>-227.21640375000001</v>
      </c>
      <c r="B504">
        <v>180.42314924999999</v>
      </c>
      <c r="C504">
        <v>87.524208250000001</v>
      </c>
      <c r="D504">
        <v>-224.6090355</v>
      </c>
      <c r="E504">
        <v>-65.830803000000003</v>
      </c>
      <c r="F504">
        <v>4.4828780000000004</v>
      </c>
      <c r="G504">
        <v>220.1017645</v>
      </c>
      <c r="H504">
        <v>40</v>
      </c>
      <c r="I504">
        <v>32</v>
      </c>
      <c r="J504">
        <v>1.18</v>
      </c>
      <c r="K504">
        <v>19.116896499999999</v>
      </c>
      <c r="L504">
        <v>-1.966129453493771</v>
      </c>
      <c r="M504">
        <v>2.5301804224716391</v>
      </c>
      <c r="N504">
        <v>-1.7861969704128271</v>
      </c>
      <c r="O504">
        <v>-1.439251587112143</v>
      </c>
    </row>
    <row r="505" spans="1:15" x14ac:dyDescent="0.25">
      <c r="A505">
        <v>-249.29376224999999</v>
      </c>
      <c r="B505">
        <v>164.698635</v>
      </c>
      <c r="C505">
        <v>87.659694500000001</v>
      </c>
      <c r="D505">
        <v>-241.82950224999999</v>
      </c>
      <c r="E505">
        <v>-89.915243250000003</v>
      </c>
      <c r="F505">
        <v>4.6777842500000002</v>
      </c>
      <c r="G505">
        <v>217.02090075000001</v>
      </c>
      <c r="H505">
        <v>40</v>
      </c>
      <c r="I505">
        <v>36</v>
      </c>
      <c r="J505">
        <v>1.18</v>
      </c>
      <c r="K505">
        <v>18.971116250000001</v>
      </c>
      <c r="L505">
        <v>-2.164961964625745</v>
      </c>
      <c r="M505">
        <v>2.6120107376856829</v>
      </c>
      <c r="N505">
        <v>-1.9721456631909531</v>
      </c>
      <c r="O505">
        <v>-1.607834369649169</v>
      </c>
    </row>
    <row r="506" spans="1:15" x14ac:dyDescent="0.25">
      <c r="A506">
        <v>-267.45124049999998</v>
      </c>
      <c r="B506">
        <v>149.69543049999999</v>
      </c>
      <c r="C506">
        <v>85.898366749999994</v>
      </c>
      <c r="D506">
        <v>-261.45384200000001</v>
      </c>
      <c r="E506">
        <v>-115.3377115</v>
      </c>
      <c r="F506">
        <v>4.7752374999999994</v>
      </c>
      <c r="G506">
        <v>215.54049275</v>
      </c>
      <c r="H506">
        <v>40</v>
      </c>
      <c r="I506">
        <v>40</v>
      </c>
      <c r="J506">
        <v>1.18</v>
      </c>
      <c r="K506">
        <v>18.900502249999999</v>
      </c>
      <c r="L506">
        <v>-2.369654793719898</v>
      </c>
      <c r="M506">
        <v>2.757278631600848</v>
      </c>
      <c r="N506">
        <v>-2.218957310555604</v>
      </c>
      <c r="O506">
        <v>-1.805504445157583</v>
      </c>
    </row>
    <row r="507" spans="1:15" x14ac:dyDescent="0.25">
      <c r="A507">
        <v>-284.48233775</v>
      </c>
      <c r="B507">
        <v>133.53813550000001</v>
      </c>
      <c r="C507">
        <v>82.511211500000002</v>
      </c>
      <c r="D507">
        <v>-282.34567249999998</v>
      </c>
      <c r="E507">
        <v>-143.12401199999999</v>
      </c>
      <c r="F507">
        <v>4.6777842500000002</v>
      </c>
      <c r="G507">
        <v>214.86029825</v>
      </c>
      <c r="H507">
        <v>40</v>
      </c>
      <c r="I507">
        <v>44</v>
      </c>
      <c r="J507">
        <v>1.18</v>
      </c>
      <c r="K507">
        <v>18.87434975</v>
      </c>
      <c r="L507">
        <v>-2.6160498201322921</v>
      </c>
      <c r="M507">
        <v>2.9646289346760879</v>
      </c>
      <c r="N507">
        <v>-2.5519147635946688</v>
      </c>
      <c r="O507">
        <v>-2.0536392462328128</v>
      </c>
    </row>
    <row r="508" spans="1:15" x14ac:dyDescent="0.25">
      <c r="A508">
        <v>74.323560750000013</v>
      </c>
      <c r="B508">
        <v>119.977541</v>
      </c>
      <c r="C508">
        <v>-298.07354750000002</v>
      </c>
      <c r="D508">
        <v>-296.68147275000001</v>
      </c>
      <c r="E508">
        <v>-155.47843925000001</v>
      </c>
      <c r="F508">
        <v>4.5803310000000002</v>
      </c>
      <c r="G508">
        <v>211.6994095</v>
      </c>
      <c r="H508">
        <v>44</v>
      </c>
      <c r="I508">
        <v>-44</v>
      </c>
      <c r="J508">
        <v>1.18</v>
      </c>
      <c r="K508">
        <v>18.736305250000001</v>
      </c>
      <c r="L508">
        <v>2.6244145210341689</v>
      </c>
      <c r="M508">
        <v>2.936342942884353</v>
      </c>
      <c r="N508">
        <v>-2.5876539035170061</v>
      </c>
      <c r="O508">
        <v>-2.1280125394231439</v>
      </c>
    </row>
    <row r="509" spans="1:15" x14ac:dyDescent="0.25">
      <c r="A509">
        <v>77.256793999999999</v>
      </c>
      <c r="B509">
        <v>135.0769195</v>
      </c>
      <c r="C509">
        <v>-284.24989325000001</v>
      </c>
      <c r="D509">
        <v>-281.20928950000001</v>
      </c>
      <c r="E509">
        <v>-134.7390595</v>
      </c>
      <c r="F509">
        <v>4.6290575</v>
      </c>
      <c r="G509">
        <v>211.859455</v>
      </c>
      <c r="H509">
        <v>44</v>
      </c>
      <c r="I509">
        <v>-40</v>
      </c>
      <c r="J509">
        <v>1.18</v>
      </c>
      <c r="K509">
        <v>18.7413405</v>
      </c>
      <c r="L509">
        <v>2.4427726913402359</v>
      </c>
      <c r="M509">
        <v>2.8129220190861619</v>
      </c>
      <c r="N509">
        <v>-2.3420336125239629</v>
      </c>
      <c r="O509">
        <v>-1.9417341922084881</v>
      </c>
    </row>
    <row r="510" spans="1:15" x14ac:dyDescent="0.25">
      <c r="A510">
        <v>77.211668000000003</v>
      </c>
      <c r="B510">
        <v>147.96429449999999</v>
      </c>
      <c r="C510">
        <v>-263.97731049999999</v>
      </c>
      <c r="D510">
        <v>-259.18108375000003</v>
      </c>
      <c r="E510">
        <v>-111.502037</v>
      </c>
      <c r="F510">
        <v>4.5803310000000002</v>
      </c>
      <c r="G510">
        <v>209.53880325</v>
      </c>
      <c r="H510">
        <v>44</v>
      </c>
      <c r="I510">
        <v>-36</v>
      </c>
      <c r="J510">
        <v>1.18</v>
      </c>
      <c r="K510">
        <v>18.638326249999999</v>
      </c>
      <c r="L510">
        <v>2.2734528040811308</v>
      </c>
      <c r="M510">
        <v>2.7129720276267131</v>
      </c>
      <c r="N510">
        <v>-2.13926508755263</v>
      </c>
      <c r="O510">
        <v>-1.773529874322612</v>
      </c>
    </row>
    <row r="511" spans="1:15" x14ac:dyDescent="0.25">
      <c r="A511">
        <v>75.180969250000004</v>
      </c>
      <c r="B511">
        <v>161.18827450000001</v>
      </c>
      <c r="C511">
        <v>-245.949814</v>
      </c>
      <c r="D511">
        <v>-241.04277024999999</v>
      </c>
      <c r="E511">
        <v>-92.502088499999999</v>
      </c>
      <c r="F511">
        <v>4.5803312500000004</v>
      </c>
      <c r="G511">
        <v>209.89890299999999</v>
      </c>
      <c r="H511">
        <v>44</v>
      </c>
      <c r="I511">
        <v>-32</v>
      </c>
      <c r="J511">
        <v>1.18</v>
      </c>
      <c r="K511">
        <v>18.654670750000001</v>
      </c>
      <c r="L511">
        <v>2.126832391328183</v>
      </c>
      <c r="M511">
        <v>2.663973048009932</v>
      </c>
      <c r="N511">
        <v>-2.0028302586561821</v>
      </c>
      <c r="O511">
        <v>-1.64301628061264</v>
      </c>
    </row>
    <row r="512" spans="1:15" x14ac:dyDescent="0.25">
      <c r="A512">
        <v>81.363315499999999</v>
      </c>
      <c r="B512">
        <v>197.30175775000001</v>
      </c>
      <c r="C512">
        <v>-261.66589349999998</v>
      </c>
      <c r="D512">
        <v>-261.58495325000001</v>
      </c>
      <c r="E512">
        <v>-89.959846249999998</v>
      </c>
      <c r="F512">
        <v>5.3112294999999996</v>
      </c>
      <c r="G512">
        <v>240.987629</v>
      </c>
      <c r="H512">
        <v>44</v>
      </c>
      <c r="I512">
        <v>-28</v>
      </c>
      <c r="J512">
        <v>1.18</v>
      </c>
      <c r="K512">
        <v>19.986212500000001</v>
      </c>
      <c r="L512">
        <v>1.998247158805841</v>
      </c>
      <c r="M512">
        <v>2.6731540794870772</v>
      </c>
      <c r="N512">
        <v>-1.927879608204776</v>
      </c>
      <c r="O512">
        <v>-1.554974792861036</v>
      </c>
    </row>
    <row r="513" spans="1:15" x14ac:dyDescent="0.25">
      <c r="A513">
        <v>81.453571249999996</v>
      </c>
      <c r="B513">
        <v>232.30923475</v>
      </c>
      <c r="C513">
        <v>-263.96675125000002</v>
      </c>
      <c r="D513">
        <v>-276.48896024999999</v>
      </c>
      <c r="E513">
        <v>-84.072534499999989</v>
      </c>
      <c r="F513">
        <v>6.0908542499999996</v>
      </c>
      <c r="G513">
        <v>268.35530875000001</v>
      </c>
      <c r="H513">
        <v>44</v>
      </c>
      <c r="I513">
        <v>-24</v>
      </c>
      <c r="J513">
        <v>1.18</v>
      </c>
      <c r="K513">
        <v>21.083479749999999</v>
      </c>
      <c r="L513">
        <v>1.855560982072004</v>
      </c>
      <c r="M513">
        <v>2.733182946077843</v>
      </c>
      <c r="N513">
        <v>-1.8931935149493631</v>
      </c>
      <c r="O513">
        <v>-1.4843366652236449</v>
      </c>
    </row>
    <row r="514" spans="1:15" x14ac:dyDescent="0.25">
      <c r="A514">
        <v>69.314508250000003</v>
      </c>
      <c r="B514">
        <v>235.96385950000001</v>
      </c>
      <c r="C514">
        <v>-223.46963500000001</v>
      </c>
      <c r="D514">
        <v>-254.373333</v>
      </c>
      <c r="E514">
        <v>-65.429388000000003</v>
      </c>
      <c r="F514">
        <v>5.6523149999999998</v>
      </c>
      <c r="G514">
        <v>260.79318999999998</v>
      </c>
      <c r="H514">
        <v>44</v>
      </c>
      <c r="I514">
        <v>-20</v>
      </c>
      <c r="J514">
        <v>1.18</v>
      </c>
      <c r="K514">
        <v>20.795237</v>
      </c>
      <c r="L514">
        <v>1.6875984688203469</v>
      </c>
      <c r="M514">
        <v>2.82627787297946</v>
      </c>
      <c r="N514">
        <v>-1.880338366663056</v>
      </c>
      <c r="O514">
        <v>-1.4097076820365111</v>
      </c>
    </row>
    <row r="515" spans="1:15" x14ac:dyDescent="0.25">
      <c r="A515">
        <v>54.332465249999998</v>
      </c>
      <c r="B515">
        <v>238.46439749999999</v>
      </c>
      <c r="C515">
        <v>-185.75832750000001</v>
      </c>
      <c r="D515">
        <v>-239.25079725000001</v>
      </c>
      <c r="E515">
        <v>-51.558541499999997</v>
      </c>
      <c r="F515">
        <v>5.3112294999999996</v>
      </c>
      <c r="G515">
        <v>254.351383</v>
      </c>
      <c r="H515">
        <v>44</v>
      </c>
      <c r="I515">
        <v>-16</v>
      </c>
      <c r="J515">
        <v>1.18</v>
      </c>
      <c r="K515">
        <v>20.545115750000001</v>
      </c>
      <c r="L515">
        <v>1.4917697956020191</v>
      </c>
      <c r="M515">
        <v>2.968214689667573</v>
      </c>
      <c r="N515">
        <v>-1.9007427397017029</v>
      </c>
      <c r="O515">
        <v>-1.3533768041297649</v>
      </c>
    </row>
    <row r="516" spans="1:15" x14ac:dyDescent="0.25">
      <c r="A516">
        <v>37.274600249999999</v>
      </c>
      <c r="B516">
        <v>238.07969249999999</v>
      </c>
      <c r="C516">
        <v>-151.78147525</v>
      </c>
      <c r="D516">
        <v>-231.25246050000001</v>
      </c>
      <c r="E516">
        <v>-42.593777750000001</v>
      </c>
      <c r="F516">
        <v>5.3599560000000004</v>
      </c>
      <c r="G516">
        <v>247.909569</v>
      </c>
      <c r="H516">
        <v>44</v>
      </c>
      <c r="I516">
        <v>-12</v>
      </c>
      <c r="J516">
        <v>1.18</v>
      </c>
      <c r="K516">
        <v>20.27562425</v>
      </c>
      <c r="L516">
        <v>1.2694858892074139</v>
      </c>
      <c r="M516">
        <v>3.1515428043764002</v>
      </c>
      <c r="N516">
        <v>-1.950730923521163</v>
      </c>
      <c r="O516">
        <v>-1.3220101637631489</v>
      </c>
    </row>
    <row r="517" spans="1:15" x14ac:dyDescent="0.25">
      <c r="A517">
        <v>18.72755725</v>
      </c>
      <c r="B517">
        <v>238.32013325</v>
      </c>
      <c r="C517">
        <v>-118.2910215</v>
      </c>
      <c r="D517">
        <v>-224.21567150000001</v>
      </c>
      <c r="E517">
        <v>-35.368443499999998</v>
      </c>
      <c r="F517">
        <v>5.0675964999999996</v>
      </c>
      <c r="G517">
        <v>244.26854700000001</v>
      </c>
      <c r="H517">
        <v>44</v>
      </c>
      <c r="I517">
        <v>-8</v>
      </c>
      <c r="J517">
        <v>1.18</v>
      </c>
      <c r="K517">
        <v>20.135172749999999</v>
      </c>
      <c r="L517">
        <v>1.008342708422505</v>
      </c>
      <c r="M517">
        <v>3.4038989329486671</v>
      </c>
      <c r="N517">
        <v>-2.057919636162366</v>
      </c>
      <c r="O517">
        <v>-1.2975850485763101</v>
      </c>
    </row>
    <row r="518" spans="1:15" x14ac:dyDescent="0.25">
      <c r="A518">
        <v>-2.5681812499999999</v>
      </c>
      <c r="B518">
        <v>236.92560950000001</v>
      </c>
      <c r="C518">
        <v>-86.253856750000011</v>
      </c>
      <c r="D518">
        <v>-217.17888275000001</v>
      </c>
      <c r="E518">
        <v>-30.640758999999999</v>
      </c>
      <c r="F518">
        <v>5.2625029999999997</v>
      </c>
      <c r="G518">
        <v>240.50749575</v>
      </c>
      <c r="H518">
        <v>44</v>
      </c>
      <c r="I518">
        <v>-4</v>
      </c>
      <c r="J518">
        <v>1.18</v>
      </c>
      <c r="K518">
        <v>19.967974999999999</v>
      </c>
      <c r="L518">
        <v>0.69116383698743777</v>
      </c>
      <c r="M518">
        <v>3.750750880435167</v>
      </c>
      <c r="N518">
        <v>-2.2396326055482589</v>
      </c>
      <c r="O518">
        <v>-1.2965926250824971</v>
      </c>
    </row>
    <row r="519" spans="1:15" x14ac:dyDescent="0.25">
      <c r="A519">
        <v>-26.67303575</v>
      </c>
      <c r="B519">
        <v>234.85785275000001</v>
      </c>
      <c r="C519">
        <v>-56.840913999999998</v>
      </c>
      <c r="D519">
        <v>-211.05994025000001</v>
      </c>
      <c r="E519">
        <v>-29.0797305</v>
      </c>
      <c r="F519">
        <v>5.1163227500000001</v>
      </c>
      <c r="G519">
        <v>237.66670224999999</v>
      </c>
      <c r="H519">
        <v>44</v>
      </c>
      <c r="I519">
        <v>0</v>
      </c>
      <c r="J519">
        <v>1.18</v>
      </c>
      <c r="K519">
        <v>19.853282750000002</v>
      </c>
      <c r="L519">
        <v>0.28768370869233278</v>
      </c>
      <c r="M519">
        <v>4.2520987324864814</v>
      </c>
      <c r="N519">
        <v>-2.5436056724119029</v>
      </c>
      <c r="O519">
        <v>-1.326097926355396</v>
      </c>
    </row>
    <row r="520" spans="1:15" x14ac:dyDescent="0.25">
      <c r="A520">
        <v>-54.157071999999999</v>
      </c>
      <c r="B520">
        <v>233.70376575</v>
      </c>
      <c r="C520">
        <v>-29.907065750000001</v>
      </c>
      <c r="D520">
        <v>-209.748741</v>
      </c>
      <c r="E520">
        <v>-29.704142000000001</v>
      </c>
      <c r="F520">
        <v>4.9701434999999998</v>
      </c>
      <c r="G520">
        <v>236.50636650000001</v>
      </c>
      <c r="H520">
        <v>44</v>
      </c>
      <c r="I520">
        <v>4</v>
      </c>
      <c r="J520">
        <v>1.18</v>
      </c>
      <c r="K520">
        <v>19.809953749999998</v>
      </c>
      <c r="L520">
        <v>-0.2370674627639755</v>
      </c>
      <c r="M520">
        <v>4.3373838350376248</v>
      </c>
      <c r="N520">
        <v>-2.603875259887384</v>
      </c>
      <c r="O520">
        <v>-1.3392346287519119</v>
      </c>
    </row>
    <row r="521" spans="1:15" x14ac:dyDescent="0.25">
      <c r="A521">
        <v>-80.965276750000001</v>
      </c>
      <c r="B521">
        <v>229.32782750000001</v>
      </c>
      <c r="C521">
        <v>-7.7140769999999996</v>
      </c>
      <c r="D521">
        <v>-207.43227775</v>
      </c>
      <c r="E521">
        <v>-31.443572249999999</v>
      </c>
      <c r="F521">
        <v>4.7265107500000001</v>
      </c>
      <c r="G521">
        <v>232.94537349999999</v>
      </c>
      <c r="H521">
        <v>44</v>
      </c>
      <c r="I521">
        <v>8</v>
      </c>
      <c r="J521">
        <v>1.18</v>
      </c>
      <c r="K521">
        <v>19.667523500000001</v>
      </c>
      <c r="L521">
        <v>-0.64968399608485183</v>
      </c>
      <c r="M521">
        <v>3.8737035106567119</v>
      </c>
      <c r="N521">
        <v>-2.3449540766616268</v>
      </c>
      <c r="O521">
        <v>-1.3208715507540441</v>
      </c>
    </row>
    <row r="522" spans="1:15" x14ac:dyDescent="0.25">
      <c r="A522">
        <v>-111.37795275000001</v>
      </c>
      <c r="B522">
        <v>226.49068825000001</v>
      </c>
      <c r="C522">
        <v>10.7034325</v>
      </c>
      <c r="D522">
        <v>-207.69451925000001</v>
      </c>
      <c r="E522">
        <v>-38.133696499999999</v>
      </c>
      <c r="F522">
        <v>4.8239642500000004</v>
      </c>
      <c r="G522">
        <v>231.7850455</v>
      </c>
      <c r="H522">
        <v>44</v>
      </c>
      <c r="I522">
        <v>12</v>
      </c>
      <c r="J522">
        <v>1.18</v>
      </c>
      <c r="K522">
        <v>19.613254000000001</v>
      </c>
      <c r="L522">
        <v>-1.005581833711255</v>
      </c>
      <c r="M522">
        <v>3.5765173351339268</v>
      </c>
      <c r="N522">
        <v>-2.223420509642215</v>
      </c>
      <c r="O522">
        <v>-1.3538823944241971</v>
      </c>
    </row>
    <row r="523" spans="1:15" x14ac:dyDescent="0.25">
      <c r="A523">
        <v>-140.97961050000001</v>
      </c>
      <c r="B523">
        <v>221.77814100000001</v>
      </c>
      <c r="C523">
        <v>25.290798500000001</v>
      </c>
      <c r="D523">
        <v>-210.92881800000001</v>
      </c>
      <c r="E523">
        <v>-46.875456</v>
      </c>
      <c r="F523">
        <v>4.8726909999999997</v>
      </c>
      <c r="G523">
        <v>231.22489150000001</v>
      </c>
      <c r="H523">
        <v>44</v>
      </c>
      <c r="I523">
        <v>16</v>
      </c>
      <c r="J523">
        <v>1.18</v>
      </c>
      <c r="K523">
        <v>19.58692825</v>
      </c>
      <c r="L523">
        <v>-1.288150966878542</v>
      </c>
      <c r="M523">
        <v>3.3523206988236232</v>
      </c>
      <c r="N523">
        <v>-2.1545496796133028</v>
      </c>
      <c r="O523">
        <v>-1.4009361224232491</v>
      </c>
    </row>
    <row r="524" spans="1:15" x14ac:dyDescent="0.25">
      <c r="A524">
        <v>-170.08566675</v>
      </c>
      <c r="B524">
        <v>212.49730675000001</v>
      </c>
      <c r="C524">
        <v>37.845869</v>
      </c>
      <c r="D524">
        <v>-215.255787</v>
      </c>
      <c r="E524">
        <v>-57.401249</v>
      </c>
      <c r="F524">
        <v>5.0188697500000004</v>
      </c>
      <c r="G524">
        <v>227.94396574999999</v>
      </c>
      <c r="H524">
        <v>44</v>
      </c>
      <c r="I524">
        <v>20</v>
      </c>
      <c r="J524">
        <v>1.18</v>
      </c>
      <c r="K524">
        <v>19.438078000000001</v>
      </c>
      <c r="L524">
        <v>-1.537155833614047</v>
      </c>
      <c r="M524">
        <v>3.1623738928492902</v>
      </c>
      <c r="N524">
        <v>-2.109576684848093</v>
      </c>
      <c r="O524">
        <v>-1.4614933436113069</v>
      </c>
    </row>
    <row r="525" spans="1:15" x14ac:dyDescent="0.25">
      <c r="A525">
        <v>-199.91260550000001</v>
      </c>
      <c r="B525">
        <v>204.32248675</v>
      </c>
      <c r="C525">
        <v>47.104102999999988</v>
      </c>
      <c r="D525">
        <v>-225.87652600000001</v>
      </c>
      <c r="E525">
        <v>-71.628907999999996</v>
      </c>
      <c r="F525">
        <v>4.7265107500000001</v>
      </c>
      <c r="G525">
        <v>226.90367900000001</v>
      </c>
      <c r="H525">
        <v>44</v>
      </c>
      <c r="I525">
        <v>24</v>
      </c>
      <c r="J525">
        <v>1.18</v>
      </c>
      <c r="K525">
        <v>19.405445749999998</v>
      </c>
      <c r="L525">
        <v>-1.748687112618871</v>
      </c>
      <c r="M525">
        <v>3.045537236178101</v>
      </c>
      <c r="N525">
        <v>-2.1134780895938889</v>
      </c>
      <c r="O525">
        <v>-1.5406298424218241</v>
      </c>
    </row>
    <row r="526" spans="1:15" x14ac:dyDescent="0.25">
      <c r="A526">
        <v>-226.315292</v>
      </c>
      <c r="B526">
        <v>193.88756925000001</v>
      </c>
      <c r="C526">
        <v>53.336478999999997</v>
      </c>
      <c r="D526">
        <v>-236.19132625</v>
      </c>
      <c r="E526">
        <v>-88.443418500000007</v>
      </c>
      <c r="F526">
        <v>4.8239642500000004</v>
      </c>
      <c r="G526">
        <v>225.58330900000001</v>
      </c>
      <c r="H526">
        <v>44</v>
      </c>
      <c r="I526">
        <v>28</v>
      </c>
      <c r="J526">
        <v>1.18</v>
      </c>
      <c r="K526">
        <v>19.343427500000001</v>
      </c>
      <c r="L526">
        <v>-1.958213008187708</v>
      </c>
      <c r="M526">
        <v>3.0115648041240912</v>
      </c>
      <c r="N526">
        <v>-2.1989289957292728</v>
      </c>
      <c r="O526">
        <v>-1.6530947344173521</v>
      </c>
    </row>
    <row r="527" spans="1:15" x14ac:dyDescent="0.25">
      <c r="A527">
        <v>-250.14981075</v>
      </c>
      <c r="B527">
        <v>181.76959650000001</v>
      </c>
      <c r="C527">
        <v>58.304309500000002</v>
      </c>
      <c r="D527">
        <v>-246.85577774999999</v>
      </c>
      <c r="E527">
        <v>-104.81191825000001</v>
      </c>
      <c r="F527">
        <v>4.7752374999999994</v>
      </c>
      <c r="G527">
        <v>223.58274474999999</v>
      </c>
      <c r="H527">
        <v>44</v>
      </c>
      <c r="I527">
        <v>32</v>
      </c>
      <c r="J527">
        <v>1.18</v>
      </c>
      <c r="K527">
        <v>19.2577265</v>
      </c>
      <c r="L527">
        <v>-2.1466604712554291</v>
      </c>
      <c r="M527">
        <v>2.982998842219601</v>
      </c>
      <c r="N527">
        <v>-2.2854488137625801</v>
      </c>
      <c r="O527">
        <v>-1.762674366451666</v>
      </c>
    </row>
    <row r="528" spans="1:15" x14ac:dyDescent="0.25">
      <c r="A528">
        <v>-273.44366474999998</v>
      </c>
      <c r="B528">
        <v>168.83412924999999</v>
      </c>
      <c r="C528">
        <v>60.24628225</v>
      </c>
      <c r="D528">
        <v>-263.46434775</v>
      </c>
      <c r="E528">
        <v>-127.513727</v>
      </c>
      <c r="F528">
        <v>4.7752374999999994</v>
      </c>
      <c r="G528">
        <v>223.14262400000001</v>
      </c>
      <c r="H528">
        <v>44</v>
      </c>
      <c r="I528">
        <v>36</v>
      </c>
      <c r="J528">
        <v>1.18</v>
      </c>
      <c r="K528">
        <v>19.238349750000001</v>
      </c>
      <c r="L528">
        <v>-2.3676259093025021</v>
      </c>
      <c r="M528">
        <v>3.06730045287035</v>
      </c>
      <c r="N528">
        <v>-2.4880346128346229</v>
      </c>
      <c r="O528">
        <v>-1.9386487630634111</v>
      </c>
    </row>
    <row r="529" spans="1:15" x14ac:dyDescent="0.25">
      <c r="A529">
        <v>-291.6462095</v>
      </c>
      <c r="B529">
        <v>153.49432350000001</v>
      </c>
      <c r="C529">
        <v>58.575282999999999</v>
      </c>
      <c r="D529">
        <v>-279.94179550000001</v>
      </c>
      <c r="E529">
        <v>-151.55356599999999</v>
      </c>
      <c r="F529">
        <v>4.7265107500000001</v>
      </c>
      <c r="G529">
        <v>221.3421055</v>
      </c>
      <c r="H529">
        <v>44</v>
      </c>
      <c r="I529">
        <v>40</v>
      </c>
      <c r="J529">
        <v>1.18</v>
      </c>
      <c r="K529">
        <v>19.161026750000001</v>
      </c>
      <c r="L529">
        <v>-2.6091000000939051</v>
      </c>
      <c r="M529">
        <v>3.2292668488261009</v>
      </c>
      <c r="N529">
        <v>-2.7782675856362542</v>
      </c>
      <c r="O529">
        <v>-2.1644327924210058</v>
      </c>
    </row>
    <row r="530" spans="1:15" x14ac:dyDescent="0.25">
      <c r="A530">
        <v>-307.59596225000001</v>
      </c>
      <c r="B530">
        <v>137.33702475000001</v>
      </c>
      <c r="C530">
        <v>56.091365999999987</v>
      </c>
      <c r="D530">
        <v>-292.52935024999999</v>
      </c>
      <c r="E530">
        <v>-174.29998775000001</v>
      </c>
      <c r="F530">
        <v>4.8239642500000004</v>
      </c>
      <c r="G530">
        <v>220.06175999999999</v>
      </c>
      <c r="H530">
        <v>44</v>
      </c>
      <c r="I530">
        <v>44</v>
      </c>
      <c r="J530">
        <v>1.18</v>
      </c>
      <c r="K530">
        <v>19.099993000000001</v>
      </c>
      <c r="L530">
        <v>-2.8918642302013451</v>
      </c>
      <c r="M530">
        <v>3.41806120181925</v>
      </c>
      <c r="N530">
        <v>-3.135762817901746</v>
      </c>
      <c r="O530">
        <v>-2.4242936637364729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2025-11-30T03:07:37Z</dcterms:modified>
</cp:coreProperties>
</file>